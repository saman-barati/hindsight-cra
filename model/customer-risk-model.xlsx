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Mapping" sheetId="2" state="visible" r:id="rId4"/>
    <sheet name="Weights" sheetId="3" state="visible" r:id="rId5"/>
    <sheet name="Customers" sheetId="4" state="visible" r:id="rId6"/>
    <sheet name="Scoring" sheetId="5" state="visible" r:id="rId7"/>
    <sheet name="Dashboard" sheetId="6" state="visible" r:id="rId8"/>
    <sheet name="Checks" sheetId="7" state="visible" r:id="rId9"/>
    <sheet name="Validation" sheetId="8" state="visible" r:id="rId10"/>
    <sheet name="Backtest"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<sst xmlns="http://schemas.openxmlformats.org/spreadsheetml/2006/main" count="10447" uniqueCount="1068">
  <si>
    <t xml:space="preserve">Customer risk scoring model</t>
  </si>
  <si>
    <t xml:space="preserve">Northgate Bank UK Limited (fictional)  |  HND-CRA-004  |  version 0.4 draft  |  September 2026</t>
  </si>
  <si>
    <t xml:space="preserve">What this workbook does</t>
  </si>
  <si>
    <t xml:space="preserve">Step 3 of the Hindsight project. It takes the 400 synthetic customers in data/synthetic-customers.csv, converts each recorded level into a score using the Step 2 risk factor library, applies the category weights, produces an overall score and a band, and then applies the mandatory escalators from section 5.3 of the methodology.</t>
  </si>
  <si>
    <t xml:space="preserve">Sheets</t>
  </si>
  <si>
    <t xml:space="preserve">Mapping    -  the 98 level definitions from the Step 2 library, each with its score. This is the lookup table.</t>
  </si>
  <si>
    <t xml:space="preserve">Weights    -  the 20 factors with their weight inside their category and their effective weight across the model.</t>
  </si>
  <si>
    <t xml:space="preserve">Customers  -  the imported population. One row per customer, one column per factor, holding the level recorded at onboarding.</t>
  </si>
  <si>
    <t xml:space="preserve">Scoring    -  the engine. Each factor label is converted to a score, weighted, summed, banded, then escalated.</t>
  </si>
  <si>
    <t xml:space="preserve">Dashboard  -  what the population looks like once scored, and how much each category is actually doing.</t>
  </si>
  <si>
    <t xml:space="preserve">Backtest   -  Step 4. Six FCA enforcement cases, each rebuilt as it looked at onboarding and scored two or three ways.</t>
  </si>
  <si>
    <t xml:space="preserve">Validation -  Step 5. Weight sensitivity, three alternative aggregation rules, and the 2026 EDD test.</t>
  </si>
  <si>
    <t xml:space="preserve">Checks     -  nineteen integrity tests. All must read OK.</t>
  </si>
  <si>
    <t xml:space="preserve">How a rating is produced, column by column on the Scoring sheet</t>
  </si>
  <si>
    <t xml:space="preserve">C to V   score for each of the 20 factors, looked up from Mapping on the key 'factor|level'</t>
  </si>
  <si>
    <t xml:space="preserve">W        weighted score = SUMPRODUCT of the 20 scores and the 20 effective weights</t>
  </si>
  <si>
    <t xml:space="preserve">X        the same figure rounded to two decimal places, as required by methodology 5.2</t>
  </si>
  <si>
    <t xml:space="preserve">Y        band from the arithmetic alone: Low 1.00 to 2.00, Medium 2.01 to 3.49, High 3.50 to 5.00</t>
  </si>
  <si>
    <t xml:space="preserve">Z        whether any mandatory escalator in methodology 5.3 applies</t>
  </si>
  <si>
    <t xml:space="preserve">AA       the final customer risk rating. High if Z is Yes, otherwise the band in Y</t>
  </si>
  <si>
    <t xml:space="preserve">AB to AF the five category scores, kept so that the Dashboard can show which categories discriminate</t>
  </si>
  <si>
    <t xml:space="preserve">Refreshing the population with Power Query</t>
  </si>
  <si>
    <t xml:space="preserve">The Customers sheet holds the result of the import. To rebuild it from the CSV: Data &gt; Get Data &gt; From File &gt; From Text/CSV, select data/synthetic-customers.csv, set the delimiter to comma and the encoding to UTF-8, promote the first row to headers, set every factor column to Text and onboarded to Date, then Close &amp; Load To an existing worksheet at Customers!$A$1. The exact M code is in docs/03-model-build.md.</t>
  </si>
  <si>
    <t xml:space="preserve">Which cells to edit</t>
  </si>
  <si>
    <t xml:space="preserve">None of the cells in this workbook are inputs. The weights live in the Step 2 library and are copied here; the scores come from the CSV. To change a weight, change it in model/risk-factor-library.xlsx first and copy it across, so that the two files cannot drift apart.</t>
  </si>
  <si>
    <t xml:space="preserve">Synthetic data only. Northgate Bank UK Limited does not exist, no real customer data appears in this workbook, and this is a self-directed learning project rather than professional compliance advice.</t>
  </si>
  <si>
    <t xml:space="preserve">Factor</t>
  </si>
  <si>
    <t xml:space="preserve">Level recorded</t>
  </si>
  <si>
    <t xml:space="preserve">Score</t>
  </si>
  <si>
    <t xml:space="preserve">Lookup key</t>
  </si>
  <si>
    <t xml:space="preserve">C1</t>
  </si>
  <si>
    <t xml:space="preserve">Individual</t>
  </si>
  <si>
    <t xml:space="preserve">Sole trader or joint</t>
  </si>
  <si>
    <t xml:space="preserve">UK company, natural owners</t>
  </si>
  <si>
    <t xml:space="preserve">UK company, corporate owner</t>
  </si>
  <si>
    <t xml:space="preserve">Trust, nominee or overseas</t>
  </si>
  <si>
    <t xml:space="preserve">C2</t>
  </si>
  <si>
    <t xml:space="preserve">Natural person</t>
  </si>
  <si>
    <t xml:space="preserve">One or two UBOs</t>
  </si>
  <si>
    <t xml:space="preserve">Three to five UBOs</t>
  </si>
  <si>
    <t xml:space="preserve">Two layers, evidenced</t>
  </si>
  <si>
    <t xml:space="preserve">Nominee, bearer or unevidenced</t>
  </si>
  <si>
    <t xml:space="preserve">C3</t>
  </si>
  <si>
    <t xml:space="preserve">Employed or pension</t>
  </si>
  <si>
    <t xml:space="preserve">Regulated profession</t>
  </si>
  <si>
    <t xml:space="preserve">General trade</t>
  </si>
  <si>
    <t xml:space="preserve">Cash-intensive trade</t>
  </si>
  <si>
    <t xml:space="preserve">MSB, TCSP or HVD</t>
  </si>
  <si>
    <t xml:space="preserve">C4</t>
  </si>
  <si>
    <t xml:space="preserve">No match</t>
  </si>
  <si>
    <t xml:space="preserve">PEP family or associate</t>
  </si>
  <si>
    <t xml:space="preserve">Domestic PEP</t>
  </si>
  <si>
    <t xml:space="preserve">Foreign PEP</t>
  </si>
  <si>
    <t xml:space="preserve">C5</t>
  </si>
  <si>
    <t xml:space="preserve">False positive</t>
  </si>
  <si>
    <t xml:space="preserve">Adverse media, non-financial</t>
  </si>
  <si>
    <t xml:space="preserve">Adverse media, unproven</t>
  </si>
  <si>
    <t xml:space="preserve">Adverse media, financial crime</t>
  </si>
  <si>
    <t xml:space="preserve">G1</t>
  </si>
  <si>
    <t xml:space="preserve">United Kingdom</t>
  </si>
  <si>
    <t xml:space="preserve">Unlisted country</t>
  </si>
  <si>
    <t xml:space="preserve">Weaker AML, unlisted</t>
  </si>
  <si>
    <t xml:space="preserve">FATF increased monitoring</t>
  </si>
  <si>
    <t xml:space="preserve">FATF call for action</t>
  </si>
  <si>
    <t xml:space="preserve">G2</t>
  </si>
  <si>
    <t xml:space="preserve">UK tax residence only</t>
  </si>
  <si>
    <t xml:space="preserve">Further tax residence, unlisted</t>
  </si>
  <si>
    <t xml:space="preserve">Further tax residence, monitored</t>
  </si>
  <si>
    <t xml:space="preserve">Further tax residence, call for action</t>
  </si>
  <si>
    <t xml:space="preserve">G3</t>
  </si>
  <si>
    <t xml:space="preserve">UK only</t>
  </si>
  <si>
    <t xml:space="preserve">Unlisted countries</t>
  </si>
  <si>
    <t xml:space="preserve">P1</t>
  </si>
  <si>
    <t xml:space="preserve">Savings only</t>
  </si>
  <si>
    <t xml:space="preserve">Current account, no overdraft</t>
  </si>
  <si>
    <t xml:space="preserve">Current account with credit</t>
  </si>
  <si>
    <t xml:space="preserve">Business account, basic</t>
  </si>
  <si>
    <t xml:space="preserve">Business account, cash and international</t>
  </si>
  <si>
    <t xml:space="preserve">P2</t>
  </si>
  <si>
    <t xml:space="preserve">No cash facility</t>
  </si>
  <si>
    <t xml:space="preserve">Withdrawal only</t>
  </si>
  <si>
    <t xml:space="preserve">Under 2k a month</t>
  </si>
  <si>
    <t xml:space="preserve">2k to 10k a month</t>
  </si>
  <si>
    <t xml:space="preserve">Over 10k a month</t>
  </si>
  <si>
    <t xml:space="preserve">P3</t>
  </si>
  <si>
    <t xml:space="preserve">Not enabled</t>
  </si>
  <si>
    <t xml:space="preserve">Enabled, unused</t>
  </si>
  <si>
    <t xml:space="preserve">Occasional payments</t>
  </si>
  <si>
    <t xml:space="preserve">Regular payments</t>
  </si>
  <si>
    <t xml:space="preserve">Payments to listed country</t>
  </si>
  <si>
    <t xml:space="preserve">P4</t>
  </si>
  <si>
    <t xml:space="preserve">Sole party</t>
  </si>
  <si>
    <t xml:space="preserve">Joint, related</t>
  </si>
  <si>
    <t xml:space="preserve">Mandate, evidenced</t>
  </si>
  <si>
    <t xml:space="preserve">Power of attorney</t>
  </si>
  <si>
    <t xml:space="preserve">Unexplained signatories</t>
  </si>
  <si>
    <t xml:space="preserve">D1</t>
  </si>
  <si>
    <t xml:space="preserve">Branch</t>
  </si>
  <si>
    <t xml:space="preserve">Telephone and branch</t>
  </si>
  <si>
    <t xml:space="preserve">Digital, own app</t>
  </si>
  <si>
    <t xml:space="preserve">Digital, assisted</t>
  </si>
  <si>
    <t xml:space="preserve">Unsupervised intermediary</t>
  </si>
  <si>
    <t xml:space="preserve">D2</t>
  </si>
  <si>
    <t xml:space="preserve">Documents face to face</t>
  </si>
  <si>
    <t xml:space="preserve">Certified copies</t>
  </si>
  <si>
    <t xml:space="preserve">Electronic, two sources</t>
  </si>
  <si>
    <t xml:space="preserve">Electronic, one source</t>
  </si>
  <si>
    <t xml:space="preserve">Uncorroborated documents</t>
  </si>
  <si>
    <t xml:space="preserve">D3</t>
  </si>
  <si>
    <t xml:space="preserve">Direct</t>
  </si>
  <si>
    <t xml:space="preserve">Customer referral</t>
  </si>
  <si>
    <t xml:space="preserve">Comparison site</t>
  </si>
  <si>
    <t xml:space="preserve">Register checked</t>
  </si>
  <si>
    <t xml:space="preserve">Register not confirmed</t>
  </si>
  <si>
    <t xml:space="preserve">A1</t>
  </si>
  <si>
    <t xml:space="preserve">Under 5k, consistent</t>
  </si>
  <si>
    <t xml:space="preserve">5k to 25k, consistent</t>
  </si>
  <si>
    <t xml:space="preserve">Over 25k, consistent</t>
  </si>
  <si>
    <t xml:space="preserve">Above sector expectation</t>
  </si>
  <si>
    <t xml:space="preserve">Unexplained</t>
  </si>
  <si>
    <t xml:space="preserve">A2</t>
  </si>
  <si>
    <t xml:space="preserve">No cash credits</t>
  </si>
  <si>
    <t xml:space="preserve">Up to 10 percent</t>
  </si>
  <si>
    <t xml:space="preserve">10 to 30 percent</t>
  </si>
  <si>
    <t xml:space="preserve">30 to 60 percent</t>
  </si>
  <si>
    <t xml:space="preserve">Over 60 percent</t>
  </si>
  <si>
    <t xml:space="preserve">A3</t>
  </si>
  <si>
    <t xml:space="preserve">None</t>
  </si>
  <si>
    <t xml:space="preserve">10 to 40 percent</t>
  </si>
  <si>
    <t xml:space="preserve">Over 40 percent</t>
  </si>
  <si>
    <t xml:space="preserve">Over 40 percent, listed country</t>
  </si>
  <si>
    <t xml:space="preserve">A4</t>
  </si>
  <si>
    <t xml:space="preserve">Employer and retail</t>
  </si>
  <si>
    <t xml:space="preserve">Named businesses</t>
  </si>
  <si>
    <t xml:space="preserve">Many individuals</t>
  </si>
  <si>
    <t xml:space="preserve">Sector 4 counterparties</t>
  </si>
  <si>
    <t xml:space="preserve">Undescribed or sector 5</t>
  </si>
  <si>
    <t xml:space="preserve">A5</t>
  </si>
  <si>
    <t xml:space="preserve">Consistent</t>
  </si>
  <si>
    <t xml:space="preserve">Minor, explained</t>
  </si>
  <si>
    <t xml:space="preserve">Resolved on follow-up</t>
  </si>
  <si>
    <t xml:space="preserve">Unresolved</t>
  </si>
  <si>
    <t xml:space="preserve">Not credible</t>
  </si>
  <si>
    <t xml:space="preserve">Category</t>
  </si>
  <si>
    <t xml:space="preserve">Effective weight</t>
  </si>
  <si>
    <t xml:space="preserve">Weight in category</t>
  </si>
  <si>
    <t xml:space="preserve">Category weight</t>
  </si>
  <si>
    <t xml:space="preserve">C</t>
  </si>
  <si>
    <t xml:space="preserve">Customer</t>
  </si>
  <si>
    <t xml:space="preserve">Geography</t>
  </si>
  <si>
    <t xml:space="preserve">Product and service</t>
  </si>
  <si>
    <t xml:space="preserve">Delivery channel</t>
  </si>
  <si>
    <t xml:space="preserve">Expected activity</t>
  </si>
  <si>
    <t xml:space="preserve">G</t>
  </si>
  <si>
    <t xml:space="preserve">P</t>
  </si>
  <si>
    <t xml:space="preserve">D</t>
  </si>
  <si>
    <t xml:space="preserve">A</t>
  </si>
  <si>
    <t xml:space="preserve">Total</t>
  </si>
  <si>
    <t xml:space="preserve">Copied from model/risk-factor-library.xlsx v0.3. Check 4 below confirms the total is still 100%.</t>
  </si>
  <si>
    <t xml:space="preserve">Horizontal copy used by the Scoring sheet</t>
  </si>
  <si>
    <t xml:space="preserve">customer_id</t>
  </si>
  <si>
    <t xml:space="preserve">segment</t>
  </si>
  <si>
    <t xml:space="preserve">sar_last_12m</t>
  </si>
  <si>
    <t xml:space="preserve">onboarded</t>
  </si>
  <si>
    <t xml:space="preserve">NG-10252</t>
  </si>
  <si>
    <t xml:space="preserve">Personal</t>
  </si>
  <si>
    <t xml:space="preserve">No</t>
  </si>
  <si>
    <t xml:space="preserve">2025-10-07</t>
  </si>
  <si>
    <t xml:space="preserve">NG-10111</t>
  </si>
  <si>
    <t xml:space="preserve">2024-09-25</t>
  </si>
  <si>
    <t xml:space="preserve">NG-10086</t>
  </si>
  <si>
    <t xml:space="preserve">2025-08-03</t>
  </si>
  <si>
    <t xml:space="preserve">NG-10203</t>
  </si>
  <si>
    <t xml:space="preserve">2025-11-30</t>
  </si>
  <si>
    <t xml:space="preserve">NG-10171</t>
  </si>
  <si>
    <t xml:space="preserve">2025-07-27</t>
  </si>
  <si>
    <t xml:space="preserve">NG-10124</t>
  </si>
  <si>
    <t xml:space="preserve">2024-10-29</t>
  </si>
  <si>
    <t xml:space="preserve">NG-10062</t>
  </si>
  <si>
    <t xml:space="preserve">2025-08-24</t>
  </si>
  <si>
    <t xml:space="preserve">NG-10104</t>
  </si>
  <si>
    <t xml:space="preserve">2025-02-15</t>
  </si>
  <si>
    <t xml:space="preserve">NG-10277</t>
  </si>
  <si>
    <t xml:space="preserve">2024-04-13</t>
  </si>
  <si>
    <t xml:space="preserve">NG-10052</t>
  </si>
  <si>
    <t xml:space="preserve">2024-08-24</t>
  </si>
  <si>
    <t xml:space="preserve">NG-10107</t>
  </si>
  <si>
    <t xml:space="preserve">2024-11-08</t>
  </si>
  <si>
    <t xml:space="preserve">NG-10190</t>
  </si>
  <si>
    <t xml:space="preserve">2025-03-18</t>
  </si>
  <si>
    <t xml:space="preserve">NG-10205</t>
  </si>
  <si>
    <t xml:space="preserve">2024-06-06</t>
  </si>
  <si>
    <t xml:space="preserve">NG-10381</t>
  </si>
  <si>
    <t xml:space="preserve">Limited company</t>
  </si>
  <si>
    <t xml:space="preserve">2024-08-23</t>
  </si>
  <si>
    <t xml:space="preserve">NG-10131</t>
  </si>
  <si>
    <t xml:space="preserve">2024-12-31</t>
  </si>
  <si>
    <t xml:space="preserve">NG-10395</t>
  </si>
  <si>
    <t xml:space="preserve">2025-04-19</t>
  </si>
  <si>
    <t xml:space="preserve">NG-10270</t>
  </si>
  <si>
    <t xml:space="preserve">2024-05-16</t>
  </si>
  <si>
    <t xml:space="preserve">NG-10189</t>
  </si>
  <si>
    <t xml:space="preserve">2025-08-20</t>
  </si>
  <si>
    <t xml:space="preserve">NG-10372</t>
  </si>
  <si>
    <t xml:space="preserve">2024-10-16</t>
  </si>
  <si>
    <t xml:space="preserve">NG-10317</t>
  </si>
  <si>
    <t xml:space="preserve">Sole trader</t>
  </si>
  <si>
    <t xml:space="preserve">2025-09-01</t>
  </si>
  <si>
    <t xml:space="preserve">NG-10170</t>
  </si>
  <si>
    <t xml:space="preserve">2025-08-12</t>
  </si>
  <si>
    <t xml:space="preserve">NG-10194</t>
  </si>
  <si>
    <t xml:space="preserve">Yes</t>
  </si>
  <si>
    <t xml:space="preserve">2025-11-05</t>
  </si>
  <si>
    <t xml:space="preserve">NG-10060</t>
  </si>
  <si>
    <t xml:space="preserve">2025-08-16</t>
  </si>
  <si>
    <t xml:space="preserve">NG-10155</t>
  </si>
  <si>
    <t xml:space="preserve">2024-01-03</t>
  </si>
  <si>
    <t xml:space="preserve">NG-10039</t>
  </si>
  <si>
    <t xml:space="preserve">2025-12-15</t>
  </si>
  <si>
    <t xml:space="preserve">NG-10053</t>
  </si>
  <si>
    <t xml:space="preserve">2024-09-21</t>
  </si>
  <si>
    <t xml:space="preserve">NG-10371</t>
  </si>
  <si>
    <t xml:space="preserve">2024-03-18</t>
  </si>
  <si>
    <t xml:space="preserve">NG-10008</t>
  </si>
  <si>
    <t xml:space="preserve">2025-01-04</t>
  </si>
  <si>
    <t xml:space="preserve">NG-10282</t>
  </si>
  <si>
    <t xml:space="preserve">2024-02-10</t>
  </si>
  <si>
    <t xml:space="preserve">NG-10172</t>
  </si>
  <si>
    <t xml:space="preserve">2024-02-17</t>
  </si>
  <si>
    <t xml:space="preserve">NG-10143</t>
  </si>
  <si>
    <t xml:space="preserve">2024-03-11</t>
  </si>
  <si>
    <t xml:space="preserve">NG-10391</t>
  </si>
  <si>
    <t xml:space="preserve">2025-03-09</t>
  </si>
  <si>
    <t xml:space="preserve">NG-10400</t>
  </si>
  <si>
    <t xml:space="preserve">2025-04-29</t>
  </si>
  <si>
    <t xml:space="preserve">NG-10365</t>
  </si>
  <si>
    <t xml:space="preserve">NG-10149</t>
  </si>
  <si>
    <t xml:space="preserve">2025-07-28</t>
  </si>
  <si>
    <t xml:space="preserve">NG-10383</t>
  </si>
  <si>
    <t xml:space="preserve">2025-02-26</t>
  </si>
  <si>
    <t xml:space="preserve">NG-10250</t>
  </si>
  <si>
    <t xml:space="preserve">2024-03-17</t>
  </si>
  <si>
    <t xml:space="preserve">NG-10121</t>
  </si>
  <si>
    <t xml:space="preserve">2025-12-10</t>
  </si>
  <si>
    <t xml:space="preserve">NG-10369</t>
  </si>
  <si>
    <t xml:space="preserve">2025-08-28</t>
  </si>
  <si>
    <t xml:space="preserve">NG-10338</t>
  </si>
  <si>
    <t xml:space="preserve">2024-04-02</t>
  </si>
  <si>
    <t xml:space="preserve">NG-10313</t>
  </si>
  <si>
    <t xml:space="preserve">2024-01-19</t>
  </si>
  <si>
    <t xml:space="preserve">NG-10230</t>
  </si>
  <si>
    <t xml:space="preserve">2025-07-18</t>
  </si>
  <si>
    <t xml:space="preserve">NG-10091</t>
  </si>
  <si>
    <t xml:space="preserve">2024-09-15</t>
  </si>
  <si>
    <t xml:space="preserve">NG-10032</t>
  </si>
  <si>
    <t xml:space="preserve">2025-06-06</t>
  </si>
  <si>
    <t xml:space="preserve">NG-10092</t>
  </si>
  <si>
    <t xml:space="preserve">2024-03-28</t>
  </si>
  <si>
    <t xml:space="preserve">NG-10113</t>
  </si>
  <si>
    <t xml:space="preserve">2024-10-26</t>
  </si>
  <si>
    <t xml:space="preserve">NG-10044</t>
  </si>
  <si>
    <t xml:space="preserve">2025-07-03</t>
  </si>
  <si>
    <t xml:space="preserve">NG-10262</t>
  </si>
  <si>
    <t xml:space="preserve">2024-04-08</t>
  </si>
  <si>
    <t xml:space="preserve">NG-10221</t>
  </si>
  <si>
    <t xml:space="preserve">2024-12-03</t>
  </si>
  <si>
    <t xml:space="preserve">NG-10399</t>
  </si>
  <si>
    <t xml:space="preserve">2024-11-01</t>
  </si>
  <si>
    <t xml:space="preserve">NG-10243</t>
  </si>
  <si>
    <t xml:space="preserve">2025-12-13</t>
  </si>
  <si>
    <t xml:space="preserve">NG-10022</t>
  </si>
  <si>
    <t xml:space="preserve">2025-09-28</t>
  </si>
  <si>
    <t xml:space="preserve">NG-10003</t>
  </si>
  <si>
    <t xml:space="preserve">2025-06-17</t>
  </si>
  <si>
    <t xml:space="preserve">NG-10002</t>
  </si>
  <si>
    <t xml:space="preserve">2024-08-09</t>
  </si>
  <si>
    <t xml:space="preserve">NG-10231</t>
  </si>
  <si>
    <t xml:space="preserve">2024-09-20</t>
  </si>
  <si>
    <t xml:space="preserve">NG-10380</t>
  </si>
  <si>
    <t xml:space="preserve">2025-10-04</t>
  </si>
  <si>
    <t xml:space="preserve">NG-10196</t>
  </si>
  <si>
    <t xml:space="preserve">2025-04-23</t>
  </si>
  <si>
    <t xml:space="preserve">NG-10304</t>
  </si>
  <si>
    <t xml:space="preserve">2025-01-19</t>
  </si>
  <si>
    <t xml:space="preserve">NG-10106</t>
  </si>
  <si>
    <t xml:space="preserve">2025-09-30</t>
  </si>
  <si>
    <t xml:space="preserve">NG-10114</t>
  </si>
  <si>
    <t xml:space="preserve">2025-06-18</t>
  </si>
  <si>
    <t xml:space="preserve">NG-10326</t>
  </si>
  <si>
    <t xml:space="preserve">2024-03-25</t>
  </si>
  <si>
    <t xml:space="preserve">NG-10010</t>
  </si>
  <si>
    <t xml:space="preserve">2024-10-23</t>
  </si>
  <si>
    <t xml:space="preserve">NG-10324</t>
  </si>
  <si>
    <t xml:space="preserve">2025-10-09</t>
  </si>
  <si>
    <t xml:space="preserve">NG-10323</t>
  </si>
  <si>
    <t xml:space="preserve">2025-10-27</t>
  </si>
  <si>
    <t xml:space="preserve">NG-10178</t>
  </si>
  <si>
    <t xml:space="preserve">NG-10234</t>
  </si>
  <si>
    <t xml:space="preserve">2024-04-24</t>
  </si>
  <si>
    <t xml:space="preserve">NG-10325</t>
  </si>
  <si>
    <t xml:space="preserve">2025-09-24</t>
  </si>
  <si>
    <t xml:space="preserve">NG-10184</t>
  </si>
  <si>
    <t xml:space="preserve">2024-09-27</t>
  </si>
  <si>
    <t xml:space="preserve">NG-10069</t>
  </si>
  <si>
    <t xml:space="preserve">2025-11-29</t>
  </si>
  <si>
    <t xml:space="preserve">NG-10016</t>
  </si>
  <si>
    <t xml:space="preserve">2024-02-15</t>
  </si>
  <si>
    <t xml:space="preserve">NG-10329</t>
  </si>
  <si>
    <t xml:space="preserve">2024-12-17</t>
  </si>
  <si>
    <t xml:space="preserve">NG-10204</t>
  </si>
  <si>
    <t xml:space="preserve">2024-06-16</t>
  </si>
  <si>
    <t xml:space="preserve">NG-10307</t>
  </si>
  <si>
    <t xml:space="preserve">2025-05-11</t>
  </si>
  <si>
    <t xml:space="preserve">NG-10239</t>
  </si>
  <si>
    <t xml:space="preserve">2025-11-04</t>
  </si>
  <si>
    <t xml:space="preserve">NG-10298</t>
  </si>
  <si>
    <t xml:space="preserve">2025-01-13</t>
  </si>
  <si>
    <t xml:space="preserve">NG-10139</t>
  </si>
  <si>
    <t xml:space="preserve">2024-10-09</t>
  </si>
  <si>
    <t xml:space="preserve">NG-10386</t>
  </si>
  <si>
    <t xml:space="preserve">2025-11-01</t>
  </si>
  <si>
    <t xml:space="preserve">NG-10378</t>
  </si>
  <si>
    <t xml:space="preserve">2024-11-21</t>
  </si>
  <si>
    <t xml:space="preserve">NG-10188</t>
  </si>
  <si>
    <t xml:space="preserve">2025-01-23</t>
  </si>
  <si>
    <t xml:space="preserve">NG-10279</t>
  </si>
  <si>
    <t xml:space="preserve">NG-10096</t>
  </si>
  <si>
    <t xml:space="preserve">2025-12-05</t>
  </si>
  <si>
    <t xml:space="preserve">NG-10021</t>
  </si>
  <si>
    <t xml:space="preserve">2025-02-16</t>
  </si>
  <si>
    <t xml:space="preserve">NG-10068</t>
  </si>
  <si>
    <t xml:space="preserve">2024-09-12</t>
  </si>
  <si>
    <t xml:space="preserve">NG-10336</t>
  </si>
  <si>
    <t xml:space="preserve">2024-04-20</t>
  </si>
  <si>
    <t xml:space="preserve">NG-10130</t>
  </si>
  <si>
    <t xml:space="preserve">2024-06-02</t>
  </si>
  <si>
    <t xml:space="preserve">NG-10119</t>
  </si>
  <si>
    <t xml:space="preserve">2024-03-13</t>
  </si>
  <si>
    <t xml:space="preserve">NG-10237</t>
  </si>
  <si>
    <t xml:space="preserve">2024-10-08</t>
  </si>
  <si>
    <t xml:space="preserve">NG-10284</t>
  </si>
  <si>
    <t xml:space="preserve">2025-12-11</t>
  </si>
  <si>
    <t xml:space="preserve">NG-10272</t>
  </si>
  <si>
    <t xml:space="preserve">2024-05-22</t>
  </si>
  <si>
    <t xml:space="preserve">NG-10263</t>
  </si>
  <si>
    <t xml:space="preserve">2025-09-18</t>
  </si>
  <si>
    <t xml:space="preserve">NG-10061</t>
  </si>
  <si>
    <t xml:space="preserve">2024-02-29</t>
  </si>
  <si>
    <t xml:space="preserve">NG-10387</t>
  </si>
  <si>
    <t xml:space="preserve">2024-02-01</t>
  </si>
  <si>
    <t xml:space="preserve">NG-10055</t>
  </si>
  <si>
    <t xml:space="preserve">2024-12-16</t>
  </si>
  <si>
    <t xml:space="preserve">NG-10035</t>
  </si>
  <si>
    <t xml:space="preserve">2024-01-24</t>
  </si>
  <si>
    <t xml:space="preserve">NG-10001</t>
  </si>
  <si>
    <t xml:space="preserve">2024-07-19</t>
  </si>
  <si>
    <t xml:space="preserve">NG-10090</t>
  </si>
  <si>
    <t xml:space="preserve">2025-02-13</t>
  </si>
  <si>
    <t xml:space="preserve">NG-10240</t>
  </si>
  <si>
    <t xml:space="preserve">2024-05-21</t>
  </si>
  <si>
    <t xml:space="preserve">NG-10300</t>
  </si>
  <si>
    <t xml:space="preserve">NG-10297</t>
  </si>
  <si>
    <t xml:space="preserve">2025-03-30</t>
  </si>
  <si>
    <t xml:space="preserve">NG-10070</t>
  </si>
  <si>
    <t xml:space="preserve">2024-04-14</t>
  </si>
  <si>
    <t xml:space="preserve">NG-10041</t>
  </si>
  <si>
    <t xml:space="preserve">2025-12-01</t>
  </si>
  <si>
    <t xml:space="preserve">NG-10007</t>
  </si>
  <si>
    <t xml:space="preserve">2024-05-01</t>
  </si>
  <si>
    <t xml:space="preserve">NG-10024</t>
  </si>
  <si>
    <t xml:space="preserve">NG-10247</t>
  </si>
  <si>
    <t xml:space="preserve">NG-10087</t>
  </si>
  <si>
    <t xml:space="preserve">2024-10-28</t>
  </si>
  <si>
    <t xml:space="preserve">NG-10051</t>
  </si>
  <si>
    <t xml:space="preserve">2024-02-05</t>
  </si>
  <si>
    <t xml:space="preserve">NG-10359</t>
  </si>
  <si>
    <t xml:space="preserve">2024-03-07</t>
  </si>
  <si>
    <t xml:space="preserve">NG-10349</t>
  </si>
  <si>
    <t xml:space="preserve">2025-03-16</t>
  </si>
  <si>
    <t xml:space="preserve">NG-10374</t>
  </si>
  <si>
    <t xml:space="preserve">2025-04-04</t>
  </si>
  <si>
    <t xml:space="preserve">NG-10283</t>
  </si>
  <si>
    <t xml:space="preserve">2024-11-18</t>
  </si>
  <si>
    <t xml:space="preserve">NG-10164</t>
  </si>
  <si>
    <t xml:space="preserve">2025-09-29</t>
  </si>
  <si>
    <t xml:space="preserve">NG-10146</t>
  </si>
  <si>
    <t xml:space="preserve">2025-12-17</t>
  </si>
  <si>
    <t xml:space="preserve">NG-10101</t>
  </si>
  <si>
    <t xml:space="preserve">NG-10199</t>
  </si>
  <si>
    <t xml:space="preserve">NG-10227</t>
  </si>
  <si>
    <t xml:space="preserve">2025-11-06</t>
  </si>
  <si>
    <t xml:space="preserve">NG-10269</t>
  </si>
  <si>
    <t xml:space="preserve">2025-05-07</t>
  </si>
  <si>
    <t xml:space="preserve">NG-10159</t>
  </si>
  <si>
    <t xml:space="preserve">2024-02-08</t>
  </si>
  <si>
    <t xml:space="preserve">NG-10153</t>
  </si>
  <si>
    <t xml:space="preserve">2025-03-11</t>
  </si>
  <si>
    <t xml:space="preserve">NG-10183</t>
  </si>
  <si>
    <t xml:space="preserve">2024-10-10</t>
  </si>
  <si>
    <t xml:space="preserve">NG-10054</t>
  </si>
  <si>
    <t xml:space="preserve">2025-12-28</t>
  </si>
  <si>
    <t xml:space="preserve">NG-10198</t>
  </si>
  <si>
    <t xml:space="preserve">2024-06-12</t>
  </si>
  <si>
    <t xml:space="preserve">NG-10342</t>
  </si>
  <si>
    <t xml:space="preserve">NG-10289</t>
  </si>
  <si>
    <t xml:space="preserve">2025-03-12</t>
  </si>
  <si>
    <t xml:space="preserve">NG-10023</t>
  </si>
  <si>
    <t xml:space="preserve">2025-08-05</t>
  </si>
  <si>
    <t xml:space="preserve">NG-10056</t>
  </si>
  <si>
    <t xml:space="preserve">2025-02-04</t>
  </si>
  <si>
    <t xml:space="preserve">NG-10346</t>
  </si>
  <si>
    <t xml:space="preserve">2024-02-25</t>
  </si>
  <si>
    <t xml:space="preserve">NG-10301</t>
  </si>
  <si>
    <t xml:space="preserve">2024-02-07</t>
  </si>
  <si>
    <t xml:space="preserve">NG-10222</t>
  </si>
  <si>
    <t xml:space="preserve">2025-08-01</t>
  </si>
  <si>
    <t xml:space="preserve">NG-10129</t>
  </si>
  <si>
    <t xml:space="preserve">2025-11-26</t>
  </si>
  <si>
    <t xml:space="preserve">NG-10215</t>
  </si>
  <si>
    <t xml:space="preserve">NG-10327</t>
  </si>
  <si>
    <t xml:space="preserve">2024-05-25</t>
  </si>
  <si>
    <t xml:space="preserve">NG-10127</t>
  </si>
  <si>
    <t xml:space="preserve">2024-01-21</t>
  </si>
  <si>
    <t xml:space="preserve">NG-10136</t>
  </si>
  <si>
    <t xml:space="preserve">2024-11-11</t>
  </si>
  <si>
    <t xml:space="preserve">NG-10017</t>
  </si>
  <si>
    <t xml:space="preserve">2025-06-13</t>
  </si>
  <si>
    <t xml:space="preserve">NG-10110</t>
  </si>
  <si>
    <t xml:space="preserve">NG-10267</t>
  </si>
  <si>
    <t xml:space="preserve">2025-04-09</t>
  </si>
  <si>
    <t xml:space="preserve">NG-10128</t>
  </si>
  <si>
    <t xml:space="preserve">2024-04-05</t>
  </si>
  <si>
    <t xml:space="preserve">NG-10161</t>
  </si>
  <si>
    <t xml:space="preserve">2024-03-14</t>
  </si>
  <si>
    <t xml:space="preserve">NG-10050</t>
  </si>
  <si>
    <t xml:space="preserve">2025-03-19</t>
  </si>
  <si>
    <t xml:space="preserve">NG-10246</t>
  </si>
  <si>
    <t xml:space="preserve">NG-10075</t>
  </si>
  <si>
    <t xml:space="preserve">2024-06-21</t>
  </si>
  <si>
    <t xml:space="preserve">NG-10042</t>
  </si>
  <si>
    <t xml:space="preserve">2024-03-05</t>
  </si>
  <si>
    <t xml:space="preserve">NG-10392</t>
  </si>
  <si>
    <t xml:space="preserve">2025-01-12</t>
  </si>
  <si>
    <t xml:space="preserve">NG-10331</t>
  </si>
  <si>
    <t xml:space="preserve">2024-10-21</t>
  </si>
  <si>
    <t xml:space="preserve">NG-10390</t>
  </si>
  <si>
    <t xml:space="preserve">NG-10115</t>
  </si>
  <si>
    <t xml:space="preserve">2025-08-27</t>
  </si>
  <si>
    <t xml:space="preserve">NG-10169</t>
  </si>
  <si>
    <t xml:space="preserve">2024-04-30</t>
  </si>
  <si>
    <t xml:space="preserve">NG-10209</t>
  </si>
  <si>
    <t xml:space="preserve">NG-10137</t>
  </si>
  <si>
    <t xml:space="preserve">2024-06-29</t>
  </si>
  <si>
    <t xml:space="preserve">NG-10067</t>
  </si>
  <si>
    <t xml:space="preserve">2025-05-20</t>
  </si>
  <si>
    <t xml:space="preserve">NG-10259</t>
  </si>
  <si>
    <t xml:space="preserve">2025-03-24</t>
  </si>
  <si>
    <t xml:space="preserve">NG-10013</t>
  </si>
  <si>
    <t xml:space="preserve">2025-06-27</t>
  </si>
  <si>
    <t xml:space="preserve">NG-10389</t>
  </si>
  <si>
    <t xml:space="preserve">2024-11-12</t>
  </si>
  <si>
    <t xml:space="preserve">NG-10271</t>
  </si>
  <si>
    <t xml:space="preserve">2025-07-11</t>
  </si>
  <si>
    <t xml:space="preserve">NG-10047</t>
  </si>
  <si>
    <t xml:space="preserve">2024-10-11</t>
  </si>
  <si>
    <t xml:space="preserve">NG-10179</t>
  </si>
  <si>
    <t xml:space="preserve">2025-09-14</t>
  </si>
  <si>
    <t xml:space="preserve">NG-10318</t>
  </si>
  <si>
    <t xml:space="preserve">2024-02-06</t>
  </si>
  <si>
    <t xml:space="preserve">NG-10347</t>
  </si>
  <si>
    <t xml:space="preserve">2024-06-03</t>
  </si>
  <si>
    <t xml:space="preserve">NG-10217</t>
  </si>
  <si>
    <t xml:space="preserve">2024-07-12</t>
  </si>
  <si>
    <t xml:space="preserve">NG-10305</t>
  </si>
  <si>
    <t xml:space="preserve">2024-11-30</t>
  </si>
  <si>
    <t xml:space="preserve">NG-10138</t>
  </si>
  <si>
    <t xml:space="preserve">2024-02-22</t>
  </si>
  <si>
    <t xml:space="preserve">NG-10310</t>
  </si>
  <si>
    <t xml:space="preserve">2024-07-30</t>
  </si>
  <si>
    <t xml:space="preserve">NG-10040</t>
  </si>
  <si>
    <t xml:space="preserve">NG-10080</t>
  </si>
  <si>
    <t xml:space="preserve">2024-11-16</t>
  </si>
  <si>
    <t xml:space="preserve">NG-10274</t>
  </si>
  <si>
    <t xml:space="preserve">2024-04-17</t>
  </si>
  <si>
    <t xml:space="preserve">NG-10384</t>
  </si>
  <si>
    <t xml:space="preserve">NG-10089</t>
  </si>
  <si>
    <t xml:space="preserve">NG-10141</t>
  </si>
  <si>
    <t xml:space="preserve">2024-05-24</t>
  </si>
  <si>
    <t xml:space="preserve">NG-10337</t>
  </si>
  <si>
    <t xml:space="preserve">2024-11-03</t>
  </si>
  <si>
    <t xml:space="preserve">NG-10065</t>
  </si>
  <si>
    <t xml:space="preserve">2024-10-15</t>
  </si>
  <si>
    <t xml:space="preserve">NG-10163</t>
  </si>
  <si>
    <t xml:space="preserve">2025-01-05</t>
  </si>
  <si>
    <t xml:space="preserve">NG-10012</t>
  </si>
  <si>
    <t xml:space="preserve">2024-04-21</t>
  </si>
  <si>
    <t xml:space="preserve">NG-10316</t>
  </si>
  <si>
    <t xml:space="preserve">2025-11-10</t>
  </si>
  <si>
    <t xml:space="preserve">NG-10311</t>
  </si>
  <si>
    <t xml:space="preserve">2025-12-30</t>
  </si>
  <si>
    <t xml:space="preserve">NG-10334</t>
  </si>
  <si>
    <t xml:space="preserve">2025-05-08</t>
  </si>
  <si>
    <t xml:space="preserve">NG-10258</t>
  </si>
  <si>
    <t xml:space="preserve">2024-06-07</t>
  </si>
  <si>
    <t xml:space="preserve">NG-10073</t>
  </si>
  <si>
    <t xml:space="preserve">2025-08-19</t>
  </si>
  <si>
    <t xml:space="preserve">NG-10175</t>
  </si>
  <si>
    <t xml:space="preserve">2025-07-21</t>
  </si>
  <si>
    <t xml:space="preserve">NG-10064</t>
  </si>
  <si>
    <t xml:space="preserve">2025-03-29</t>
  </si>
  <si>
    <t xml:space="preserve">NG-10120</t>
  </si>
  <si>
    <t xml:space="preserve">2024-08-31</t>
  </si>
  <si>
    <t xml:space="preserve">NG-10330</t>
  </si>
  <si>
    <t xml:space="preserve">2025-01-02</t>
  </si>
  <si>
    <t xml:space="preserve">NG-10360</t>
  </si>
  <si>
    <t xml:space="preserve">NG-10197</t>
  </si>
  <si>
    <t xml:space="preserve">NG-10220</t>
  </si>
  <si>
    <t xml:space="preserve">2024-08-19</t>
  </si>
  <si>
    <t xml:space="preserve">NG-10027</t>
  </si>
  <si>
    <t xml:space="preserve">2024-02-20</t>
  </si>
  <si>
    <t xml:space="preserve">NG-10357</t>
  </si>
  <si>
    <t xml:space="preserve">2024-09-06</t>
  </si>
  <si>
    <t xml:space="preserve">NG-10088</t>
  </si>
  <si>
    <t xml:space="preserve">2024-02-23</t>
  </si>
  <si>
    <t xml:space="preserve">NG-10351</t>
  </si>
  <si>
    <t xml:space="preserve">2024-12-10</t>
  </si>
  <si>
    <t xml:space="preserve">NG-10116</t>
  </si>
  <si>
    <t xml:space="preserve">2024-03-10</t>
  </si>
  <si>
    <t xml:space="preserve">NG-10186</t>
  </si>
  <si>
    <t xml:space="preserve">2025-09-23</t>
  </si>
  <si>
    <t xml:space="preserve">NG-10173</t>
  </si>
  <si>
    <t xml:space="preserve">NG-10261</t>
  </si>
  <si>
    <t xml:space="preserve">2024-11-25</t>
  </si>
  <si>
    <t xml:space="preserve">NG-10112</t>
  </si>
  <si>
    <t xml:space="preserve">2024-07-07</t>
  </si>
  <si>
    <t xml:space="preserve">NG-10025</t>
  </si>
  <si>
    <t xml:space="preserve">2025-12-24</t>
  </si>
  <si>
    <t xml:space="preserve">NG-10264</t>
  </si>
  <si>
    <t xml:space="preserve">2025-02-28</t>
  </si>
  <si>
    <t xml:space="preserve">NG-10105</t>
  </si>
  <si>
    <t xml:space="preserve">2025-12-26</t>
  </si>
  <si>
    <t xml:space="preserve">NG-10216</t>
  </si>
  <si>
    <t xml:space="preserve">2025-04-24</t>
  </si>
  <si>
    <t xml:space="preserve">NG-10144</t>
  </si>
  <si>
    <t xml:space="preserve">2024-09-26</t>
  </si>
  <si>
    <t xml:space="preserve">NG-10174</t>
  </si>
  <si>
    <t xml:space="preserve">NG-10350</t>
  </si>
  <si>
    <t xml:space="preserve">2024-01-27</t>
  </si>
  <si>
    <t xml:space="preserve">NG-10079</t>
  </si>
  <si>
    <t xml:space="preserve">2025-02-01</t>
  </si>
  <si>
    <t xml:space="preserve">NG-10126</t>
  </si>
  <si>
    <t xml:space="preserve">NG-10048</t>
  </si>
  <si>
    <t xml:space="preserve">2025-01-30</t>
  </si>
  <si>
    <t xml:space="preserve">NG-10368</t>
  </si>
  <si>
    <t xml:space="preserve">2024-05-20</t>
  </si>
  <si>
    <t xml:space="preserve">NG-10206</t>
  </si>
  <si>
    <t xml:space="preserve">2025-02-19</t>
  </si>
  <si>
    <t xml:space="preserve">NG-10235</t>
  </si>
  <si>
    <t xml:space="preserve">2024-03-15</t>
  </si>
  <si>
    <t xml:space="preserve">NG-10195</t>
  </si>
  <si>
    <t xml:space="preserve">NG-10108</t>
  </si>
  <si>
    <t xml:space="preserve">2025-05-16</t>
  </si>
  <si>
    <t xml:space="preserve">NG-10125</t>
  </si>
  <si>
    <t xml:space="preserve">2024-07-06</t>
  </si>
  <si>
    <t xml:space="preserve">NG-10019</t>
  </si>
  <si>
    <t xml:space="preserve">2024-10-01</t>
  </si>
  <si>
    <t xml:space="preserve">NG-10361</t>
  </si>
  <si>
    <t xml:space="preserve">2025-12-16</t>
  </si>
  <si>
    <t xml:space="preserve">NG-10333</t>
  </si>
  <si>
    <t xml:space="preserve">NG-10245</t>
  </si>
  <si>
    <t xml:space="preserve">NG-10340</t>
  </si>
  <si>
    <t xml:space="preserve">2025-01-21</t>
  </si>
  <si>
    <t xml:space="preserve">NG-10290</t>
  </si>
  <si>
    <t xml:space="preserve">2024-09-19</t>
  </si>
  <si>
    <t xml:space="preserve">NG-10038</t>
  </si>
  <si>
    <t xml:space="preserve">2024-07-22</t>
  </si>
  <si>
    <t xml:space="preserve">NG-10018</t>
  </si>
  <si>
    <t xml:space="preserve">2024-11-22</t>
  </si>
  <si>
    <t xml:space="preserve">NG-10099</t>
  </si>
  <si>
    <t xml:space="preserve">2025-06-20</t>
  </si>
  <si>
    <t xml:space="preserve">NG-10031</t>
  </si>
  <si>
    <t xml:space="preserve">2025-03-20</t>
  </si>
  <si>
    <t xml:space="preserve">NG-10229</t>
  </si>
  <si>
    <t xml:space="preserve">2024-03-08</t>
  </si>
  <si>
    <t xml:space="preserve">NG-10266</t>
  </si>
  <si>
    <t xml:space="preserve">2024-06-22</t>
  </si>
  <si>
    <t xml:space="preserve">NG-10058</t>
  </si>
  <si>
    <t xml:space="preserve">NG-10228</t>
  </si>
  <si>
    <t xml:space="preserve">2024-06-27</t>
  </si>
  <si>
    <t xml:space="preserve">NG-10201</t>
  </si>
  <si>
    <t xml:space="preserve">2024-12-19</t>
  </si>
  <si>
    <t xml:space="preserve">NG-10082</t>
  </si>
  <si>
    <t xml:space="preserve">2024-08-28</t>
  </si>
  <si>
    <t xml:space="preserve">NG-10148</t>
  </si>
  <si>
    <t xml:space="preserve">2025-07-25</t>
  </si>
  <si>
    <t xml:space="preserve">NG-10049</t>
  </si>
  <si>
    <t xml:space="preserve">NG-10265</t>
  </si>
  <si>
    <t xml:space="preserve">NG-10034</t>
  </si>
  <si>
    <t xml:space="preserve">2025-10-12</t>
  </si>
  <si>
    <t xml:space="preserve">NG-10376</t>
  </si>
  <si>
    <t xml:space="preserve">2025-01-16</t>
  </si>
  <si>
    <t xml:space="preserve">NG-10295</t>
  </si>
  <si>
    <t xml:space="preserve">2024-01-26</t>
  </si>
  <si>
    <t xml:space="preserve">NG-10302</t>
  </si>
  <si>
    <t xml:space="preserve">2025-01-03</t>
  </si>
  <si>
    <t xml:space="preserve">NG-10083</t>
  </si>
  <si>
    <t xml:space="preserve">NG-10332</t>
  </si>
  <si>
    <t xml:space="preserve">NG-10242</t>
  </si>
  <si>
    <t xml:space="preserve">2024-12-23</t>
  </si>
  <si>
    <t xml:space="preserve">NG-10165</t>
  </si>
  <si>
    <t xml:space="preserve">NG-10187</t>
  </si>
  <si>
    <t xml:space="preserve">NG-10140</t>
  </si>
  <si>
    <t xml:space="preserve">2024-04-04</t>
  </si>
  <si>
    <t xml:space="preserve">NG-10147</t>
  </si>
  <si>
    <t xml:space="preserve">NG-10319</t>
  </si>
  <si>
    <t xml:space="preserve">2025-02-18</t>
  </si>
  <si>
    <t xml:space="preserve">NG-10286</t>
  </si>
  <si>
    <t xml:space="preserve">NG-10257</t>
  </si>
  <si>
    <t xml:space="preserve">2025-06-08</t>
  </si>
  <si>
    <t xml:space="preserve">NG-10156</t>
  </si>
  <si>
    <t xml:space="preserve">2024-07-10</t>
  </si>
  <si>
    <t xml:space="preserve">NG-10176</t>
  </si>
  <si>
    <t xml:space="preserve">2025-06-14</t>
  </si>
  <si>
    <t xml:space="preserve">NG-10226</t>
  </si>
  <si>
    <t xml:space="preserve">2025-01-01</t>
  </si>
  <si>
    <t xml:space="preserve">NG-10278</t>
  </si>
  <si>
    <t xml:space="preserve">2025-08-14</t>
  </si>
  <si>
    <t xml:space="preserve">NG-10293</t>
  </si>
  <si>
    <t xml:space="preserve">2025-10-17</t>
  </si>
  <si>
    <t xml:space="preserve">NG-10103</t>
  </si>
  <si>
    <t xml:space="preserve">NG-10210</t>
  </si>
  <si>
    <t xml:space="preserve">NG-10370</t>
  </si>
  <si>
    <t xml:space="preserve">NG-10244</t>
  </si>
  <si>
    <t xml:space="preserve">2024-08-30</t>
  </si>
  <si>
    <t xml:space="preserve">NG-10059</t>
  </si>
  <si>
    <t xml:space="preserve">NG-10181</t>
  </si>
  <si>
    <t xml:space="preserve">2025-11-28</t>
  </si>
  <si>
    <t xml:space="preserve">NG-10132</t>
  </si>
  <si>
    <t xml:space="preserve">2024-07-05</t>
  </si>
  <si>
    <t xml:space="preserve">NG-10208</t>
  </si>
  <si>
    <t xml:space="preserve">2025-12-23</t>
  </si>
  <si>
    <t xml:space="preserve">NG-10123</t>
  </si>
  <si>
    <t xml:space="preserve">NG-10218</t>
  </si>
  <si>
    <t xml:space="preserve">2024-12-25</t>
  </si>
  <si>
    <t xml:space="preserve">NG-10142</t>
  </si>
  <si>
    <t xml:space="preserve">2025-02-24</t>
  </si>
  <si>
    <t xml:space="preserve">NG-10036</t>
  </si>
  <si>
    <t xml:space="preserve">NG-10236</t>
  </si>
  <si>
    <t xml:space="preserve">2025-04-17</t>
  </si>
  <si>
    <t xml:space="preserve">NG-10345</t>
  </si>
  <si>
    <t xml:space="preserve">NG-10363</t>
  </si>
  <si>
    <t xml:space="preserve">2025-01-22</t>
  </si>
  <si>
    <t xml:space="preserve">NG-10219</t>
  </si>
  <si>
    <t xml:space="preserve">2025-05-06</t>
  </si>
  <si>
    <t xml:space="preserve">NG-10214</t>
  </si>
  <si>
    <t xml:space="preserve">2024-02-11</t>
  </si>
  <si>
    <t xml:space="preserve">NG-10292</t>
  </si>
  <si>
    <t xml:space="preserve">NG-10071</t>
  </si>
  <si>
    <t xml:space="preserve">2025-11-13</t>
  </si>
  <si>
    <t xml:space="preserve">NG-10134</t>
  </si>
  <si>
    <t xml:space="preserve">2025-05-26</t>
  </si>
  <si>
    <t xml:space="preserve">NG-10393</t>
  </si>
  <si>
    <t xml:space="preserve">2025-06-19</t>
  </si>
  <si>
    <t xml:space="preserve">NG-10009</t>
  </si>
  <si>
    <t xml:space="preserve">2024-09-01</t>
  </si>
  <si>
    <t xml:space="preserve">NG-10343</t>
  </si>
  <si>
    <t xml:space="preserve">2025-01-17</t>
  </si>
  <si>
    <t xml:space="preserve">NG-10253</t>
  </si>
  <si>
    <t xml:space="preserve">2025-08-08</t>
  </si>
  <si>
    <t xml:space="preserve">NG-10046</t>
  </si>
  <si>
    <t xml:space="preserve">NG-10063</t>
  </si>
  <si>
    <t xml:space="preserve">2025-11-19</t>
  </si>
  <si>
    <t xml:space="preserve">NG-10212</t>
  </si>
  <si>
    <t xml:space="preserve">2024-08-10</t>
  </si>
  <si>
    <t xml:space="preserve">NG-10320</t>
  </si>
  <si>
    <t xml:space="preserve">2025-07-31</t>
  </si>
  <si>
    <t xml:space="preserve">NG-10004</t>
  </si>
  <si>
    <t xml:space="preserve">NG-10193</t>
  </si>
  <si>
    <t xml:space="preserve">2025-05-30</t>
  </si>
  <si>
    <t xml:space="preserve">NG-10122</t>
  </si>
  <si>
    <t xml:space="preserve">2024-07-24</t>
  </si>
  <si>
    <t xml:space="preserve">NG-10299</t>
  </si>
  <si>
    <t xml:space="preserve">2024-08-29</t>
  </si>
  <si>
    <t xml:space="preserve">NG-10117</t>
  </si>
  <si>
    <t xml:space="preserve">2025-07-07</t>
  </si>
  <si>
    <t xml:space="preserve">NG-10335</t>
  </si>
  <si>
    <t xml:space="preserve">2025-08-23</t>
  </si>
  <si>
    <t xml:space="preserve">NG-10084</t>
  </si>
  <si>
    <t xml:space="preserve">2024-11-19</t>
  </si>
  <si>
    <t xml:space="preserve">NG-10102</t>
  </si>
  <si>
    <t xml:space="preserve">2024-06-28</t>
  </si>
  <si>
    <t xml:space="preserve">NG-10078</t>
  </si>
  <si>
    <t xml:space="preserve">NG-10026</t>
  </si>
  <si>
    <t xml:space="preserve">2024-05-30</t>
  </si>
  <si>
    <t xml:space="preserve">NG-10254</t>
  </si>
  <si>
    <t xml:space="preserve">2025-04-15</t>
  </si>
  <si>
    <t xml:space="preserve">NG-10015</t>
  </si>
  <si>
    <t xml:space="preserve">NG-10315</t>
  </si>
  <si>
    <t xml:space="preserve">2025-01-24</t>
  </si>
  <si>
    <t xml:space="preserve">NG-10382</t>
  </si>
  <si>
    <t xml:space="preserve">2024-07-11</t>
  </si>
  <si>
    <t xml:space="preserve">NG-10006</t>
  </si>
  <si>
    <t xml:space="preserve">2025-01-26</t>
  </si>
  <si>
    <t xml:space="preserve">NG-10158</t>
  </si>
  <si>
    <t xml:space="preserve">2025-03-05</t>
  </si>
  <si>
    <t xml:space="preserve">NG-10256</t>
  </si>
  <si>
    <t xml:space="preserve">2025-09-02</t>
  </si>
  <si>
    <t xml:space="preserve">NG-10344</t>
  </si>
  <si>
    <t xml:space="preserve">2024-09-23</t>
  </si>
  <si>
    <t xml:space="preserve">NG-10066</t>
  </si>
  <si>
    <t xml:space="preserve">NG-10145</t>
  </si>
  <si>
    <t xml:space="preserve">2025-07-20</t>
  </si>
  <si>
    <t xml:space="preserve">NG-10202</t>
  </si>
  <si>
    <t xml:space="preserve">2025-10-26</t>
  </si>
  <si>
    <t xml:space="preserve">NG-10339</t>
  </si>
  <si>
    <t xml:space="preserve">2024-11-15</t>
  </si>
  <si>
    <t xml:space="preserve">NG-10294</t>
  </si>
  <si>
    <t xml:space="preserve">2025-07-26</t>
  </si>
  <si>
    <t xml:space="preserve">NG-10011</t>
  </si>
  <si>
    <t xml:space="preserve">2025-06-01</t>
  </si>
  <si>
    <t xml:space="preserve">NG-10303</t>
  </si>
  <si>
    <t xml:space="preserve">NG-10030</t>
  </si>
  <si>
    <t xml:space="preserve">2025-01-27</t>
  </si>
  <si>
    <t xml:space="preserve">NG-10093</t>
  </si>
  <si>
    <t xml:space="preserve">NG-10377</t>
  </si>
  <si>
    <t xml:space="preserve">2024-01-11</t>
  </si>
  <si>
    <t xml:space="preserve">NG-10160</t>
  </si>
  <si>
    <t xml:space="preserve">2024-01-12</t>
  </si>
  <si>
    <t xml:space="preserve">NG-10154</t>
  </si>
  <si>
    <t xml:space="preserve">2024-05-28</t>
  </si>
  <si>
    <t xml:space="preserve">NG-10396</t>
  </si>
  <si>
    <t xml:space="preserve">2024-05-09</t>
  </si>
  <si>
    <t xml:space="preserve">NG-10094</t>
  </si>
  <si>
    <t xml:space="preserve">NG-10355</t>
  </si>
  <si>
    <t xml:space="preserve">2025-03-27</t>
  </si>
  <si>
    <t xml:space="preserve">NG-10043</t>
  </si>
  <si>
    <t xml:space="preserve">2025-05-01</t>
  </si>
  <si>
    <t xml:space="preserve">NG-10232</t>
  </si>
  <si>
    <t xml:space="preserve">2024-05-06</t>
  </si>
  <si>
    <t xml:space="preserve">NG-10379</t>
  </si>
  <si>
    <t xml:space="preserve">2025-06-24</t>
  </si>
  <si>
    <t xml:space="preserve">NG-10358</t>
  </si>
  <si>
    <t xml:space="preserve">NG-10074</t>
  </si>
  <si>
    <t xml:space="preserve">2025-12-21</t>
  </si>
  <si>
    <t xml:space="preserve">NG-10020</t>
  </si>
  <si>
    <t xml:space="preserve">NG-10276</t>
  </si>
  <si>
    <t xml:space="preserve">2025-11-27</t>
  </si>
  <si>
    <t xml:space="preserve">NG-10180</t>
  </si>
  <si>
    <t xml:space="preserve">2024-08-07</t>
  </si>
  <si>
    <t xml:space="preserve">NG-10028</t>
  </si>
  <si>
    <t xml:space="preserve">2024-12-29</t>
  </si>
  <si>
    <t xml:space="preserve">NG-10045</t>
  </si>
  <si>
    <t xml:space="preserve">2024-05-08</t>
  </si>
  <si>
    <t xml:space="preserve">NG-10314</t>
  </si>
  <si>
    <t xml:space="preserve">2024-03-02</t>
  </si>
  <si>
    <t xml:space="preserve">NG-10077</t>
  </si>
  <si>
    <t xml:space="preserve">2025-07-14</t>
  </si>
  <si>
    <t xml:space="preserve">NG-10306</t>
  </si>
  <si>
    <t xml:space="preserve">NG-10097</t>
  </si>
  <si>
    <t xml:space="preserve">2024-03-20</t>
  </si>
  <si>
    <t xml:space="preserve">NG-10312</t>
  </si>
  <si>
    <t xml:space="preserve">2024-07-18</t>
  </si>
  <si>
    <t xml:space="preserve">NG-10248</t>
  </si>
  <si>
    <t xml:space="preserve">NG-10192</t>
  </si>
  <si>
    <t xml:space="preserve">2025-07-01</t>
  </si>
  <si>
    <t xml:space="preserve">NG-10238</t>
  </si>
  <si>
    <t xml:space="preserve">NG-10309</t>
  </si>
  <si>
    <t xml:space="preserve">NG-10166</t>
  </si>
  <si>
    <t xml:space="preserve">2024-07-20</t>
  </si>
  <si>
    <t xml:space="preserve">NG-10095</t>
  </si>
  <si>
    <t xml:space="preserve">NG-10268</t>
  </si>
  <si>
    <t xml:space="preserve">2024-02-16</t>
  </si>
  <si>
    <t xml:space="preserve">NG-10167</t>
  </si>
  <si>
    <t xml:space="preserve">2025-06-22</t>
  </si>
  <si>
    <t xml:space="preserve">NG-10321</t>
  </si>
  <si>
    <t xml:space="preserve">NG-10348</t>
  </si>
  <si>
    <t xml:space="preserve">2024-01-01</t>
  </si>
  <si>
    <t xml:space="preserve">NG-10308</t>
  </si>
  <si>
    <t xml:space="preserve">2025-05-25</t>
  </si>
  <si>
    <t xml:space="preserve">NG-10223</t>
  </si>
  <si>
    <t xml:space="preserve">2024-04-15</t>
  </si>
  <si>
    <t xml:space="preserve">NG-10341</t>
  </si>
  <si>
    <t xml:space="preserve">NG-10207</t>
  </si>
  <si>
    <t xml:space="preserve">2025-01-09</t>
  </si>
  <si>
    <t xml:space="preserve">NG-10362</t>
  </si>
  <si>
    <t xml:space="preserve">2024-12-22</t>
  </si>
  <si>
    <t xml:space="preserve">NG-10328</t>
  </si>
  <si>
    <t xml:space="preserve">NG-10287</t>
  </si>
  <si>
    <t xml:space="preserve">NG-10085</t>
  </si>
  <si>
    <t xml:space="preserve">2024-07-28</t>
  </si>
  <si>
    <t xml:space="preserve">NG-10133</t>
  </si>
  <si>
    <t xml:space="preserve">NG-10168</t>
  </si>
  <si>
    <t xml:space="preserve">2025-08-21</t>
  </si>
  <si>
    <t xml:space="preserve">NG-10375</t>
  </si>
  <si>
    <t xml:space="preserve">2024-11-04</t>
  </si>
  <si>
    <t xml:space="preserve">NG-10076</t>
  </si>
  <si>
    <t xml:space="preserve">2025-03-28</t>
  </si>
  <si>
    <t xml:space="preserve">NG-10275</t>
  </si>
  <si>
    <t xml:space="preserve">2025-11-08</t>
  </si>
  <si>
    <t xml:space="preserve">NG-10150</t>
  </si>
  <si>
    <t xml:space="preserve">NG-10029</t>
  </si>
  <si>
    <t xml:space="preserve">NG-10213</t>
  </si>
  <si>
    <t xml:space="preserve">2025-07-12</t>
  </si>
  <si>
    <t xml:space="preserve">NG-10356</t>
  </si>
  <si>
    <t xml:space="preserve">2025-03-14</t>
  </si>
  <si>
    <t xml:space="preserve">NG-10353</t>
  </si>
  <si>
    <t xml:space="preserve">NG-10364</t>
  </si>
  <si>
    <t xml:space="preserve">2025-05-28</t>
  </si>
  <si>
    <t xml:space="preserve">NG-10260</t>
  </si>
  <si>
    <t xml:space="preserve">2025-11-21</t>
  </si>
  <si>
    <t xml:space="preserve">NG-10394</t>
  </si>
  <si>
    <t xml:space="preserve">2024-08-03</t>
  </si>
  <si>
    <t xml:space="preserve">NG-10081</t>
  </si>
  <si>
    <t xml:space="preserve">NG-10225</t>
  </si>
  <si>
    <t xml:space="preserve">2024-12-08</t>
  </si>
  <si>
    <t xml:space="preserve">NG-10098</t>
  </si>
  <si>
    <t xml:space="preserve">NG-10152</t>
  </si>
  <si>
    <t xml:space="preserve">NG-10033</t>
  </si>
  <si>
    <t xml:space="preserve">2025-11-03</t>
  </si>
  <si>
    <t xml:space="preserve">NG-10014</t>
  </si>
  <si>
    <t xml:space="preserve">2025-10-23</t>
  </si>
  <si>
    <t xml:space="preserve">NG-10109</t>
  </si>
  <si>
    <t xml:space="preserve">2025-02-09</t>
  </si>
  <si>
    <t xml:space="preserve">NG-10191</t>
  </si>
  <si>
    <t xml:space="preserve">2025-08-15</t>
  </si>
  <si>
    <t xml:space="preserve">NG-10388</t>
  </si>
  <si>
    <t xml:space="preserve">NG-10251</t>
  </si>
  <si>
    <t xml:space="preserve">NG-10249</t>
  </si>
  <si>
    <t xml:space="preserve">2024-10-13</t>
  </si>
  <si>
    <t xml:space="preserve">NG-10224</t>
  </si>
  <si>
    <t xml:space="preserve">2024-07-14</t>
  </si>
  <si>
    <t xml:space="preserve">NG-10057</t>
  </si>
  <si>
    <t xml:space="preserve">NG-10273</t>
  </si>
  <si>
    <t xml:space="preserve">2025-01-20</t>
  </si>
  <si>
    <t xml:space="preserve">NG-10200</t>
  </si>
  <si>
    <t xml:space="preserve">2025-11-14</t>
  </si>
  <si>
    <t xml:space="preserve">NG-10005</t>
  </si>
  <si>
    <t xml:space="preserve">2024-05-10</t>
  </si>
  <si>
    <t xml:space="preserve">NG-10397</t>
  </si>
  <si>
    <t xml:space="preserve">2024-11-26</t>
  </si>
  <si>
    <t xml:space="preserve">NG-10398</t>
  </si>
  <si>
    <t xml:space="preserve">2024-05-03</t>
  </si>
  <si>
    <t xml:space="preserve">NG-10367</t>
  </si>
  <si>
    <t xml:space="preserve">2024-06-13</t>
  </si>
  <si>
    <t xml:space="preserve">NG-10100</t>
  </si>
  <si>
    <t xml:space="preserve">NG-10255</t>
  </si>
  <si>
    <t xml:space="preserve">2024-04-25</t>
  </si>
  <si>
    <t xml:space="preserve">NG-10241</t>
  </si>
  <si>
    <t xml:space="preserve">NG-10280</t>
  </si>
  <si>
    <t xml:space="preserve">2024-03-23</t>
  </si>
  <si>
    <t xml:space="preserve">NG-10366</t>
  </si>
  <si>
    <t xml:space="preserve">2025-02-12</t>
  </si>
  <si>
    <t xml:space="preserve">NG-10233</t>
  </si>
  <si>
    <t xml:space="preserve">2025-05-22</t>
  </si>
  <si>
    <t xml:space="preserve">NG-10072</t>
  </si>
  <si>
    <t xml:space="preserve">2025-08-31</t>
  </si>
  <si>
    <t xml:space="preserve">NG-10322</t>
  </si>
  <si>
    <t xml:space="preserve">2024-08-13</t>
  </si>
  <si>
    <t xml:space="preserve">NG-10373</t>
  </si>
  <si>
    <t xml:space="preserve">NG-10182</t>
  </si>
  <si>
    <t xml:space="preserve">2025-05-18</t>
  </si>
  <si>
    <t xml:space="preserve">NG-10352</t>
  </si>
  <si>
    <t xml:space="preserve">NG-10354</t>
  </si>
  <si>
    <t xml:space="preserve">2024-05-29</t>
  </si>
  <si>
    <t xml:space="preserve">NG-10291</t>
  </si>
  <si>
    <t xml:space="preserve">2025-06-21</t>
  </si>
  <si>
    <t xml:space="preserve">NG-10296</t>
  </si>
  <si>
    <t xml:space="preserve">2024-03-12</t>
  </si>
  <si>
    <t xml:space="preserve">NG-10157</t>
  </si>
  <si>
    <t xml:space="preserve">2025-07-02</t>
  </si>
  <si>
    <t xml:space="preserve">NG-10385</t>
  </si>
  <si>
    <t xml:space="preserve">NG-10135</t>
  </si>
  <si>
    <t xml:space="preserve">2025-07-16</t>
  </si>
  <si>
    <t xml:space="preserve">NG-10177</t>
  </si>
  <si>
    <t xml:space="preserve">NG-10118</t>
  </si>
  <si>
    <t xml:space="preserve">2024-01-20</t>
  </si>
  <si>
    <t xml:space="preserve">NG-10151</t>
  </si>
  <si>
    <t xml:space="preserve">NG-10211</t>
  </si>
  <si>
    <t xml:space="preserve">NG-10162</t>
  </si>
  <si>
    <t xml:space="preserve">2025-04-07</t>
  </si>
  <si>
    <t xml:space="preserve">NG-10185</t>
  </si>
  <si>
    <t xml:space="preserve">2024-05-12</t>
  </si>
  <si>
    <t xml:space="preserve">NG-10288</t>
  </si>
  <si>
    <t xml:space="preserve">NG-10281</t>
  </si>
  <si>
    <t xml:space="preserve">NG-10285</t>
  </si>
  <si>
    <t xml:space="preserve">2024-05-02</t>
  </si>
  <si>
    <t xml:space="preserve">NG-10037</t>
  </si>
  <si>
    <t xml:space="preserve">Weighted score</t>
  </si>
  <si>
    <t xml:space="preserve">Rounded</t>
  </si>
  <si>
    <t xml:space="preserve">Band</t>
  </si>
  <si>
    <t xml:space="preserve">Escalator</t>
  </si>
  <si>
    <t xml:space="preserve">Final rating</t>
  </si>
  <si>
    <t xml:space="preserve">Product</t>
  </si>
  <si>
    <t xml:space="preserve">Channel</t>
  </si>
  <si>
    <t xml:space="preserve">Activity</t>
  </si>
  <si>
    <t xml:space="preserve">Customer -10pp</t>
  </si>
  <si>
    <t xml:space="preserve">Customer +10pp</t>
  </si>
  <si>
    <t xml:space="preserve">Geography -10pp</t>
  </si>
  <si>
    <t xml:space="preserve">Geography +10pp</t>
  </si>
  <si>
    <t xml:space="preserve">Product and service -10pp</t>
  </si>
  <si>
    <t xml:space="preserve">Product and service +10pp</t>
  </si>
  <si>
    <t xml:space="preserve">Delivery channel -10pp</t>
  </si>
  <si>
    <t xml:space="preserve">Delivery channel +10pp</t>
  </si>
  <si>
    <t xml:space="preserve">Expected activity -10pp</t>
  </si>
  <si>
    <t xml:space="preserve">Expected activity +10pp</t>
  </si>
  <si>
    <t xml:space="preserve">Factors at 4+</t>
  </si>
  <si>
    <t xml:space="preserve">Rule B band</t>
  </si>
  <si>
    <t xml:space="preserve">Rule C band</t>
  </si>
  <si>
    <t xml:space="preserve">Rule D band</t>
  </si>
  <si>
    <t xml:space="preserve">Rule D final</t>
  </si>
  <si>
    <t xml:space="preserve">Population of 400 customers, scored</t>
  </si>
  <si>
    <t xml:space="preserve">Everything on this sheet is calculated from the Scoring sheet. Nothing is typed in.</t>
  </si>
  <si>
    <t xml:space="preserve">Final customer risk rating</t>
  </si>
  <si>
    <t xml:space="preserve">Rating</t>
  </si>
  <si>
    <t xml:space="preserve">Customers</t>
  </si>
  <si>
    <t xml:space="preserve">Share</t>
  </si>
  <si>
    <t xml:space="preserve">Low</t>
  </si>
  <si>
    <t xml:space="preserve">Medium</t>
  </si>
  <si>
    <t xml:space="preserve">High</t>
  </si>
  <si>
    <t xml:space="preserve">Band from the arithmetic alone, before escalators</t>
  </si>
  <si>
    <t xml:space="preserve">Lifted to High by an escalator</t>
  </si>
  <si>
    <t xml:space="preserve">Why customers were escalated</t>
  </si>
  <si>
    <t xml:space="preserve">5.3(a)  PEP, family member or close associate</t>
  </si>
  <si>
    <t xml:space="preserve">5.3(b)  Call for action jurisdiction</t>
  </si>
  <si>
    <t xml:space="preserve">5.3(c)  MSB, TCSP or high-value dealer</t>
  </si>
  <si>
    <t xml:space="preserve">5.3(d)  Opaque ownership structure</t>
  </si>
  <si>
    <t xml:space="preserve">5.3(e)  Adverse media, financial crime</t>
  </si>
  <si>
    <t xml:space="preserve">5.3(f)  SAR in the preceding 12 months</t>
  </si>
  <si>
    <t xml:space="preserve">Any escalator (customers, not reasons)</t>
  </si>
  <si>
    <t xml:space="preserve">Escalated by 5.3(f) and by nothing else</t>
  </si>
  <si>
    <t xml:space="preserve">Rating by segment</t>
  </si>
  <si>
    <t xml:space="preserve">Segment</t>
  </si>
  <si>
    <t xml:space="preserve">How much work each category is doing</t>
  </si>
  <si>
    <t xml:space="preserve">Mean</t>
  </si>
  <si>
    <t xml:space="preserve">Lowest</t>
  </si>
  <si>
    <t xml:space="preserve">Highest</t>
  </si>
  <si>
    <t xml:space="preserve">Std dev</t>
  </si>
  <si>
    <t xml:space="preserve">At the minimum</t>
  </si>
  <si>
    <t xml:space="preserve">Standard deviation is the measure that matters. A category whose score barely varies across the population is not separating customers, whatever weight it carries.</t>
  </si>
  <si>
    <t xml:space="preserve">Overall score</t>
  </si>
  <si>
    <t xml:space="preserve">Statistic</t>
  </si>
  <si>
    <t xml:space="preserve">Value</t>
  </si>
  <si>
    <t xml:space="preserve">Standard deviation</t>
  </si>
  <si>
    <t xml:space="preserve">Within 0.10 of the Low/Medium boundary</t>
  </si>
  <si>
    <t xml:space="preserve">Distribution of the overall score</t>
  </si>
  <si>
    <t xml:space="preserve">From</t>
  </si>
  <si>
    <t xml:space="preserve">To</t>
  </si>
  <si>
    <t xml:space="preserve">Integrity checks</t>
  </si>
  <si>
    <t xml:space="preserve">Every row must read OK. These recalculate whenever the population or a weight changes.</t>
  </si>
  <si>
    <t xml:space="preserve">#</t>
  </si>
  <si>
    <t xml:space="preserve">What is tested</t>
  </si>
  <si>
    <t xml:space="preserve">Result</t>
  </si>
  <si>
    <t xml:space="preserve">Expected</t>
  </si>
  <si>
    <t xml:space="preserve">Status</t>
  </si>
  <si>
    <t xml:space="preserve">The population contains 400 customers</t>
  </si>
  <si>
    <t xml:space="preserve">Every recorded level resolves to a score in the library</t>
  </si>
  <si>
    <t xml:space="preserve">No factor score falls outside the range 1 to 5</t>
  </si>
  <si>
    <t xml:space="preserve">Effective weights still sum to 100%</t>
  </si>
  <si>
    <t xml:space="preserve">Weights inside the five categories sum to 100% each</t>
  </si>
  <si>
    <t xml:space="preserve">No overall score below 1.00</t>
  </si>
  <si>
    <t xml:space="preserve">No overall score above 5.00</t>
  </si>
  <si>
    <t xml:space="preserve">Where no escalator applies, the final rating equals the band</t>
  </si>
  <si>
    <t xml:space="preserve">Every escalated customer is rated High</t>
  </si>
  <si>
    <t xml:space="preserve">No duplicate customer reference</t>
  </si>
  <si>
    <t xml:space="preserve">The five category scores reconstruct the overall score</t>
  </si>
  <si>
    <t xml:space="preserve">No duplicate lookup key in the mapping table</t>
  </si>
  <si>
    <t xml:space="preserve">Every backtest level resolves to a score in the library</t>
  </si>
  <si>
    <t xml:space="preserve">The backtest uses the same weights as the population</t>
  </si>
  <si>
    <t xml:space="preserve">The FO-lo and FO-mid rows differ in exactly one factor score</t>
  </si>
  <si>
    <t xml:space="preserve">The FO-hi row scores at or above FO-lo on every factor</t>
  </si>
  <si>
    <t xml:space="preserve">Every sensitivity scenario still sums to 100%</t>
  </si>
  <si>
    <t xml:space="preserve">Rule D is never softer than rule B or rule C</t>
  </si>
  <si>
    <t xml:space="preserve">Every customer has a factor-severity count between 0 and 20</t>
  </si>
  <si>
    <t xml:space="preserve">Overall status</t>
  </si>
  <si>
    <t xml:space="preserve">Step 5: model validation</t>
  </si>
  <si>
    <t xml:space="preserve">Everything on this sheet is calculated from the Scoring sheet. The weights in columns D to H are the only typed numbers, and they are the sensitivity scenarios themselves.</t>
  </si>
  <si>
    <t xml:space="preserve">1. Weight sensitivity</t>
  </si>
  <si>
    <t xml:space="preserve">Scenario</t>
  </si>
  <si>
    <t xml:space="preserve">Effect</t>
  </si>
  <si>
    <t xml:space="preserve">Band changes, current bands</t>
  </si>
  <si>
    <t xml:space="preserve">Band changes, rebanded</t>
  </si>
  <si>
    <t xml:space="preserve">Customer at 20%</t>
  </si>
  <si>
    <t xml:space="preserve">Customer at 40%</t>
  </si>
  <si>
    <t xml:space="preserve">Geography at 15%</t>
  </si>
  <si>
    <t xml:space="preserve">Geography at 35%</t>
  </si>
  <si>
    <t xml:space="preserve">Product and service at 10%</t>
  </si>
  <si>
    <t xml:space="preserve">Product and service at 30%</t>
  </si>
  <si>
    <t xml:space="preserve">Delivery channel at 0%</t>
  </si>
  <si>
    <t xml:space="preserve">Delivery channel at 20%</t>
  </si>
  <si>
    <t xml:space="preserve">Expected activity at 5%</t>
  </si>
  <si>
    <t xml:space="preserve">Expected activity at 25%</t>
  </si>
  <si>
    <t xml:space="preserve">Out of 400 customers. Read the two right-hand columns together: the same weight change moves far more customers once the band boundaries sit where the population actually is.</t>
  </si>
  <si>
    <t xml:space="preserve">2. Aggregation rules compared</t>
  </si>
  <si>
    <t xml:space="preserve">Rule</t>
  </si>
  <si>
    <t xml:space="preserve">Definition</t>
  </si>
  <si>
    <t xml:space="preserve">High share</t>
  </si>
  <si>
    <t xml:space="preserve">A  current</t>
  </si>
  <si>
    <t xml:space="preserve">Weighted average, bands 1.00 / 2.01 / 3.50</t>
  </si>
  <si>
    <t xml:space="preserve">B  rebanded</t>
  </si>
  <si>
    <t xml:space="preserve">Weighted average, bands 1.00 / 1.61 / 2.21</t>
  </si>
  <si>
    <t xml:space="preserve">C  severity</t>
  </si>
  <si>
    <t xml:space="preserve">Count of factors scoring 4 or 5: 0 Low, 1-2 Medium, 3+ High</t>
  </si>
  <si>
    <t xml:space="preserve">D  higher of B and C</t>
  </si>
  <si>
    <t xml:space="preserve">The worse of the two ratings above</t>
  </si>
  <si>
    <t xml:space="preserve">The High column is the operational question. Rules C and D put roughly 1.7 times as many customers into High as rule B does. The judgement that this is unaffordable is an assumption about cost, not a sourced constraint: docs/04-model-validation.md section 4.2 says so, and names what would settle it.</t>
  </si>
  <si>
    <t xml:space="preserve">3. The 2026 change to jurisdiction-based enhanced due diligence</t>
  </si>
  <si>
    <t xml:space="preserve">Measure</t>
  </si>
  <si>
    <t xml:space="preserve">Share of the book</t>
  </si>
  <si>
    <t xml:space="preserve">Touching a FATF increased-monitoring jurisdiction</t>
  </si>
  <si>
    <t xml:space="preserve">Touching a FATF call-for-action jurisdiction</t>
  </si>
  <si>
    <t xml:space="preserve">Mandatory jurisdiction-based EDD before 2026</t>
  </si>
  <si>
    <t xml:space="preserve">Mandatory jurisdiction-based EDD under the 2026 rule</t>
  </si>
  <si>
    <t xml:space="preserve">Customers losing automatic EDD</t>
  </si>
  <si>
    <t xml:space="preserve">Of those, escalated for some other reason</t>
  </si>
  <si>
    <t xml:space="preserve">Of those, rated Low once EDD is no longer automatic</t>
  </si>
  <si>
    <t xml:space="preserve">Step 4: enforcement cases, scored at onboarding</t>
  </si>
  <si>
    <t xml:space="preserve">Each case is reconstructed as it looked on the day the bank took it on, using only what that bank knew or recorded then, and is scored twice: -lo is the reading most favourable to the customer that the published notice permits, -hi the least favourable reading a competent analyst could have defended on the same information. Where the notice settles a factor, both rows carry the same level. FO-lo and FO-mid hold the entire file constant and change only the C3 reading. Two cases are labelled -a and -b instead, because their pair is not a favourable/adverse bracket: Stunt &amp; Co is dated (the application file of 16 January 2015, then the same file after the meeting of 27 January 2015), and Santander is conditional (the file as recorded, then the same file with the business verified as a money service business, which is the verification the FCA found was missing). Same Mapping, same Weights and same rules as the 400 synthetic customers.</t>
  </si>
  <si>
    <t xml:space="preserve">Case</t>
  </si>
  <si>
    <t xml:space="preserve">Enforcement case</t>
  </si>
  <si>
    <t xml:space="preserve">C1 level</t>
  </si>
  <si>
    <t xml:space="preserve">C2 level</t>
  </si>
  <si>
    <t xml:space="preserve">C3 level</t>
  </si>
  <si>
    <t xml:space="preserve">C4 level</t>
  </si>
  <si>
    <t xml:space="preserve">C5 level</t>
  </si>
  <si>
    <t xml:space="preserve">G1 level</t>
  </si>
  <si>
    <t xml:space="preserve">G2 level</t>
  </si>
  <si>
    <t xml:space="preserve">G3 level</t>
  </si>
  <si>
    <t xml:space="preserve">P1 level</t>
  </si>
  <si>
    <t xml:space="preserve">P2 level</t>
  </si>
  <si>
    <t xml:space="preserve">P3 level</t>
  </si>
  <si>
    <t xml:space="preserve">P4 level</t>
  </si>
  <si>
    <t xml:space="preserve">D1 level</t>
  </si>
  <si>
    <t xml:space="preserve">D2 level</t>
  </si>
  <si>
    <t xml:space="preserve">D3 level</t>
  </si>
  <si>
    <t xml:space="preserve">A1 level</t>
  </si>
  <si>
    <t xml:space="preserve">A2 level</t>
  </si>
  <si>
    <t xml:space="preserve">A3 level</t>
  </si>
  <si>
    <t xml:space="preserve">A4 level</t>
  </si>
  <si>
    <t xml:space="preserve">A5 level</t>
  </si>
  <si>
    <t xml:space="preserve">Recommended final</t>
  </si>
  <si>
    <t xml:space="preserve">FO-lo</t>
  </si>
  <si>
    <t xml:space="preserve">NatWest / Fowler Oldfield, favourable reading, cash-intensive trade</t>
  </si>
  <si>
    <t xml:space="preserve">FO-mid</t>
  </si>
  <si>
    <t xml:space="preserve">NatWest / Fowler Oldfield, same file, high-value dealer reading</t>
  </si>
  <si>
    <t xml:space="preserve">FO-hi</t>
  </si>
  <si>
    <t xml:space="preserve">NatWest / Fowler Oldfield, adverse reading of the open factors</t>
  </si>
  <si>
    <t xml:space="preserve">SAN-a</t>
  </si>
  <si>
    <t xml:space="preserve">Santander UK / the translations company, the file as recorded</t>
  </si>
  <si>
    <t xml:space="preserve">SAN-b</t>
  </si>
  <si>
    <t xml:space="preserve">Santander UK / the translations company, with the business verified as an MSB</t>
  </si>
  <si>
    <t xml:space="preserve">STU-a</t>
  </si>
  <si>
    <t xml:space="preserve">Barclays / Stunt &amp; Co, the application file of 16 January 2015</t>
  </si>
  <si>
    <t xml:space="preserve">STU-b</t>
  </si>
  <si>
    <t xml:space="preserve">Barclays / Stunt &amp; Co, the same file after the meeting of 27 January 2015</t>
  </si>
  <si>
    <t xml:space="preserve">WTK-lo</t>
  </si>
  <si>
    <t xml:space="preserve">Barclays / WealthTek, favourable reading</t>
  </si>
  <si>
    <t xml:space="preserve">WTK-hi</t>
  </si>
  <si>
    <t xml:space="preserve">Barclays / WealthTek, adverse reading</t>
  </si>
  <si>
    <t xml:space="preserve">MON-lo</t>
  </si>
  <si>
    <t xml:space="preserve">Monzo / the landmark address, favourable reading</t>
  </si>
  <si>
    <t xml:space="preserve">MON-hi</t>
  </si>
  <si>
    <t xml:space="preserve">Monzo / the landmark address, adverse reading</t>
  </si>
  <si>
    <t xml:space="preserve">NAT-lo</t>
  </si>
  <si>
    <t xml:space="preserve">Nationwide / the personal account used for business, favourable reading</t>
  </si>
  <si>
    <t xml:space="preserve">NAT-hi</t>
  </si>
  <si>
    <t xml:space="preserve">Nationwide / the personal account used for business, adverse reading</t>
  </si>
  <si>
    <t xml:space="preserve">Reconstructions rated High at onboarding</t>
  </si>
  <si>
    <t xml:space="preserve">Reconstructions rated High by the arithmetic alone</t>
  </si>
</sst>
</file>

<file path=xl/styles.xml><?xml version="1.0" encoding="utf-8"?>
<styleSheet xmlns="http://schemas.openxmlformats.org/spreadsheetml/2006/main">
  <numFmts count="7">
    <numFmt numFmtId="164" formatCode="General"/>
    <numFmt numFmtId="165" formatCode="0.00%"/>
    <numFmt numFmtId="166" formatCode="0%"/>
    <numFmt numFmtId="167" formatCode="0.0000"/>
    <numFmt numFmtId="168" formatCode="0.00"/>
    <numFmt numFmtId="169" formatCode="0.0%"/>
    <numFmt numFmtId="170"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4454E"/>
      <name val="Arial"/>
      <family val="0"/>
      <charset val="1"/>
    </font>
    <font>
      <b val="true"/>
      <sz val="10"/>
      <name val="Arial"/>
      <family val="0"/>
      <charset val="1"/>
    </font>
    <font>
      <sz val="10"/>
      <name val="Arial"/>
      <family val="0"/>
      <charset val="1"/>
    </font>
    <font>
      <sz val="9"/>
      <color rgb="FF5C6E72"/>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00FF"/>
      <name val="Arial"/>
      <family val="0"/>
      <charset val="1"/>
    </font>
  </fonts>
  <fills count="7">
    <fill>
      <patternFill patternType="none"/>
    </fill>
    <fill>
      <patternFill patternType="gray125"/>
    </fill>
    <fill>
      <patternFill patternType="solid">
        <fgColor rgb="FF14454E"/>
        <bgColor rgb="FF333333"/>
      </patternFill>
    </fill>
    <fill>
      <patternFill patternType="solid">
        <fgColor rgb="FFE4EAEA"/>
        <bgColor rgb="FFE2EFDA"/>
      </patternFill>
    </fill>
    <fill>
      <patternFill patternType="solid">
        <fgColor rgb="FFF6E2E2"/>
        <bgColor rgb="FFE4EAEA"/>
      </patternFill>
    </fill>
    <fill>
      <patternFill patternType="solid">
        <fgColor rgb="FFE2EFDA"/>
        <bgColor rgb="FFE4EAEA"/>
      </patternFill>
    </fill>
    <fill>
      <patternFill patternType="solid">
        <fgColor rgb="FFFFF2CC"/>
        <bgColor rgb="FFF6E2E2"/>
      </patternFill>
    </fill>
  </fills>
  <borders count="2">
    <border diagonalUp="false" diagonalDown="false">
      <left/>
      <right/>
      <top/>
      <bottom/>
      <diagonal/>
    </border>
    <border diagonalUp="false" diagonalDown="false">
      <left/>
      <right/>
      <top/>
      <bottom style="thin">
        <color rgb="FFC9D4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5" fontId="6" fillId="0" borderId="0" xfId="0" applyFont="true" applyBorder="false" applyAlignment="true" applyProtection="false">
      <alignment horizontal="center" vertical="center" textRotation="0" wrapText="false" indent="0" shrinkToFit="false"/>
      <protection locked="true" hidden="false"/>
    </xf>
    <xf numFmtId="166" fontId="6" fillId="0" borderId="0" xfId="0" applyFont="true" applyBorder="fals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5" fontId="5" fillId="3"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7" fontId="6" fillId="0" borderId="0" xfId="0" applyFont="true" applyBorder="false" applyAlignment="true" applyProtection="false">
      <alignment horizontal="center" vertical="center" textRotation="0" wrapText="false" indent="0" shrinkToFit="false"/>
      <protection locked="true" hidden="false"/>
    </xf>
    <xf numFmtId="168" fontId="6"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9" fontId="6" fillId="0" borderId="0" xfId="0" applyFont="true" applyBorder="false" applyAlignment="true" applyProtection="false">
      <alignment horizontal="center" vertical="center"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70" fontId="5" fillId="3" borderId="0" xfId="0" applyFont="true" applyBorder="false" applyAlignment="true" applyProtection="false">
      <alignment horizontal="center" vertical="center" textRotation="0" wrapText="false" indent="0" shrinkToFit="false"/>
      <protection locked="true" hidden="false"/>
    </xf>
    <xf numFmtId="170" fontId="5" fillId="5"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6" fontId="12" fillId="6" borderId="0" xfId="0" applyFont="true" applyBorder="false" applyAlignment="true" applyProtection="false">
      <alignment horizontal="center" vertical="center" textRotation="0" wrapText="false" indent="0" shrinkToFit="false"/>
      <protection locked="true" hidden="false"/>
    </xf>
    <xf numFmtId="169" fontId="6" fillId="4" borderId="0" xfId="0" applyFont="true" applyBorder="false" applyAlignment="true" applyProtection="false">
      <alignment horizontal="center" vertical="center" textRotation="0" wrapText="false" indent="0" shrinkToFit="false"/>
      <protection locked="true" hidden="false"/>
    </xf>
    <xf numFmtId="170" fontId="5" fillId="4"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4454E"/>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993366"/>
      <rgbColor rgb="FFFFF2CC"/>
      <rgbColor rgb="FFE4EAEA"/>
      <rgbColor rgb="FF660066"/>
      <rgbColor rgb="FFFF8080"/>
      <rgbColor rgb="FF0066CC"/>
      <rgbColor rgb="FFC9D4D4"/>
      <rgbColor rgb="FF000080"/>
      <rgbColor rgb="FFFF00FF"/>
      <rgbColor rgb="FFFFFF00"/>
      <rgbColor rgb="FF00FFFF"/>
      <rgbColor rgb="FF800080"/>
      <rgbColor rgb="FF800000"/>
      <rgbColor rgb="FF008080"/>
      <rgbColor rgb="FF0000FF"/>
      <rgbColor rgb="FF00CCFF"/>
      <rgbColor rgb="FFF9F9F9"/>
      <rgbColor rgb="FFE2EFDA"/>
      <rgbColor rgb="FFFFFF99"/>
      <rgbColor rgb="FF99CCFF"/>
      <rgbColor rgb="FFFF99CC"/>
      <rgbColor rgb="FFCC99FF"/>
      <rgbColor rgb="FFF6E2E2"/>
      <rgbColor rgb="FF4F81BD"/>
      <rgbColor rgb="FF33CCCC"/>
      <rgbColor rgb="FF99CC00"/>
      <rgbColor rgb="FFFFCC00"/>
      <rgbColor rgb="FFFF9900"/>
      <rgbColor rgb="FFFF6600"/>
      <rgbColor rgb="FF5C6E72"/>
      <rgbColor rgb="FF969696"/>
      <rgbColor rgb="FF14454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Final customer risk rating</a:t>
            </a:r>
          </a:p>
        </c:rich>
      </c:tx>
      <c:overlay val="0"/>
      <c:spPr>
        <a:noFill/>
        <a:ln w="0">
          <a:noFill/>
        </a:ln>
      </c:spPr>
    </c:title>
    <c:autoTitleDeleted val="0"/>
    <c:plotArea>
      <c:barChart>
        <c:barDir val="col"/>
        <c:grouping val="clustered"/>
        <c:varyColors val="0"/>
        <c:ser>
          <c:idx val="0"/>
          <c:order val="0"/>
          <c:tx>
            <c:strRef>
              <c:f>Dashboard!C5</c:f>
              <c:strCache>
                <c:ptCount val="1"/>
                <c:pt idx="0">
                  <c:v>Customers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Dashboard!$B$6:$B$8</c:f>
              <c:strCache>
                <c:ptCount val="3"/>
                <c:pt idx="0">
                  <c:v>Low</c:v>
                </c:pt>
                <c:pt idx="1">
                  <c:v>Medium</c:v>
                </c:pt>
                <c:pt idx="2">
                  <c:v>High</c:v>
                </c:pt>
              </c:strCache>
            </c:strRef>
          </c:cat>
          <c:val>
            <c:numRef>
              <c:f>Dashboard!$C$6:$C$8</c:f>
              <c:numCache>
                <c:formatCode>General</c:formatCode>
                <c:ptCount val="3"/>
                <c:pt idx="0">
                  <c:v>295</c:v>
                </c:pt>
                <c:pt idx="1">
                  <c:v>62</c:v>
                </c:pt>
                <c:pt idx="2">
                  <c:v>43</c:v>
                </c:pt>
              </c:numCache>
            </c:numRef>
          </c:val>
        </c:ser>
        <c:gapWidth val="150"/>
        <c:overlap val="0"/>
        <c:axId val="15865763"/>
        <c:axId val="53592761"/>
      </c:barChart>
      <c:catAx>
        <c:axId val="1586576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592761"/>
        <c:crosses val="autoZero"/>
        <c:auto val="1"/>
        <c:lblAlgn val="ctr"/>
        <c:lblOffset val="100"/>
        <c:noMultiLvlLbl val="0"/>
      </c:catAx>
      <c:valAx>
        <c:axId val="535927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Customers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86576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Overall score distribution</a:t>
            </a:r>
          </a:p>
        </c:rich>
      </c:tx>
      <c:overlay val="0"/>
      <c:spPr>
        <a:noFill/>
        <a:ln w="0">
          <a:noFill/>
        </a:ln>
      </c:spPr>
    </c:title>
    <c:autoTitleDeleted val="0"/>
    <c:plotArea>
      <c:barChart>
        <c:barDir val="col"/>
        <c:grouping val="clustered"/>
        <c:varyColors val="0"/>
        <c:ser>
          <c:idx val="0"/>
          <c:order val="0"/>
          <c:tx>
            <c:strRef>
              <c:f>Dashboard!D58</c:f>
              <c:strCache>
                <c:ptCount val="1"/>
                <c:pt idx="0">
                  <c:v>Customers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Dashboard!$B$59:$B$74</c:f>
              <c:strCache>
                <c:ptCount val="16"/>
                <c:pt idx="0">
                  <c:v>1.00</c:v>
                </c:pt>
                <c:pt idx="1">
                  <c:v>1.25</c:v>
                </c:pt>
                <c:pt idx="2">
                  <c:v>1.50</c:v>
                </c:pt>
                <c:pt idx="3">
                  <c:v>1.75</c:v>
                </c:pt>
                <c:pt idx="4">
                  <c:v>2.00</c:v>
                </c:pt>
                <c:pt idx="5">
                  <c:v>2.25</c:v>
                </c:pt>
                <c:pt idx="6">
                  <c:v>2.50</c:v>
                </c:pt>
                <c:pt idx="7">
                  <c:v>2.75</c:v>
                </c:pt>
                <c:pt idx="8">
                  <c:v>3.00</c:v>
                </c:pt>
                <c:pt idx="9">
                  <c:v>3.25</c:v>
                </c:pt>
                <c:pt idx="10">
                  <c:v>3.50</c:v>
                </c:pt>
                <c:pt idx="11">
                  <c:v>3.75</c:v>
                </c:pt>
                <c:pt idx="12">
                  <c:v>4.00</c:v>
                </c:pt>
                <c:pt idx="13">
                  <c:v>4.25</c:v>
                </c:pt>
                <c:pt idx="14">
                  <c:v>4.50</c:v>
                </c:pt>
                <c:pt idx="15">
                  <c:v>4.75</c:v>
                </c:pt>
              </c:strCache>
            </c:strRef>
          </c:cat>
          <c:val>
            <c:numRef>
              <c:f>Dashboard!$D$59:$D$74</c:f>
              <c:numCache>
                <c:formatCode>General</c:formatCode>
                <c:ptCount val="16"/>
                <c:pt idx="0">
                  <c:v>1</c:v>
                </c:pt>
                <c:pt idx="1">
                  <c:v>95</c:v>
                </c:pt>
                <c:pt idx="2">
                  <c:v>161</c:v>
                </c:pt>
                <c:pt idx="3">
                  <c:v>55</c:v>
                </c:pt>
                <c:pt idx="4">
                  <c:v>49</c:v>
                </c:pt>
                <c:pt idx="5">
                  <c:v>26</c:v>
                </c:pt>
                <c:pt idx="6">
                  <c:v>12</c:v>
                </c:pt>
                <c:pt idx="7">
                  <c:v>1</c:v>
                </c:pt>
                <c:pt idx="8">
                  <c:v>0</c:v>
                </c:pt>
                <c:pt idx="9">
                  <c:v>0</c:v>
                </c:pt>
                <c:pt idx="10">
                  <c:v>0</c:v>
                </c:pt>
                <c:pt idx="11">
                  <c:v>0</c:v>
                </c:pt>
                <c:pt idx="12">
                  <c:v>0</c:v>
                </c:pt>
                <c:pt idx="13">
                  <c:v>0</c:v>
                </c:pt>
                <c:pt idx="14">
                  <c:v>0</c:v>
                </c:pt>
                <c:pt idx="15">
                  <c:v>0</c:v>
                </c:pt>
              </c:numCache>
            </c:numRef>
          </c:val>
        </c:ser>
        <c:gapWidth val="20"/>
        <c:overlap val="0"/>
        <c:axId val="7372671"/>
        <c:axId val="79339144"/>
      </c:barChart>
      <c:catAx>
        <c:axId val="737267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Score, lower bound</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339144"/>
        <c:crosses val="autoZero"/>
        <c:auto val="1"/>
        <c:lblAlgn val="ctr"/>
        <c:lblOffset val="100"/>
        <c:noMultiLvlLbl val="0"/>
      </c:catAx>
      <c:valAx>
        <c:axId val="7933914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Customers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7267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160920</xdr:rowOff>
    </xdr:from>
    <xdr:to>
      <xdr:col>15</xdr:col>
      <xdr:colOff>290520</xdr:colOff>
      <xdr:row>15</xdr:row>
      <xdr:rowOff>24120</xdr:rowOff>
    </xdr:to>
    <xdr:graphicFrame>
      <xdr:nvGraphicFramePr>
        <xdr:cNvPr id="0" name="Chart 1"/>
        <xdr:cNvGraphicFramePr/>
      </xdr:nvGraphicFramePr>
      <xdr:xfrm>
        <a:off x="10690920" y="571680"/>
        <a:ext cx="3959640" cy="23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18</xdr:row>
      <xdr:rowOff>160560</xdr:rowOff>
    </xdr:from>
    <xdr:to>
      <xdr:col>17</xdr:col>
      <xdr:colOff>507600</xdr:colOff>
      <xdr:row>33</xdr:row>
      <xdr:rowOff>2880</xdr:rowOff>
    </xdr:to>
    <xdr:graphicFrame>
      <xdr:nvGraphicFramePr>
        <xdr:cNvPr id="1" name="Chart 2"/>
        <xdr:cNvGraphicFramePr/>
      </xdr:nvGraphicFramePr>
      <xdr:xfrm>
        <a:off x="10690920" y="361944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blCustomers" displayName="tblCustomers" ref="A1:X401" headerRowCount="1" totalsRowCount="0" totalsRowShown="0">
  <autoFilter ref="A1:X401"/>
  <tableColumns count="24">
    <tableColumn id="1" name="customer_id"/>
    <tableColumn id="2" name="segment"/>
    <tableColumn id="3" name="C1"/>
    <tableColumn id="4" name="C2"/>
    <tableColumn id="5" name="C3"/>
    <tableColumn id="6" name="C4"/>
    <tableColumn id="7" name="C5"/>
    <tableColumn id="8" name="G1"/>
    <tableColumn id="9" name="G2"/>
    <tableColumn id="10" name="G3"/>
    <tableColumn id="11" name="P1"/>
    <tableColumn id="12" name="P2"/>
    <tableColumn id="13" name="P3"/>
    <tableColumn id="14" name="P4"/>
    <tableColumn id="15" name="D1"/>
    <tableColumn id="16" name="D2"/>
    <tableColumn id="17" name="D3"/>
    <tableColumn id="18" name="A1"/>
    <tableColumn id="19" name="A2"/>
    <tableColumn id="20" name="A3"/>
    <tableColumn id="21" name="A4"/>
    <tableColumn id="22" name="A5"/>
    <tableColumn id="23" name="sar_last_12m"/>
    <tableColumn id="24" name="onboarded"/>
  </tableColumns>
</table>
</file>

<file path=xl/tables/table2.xml><?xml version="1.0" encoding="utf-8"?>
<table xmlns="http://schemas.openxmlformats.org/spreadsheetml/2006/main" id="2" name="tblMapping" displayName="tblMapping" ref="A1:D99" headerRowCount="1" totalsRowCount="0" totalsRowShown="0">
  <autoFilter ref="A1:D99"/>
  <tableColumns count="4">
    <tableColumn id="1" name="Factor"/>
    <tableColumn id="2" name="Level recorded"/>
    <tableColumn id="3" name="Score"/>
    <tableColumn id="4" name="Lookup ke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B2:B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6"/>
  </cols>
  <sheetData>
    <row r="2" customFormat="false" ht="17.35"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row>
    <row r="5" customFormat="false" ht="15" hidden="false" customHeight="false" outlineLevel="0" collapsed="false">
      <c r="B5" s="2" t="s">
        <v>2</v>
      </c>
    </row>
    <row r="6" customFormat="false" ht="55.5" hidden="false" customHeight="true" outlineLevel="0" collapsed="false">
      <c r="B6" s="3" t="s">
        <v>3</v>
      </c>
    </row>
    <row r="7" customFormat="false" ht="15" hidden="false" customHeight="false" outlineLevel="0" collapsed="false">
      <c r="B7" s="3"/>
    </row>
    <row r="8" customFormat="false" ht="15" hidden="false" customHeight="false" outlineLevel="0" collapsed="false">
      <c r="B8" s="2" t="s">
        <v>4</v>
      </c>
    </row>
    <row r="9" customFormat="false" ht="27.75" hidden="false" customHeight="true" outlineLevel="0" collapsed="false">
      <c r="B9" s="3" t="s">
        <v>5</v>
      </c>
    </row>
    <row r="10" customFormat="false" ht="27.75" hidden="false" customHeight="true" outlineLevel="0" collapsed="false">
      <c r="B10" s="3" t="s">
        <v>6</v>
      </c>
    </row>
    <row r="11" customFormat="false" ht="27.75" hidden="false" customHeight="true" outlineLevel="0" collapsed="false">
      <c r="B11" s="3" t="s">
        <v>7</v>
      </c>
    </row>
    <row r="12" customFormat="false" ht="27.75" hidden="false" customHeight="true" outlineLevel="0" collapsed="false">
      <c r="B12" s="3" t="s">
        <v>8</v>
      </c>
    </row>
    <row r="13" customFormat="false" ht="15" hidden="false" customHeight="false" outlineLevel="0" collapsed="false">
      <c r="B13" s="3" t="s">
        <v>9</v>
      </c>
    </row>
    <row r="14" customFormat="false" ht="27.75" hidden="false" customHeight="true" outlineLevel="0" collapsed="false">
      <c r="B14" s="3" t="s">
        <v>10</v>
      </c>
    </row>
    <row r="15" customFormat="false" ht="15" hidden="false" customHeight="false" outlineLevel="0" collapsed="false">
      <c r="B15" s="3" t="s">
        <v>11</v>
      </c>
    </row>
    <row r="16" customFormat="false" ht="15" hidden="false" customHeight="false" outlineLevel="0" collapsed="false">
      <c r="B16" s="3" t="s">
        <v>12</v>
      </c>
    </row>
    <row r="17" customFormat="false" ht="15" hidden="false" customHeight="false" outlineLevel="0" collapsed="false">
      <c r="B17" s="3"/>
    </row>
    <row r="18" customFormat="false" ht="15" hidden="false" customHeight="false" outlineLevel="0" collapsed="false">
      <c r="B18" s="2" t="s">
        <v>13</v>
      </c>
    </row>
    <row r="19" customFormat="false" ht="15" hidden="false" customHeight="false" outlineLevel="0" collapsed="false">
      <c r="B19" s="3" t="s">
        <v>14</v>
      </c>
    </row>
    <row r="20" customFormat="false" ht="15" hidden="false" customHeight="false" outlineLevel="0" collapsed="false">
      <c r="B20" s="3" t="s">
        <v>15</v>
      </c>
    </row>
    <row r="21" customFormat="false" ht="15" hidden="false" customHeight="false" outlineLevel="0" collapsed="false">
      <c r="B21" s="3" t="s">
        <v>16</v>
      </c>
    </row>
    <row r="22" customFormat="false" ht="15" hidden="false" customHeight="false" outlineLevel="0" collapsed="false">
      <c r="B22" s="3" t="s">
        <v>17</v>
      </c>
    </row>
    <row r="23" customFormat="false" ht="15" hidden="false" customHeight="false" outlineLevel="0" collapsed="false">
      <c r="B23" s="3" t="s">
        <v>18</v>
      </c>
    </row>
    <row r="24" customFormat="false" ht="15" hidden="false" customHeight="false" outlineLevel="0" collapsed="false">
      <c r="B24" s="3" t="s">
        <v>19</v>
      </c>
    </row>
    <row r="25" customFormat="false" ht="15" hidden="false" customHeight="false" outlineLevel="0" collapsed="false">
      <c r="B25" s="3" t="s">
        <v>20</v>
      </c>
    </row>
    <row r="26" customFormat="false" ht="15" hidden="false" customHeight="false" outlineLevel="0" collapsed="false">
      <c r="B26" s="3"/>
    </row>
    <row r="27" customFormat="false" ht="15" hidden="false" customHeight="false" outlineLevel="0" collapsed="false">
      <c r="B27" s="2" t="s">
        <v>21</v>
      </c>
    </row>
    <row r="28" customFormat="false" ht="55.5" hidden="false" customHeight="true" outlineLevel="0" collapsed="false">
      <c r="B28" s="3" t="s">
        <v>22</v>
      </c>
    </row>
    <row r="29" customFormat="false" ht="15" hidden="false" customHeight="false" outlineLevel="0" collapsed="false">
      <c r="B29" s="3"/>
    </row>
    <row r="30" customFormat="false" ht="15" hidden="false" customHeight="false" outlineLevel="0" collapsed="false">
      <c r="B30" s="2" t="s">
        <v>23</v>
      </c>
    </row>
    <row r="31" customFormat="false" ht="42" hidden="false" customHeight="true" outlineLevel="0" collapsed="false">
      <c r="B31" s="3" t="s">
        <v>24</v>
      </c>
    </row>
    <row r="32" customFormat="false" ht="15" hidden="false" customHeight="false" outlineLevel="0" collapsed="false">
      <c r="B32" s="3"/>
    </row>
    <row r="33" customFormat="false" ht="27.75" hidden="false" customHeight="true" outlineLevel="0" collapsed="false">
      <c r="B33" s="4"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A1:D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9"/>
    <col collapsed="false" customWidth="true" hidden="false" outlineLevel="0" max="4" min="4" style="0" width="48"/>
  </cols>
  <sheetData>
    <row r="1" customFormat="false" ht="30" hidden="false" customHeight="true" outlineLevel="0" collapsed="false">
      <c r="A1" s="5" t="s">
        <v>26</v>
      </c>
      <c r="B1" s="5" t="s">
        <v>27</v>
      </c>
      <c r="C1" s="5" t="s">
        <v>28</v>
      </c>
      <c r="D1" s="5" t="s">
        <v>29</v>
      </c>
    </row>
    <row r="2" customFormat="false" ht="15" hidden="false" customHeight="false" outlineLevel="0" collapsed="false">
      <c r="A2" s="6" t="s">
        <v>30</v>
      </c>
      <c r="B2" s="7" t="s">
        <v>31</v>
      </c>
      <c r="C2" s="8" t="n">
        <v>1</v>
      </c>
      <c r="D2" s="7" t="str">
        <f aca="false">$A2&amp;"|"&amp;$B2</f>
        <v>C1|Individual</v>
      </c>
    </row>
    <row r="3" customFormat="false" ht="15" hidden="false" customHeight="false" outlineLevel="0" collapsed="false">
      <c r="A3" s="6" t="s">
        <v>30</v>
      </c>
      <c r="B3" s="7" t="s">
        <v>32</v>
      </c>
      <c r="C3" s="8" t="n">
        <v>2</v>
      </c>
      <c r="D3" s="7" t="str">
        <f aca="false">$A3&amp;"|"&amp;$B3</f>
        <v>C1|Sole trader or joint</v>
      </c>
    </row>
    <row r="4" customFormat="false" ht="15" hidden="false" customHeight="false" outlineLevel="0" collapsed="false">
      <c r="A4" s="6" t="s">
        <v>30</v>
      </c>
      <c r="B4" s="7" t="s">
        <v>33</v>
      </c>
      <c r="C4" s="8" t="n">
        <v>3</v>
      </c>
      <c r="D4" s="7" t="str">
        <f aca="false">$A4&amp;"|"&amp;$B4</f>
        <v>C1|UK company, natural owners</v>
      </c>
    </row>
    <row r="5" customFormat="false" ht="15" hidden="false" customHeight="false" outlineLevel="0" collapsed="false">
      <c r="A5" s="6" t="s">
        <v>30</v>
      </c>
      <c r="B5" s="7" t="s">
        <v>34</v>
      </c>
      <c r="C5" s="8" t="n">
        <v>4</v>
      </c>
      <c r="D5" s="7" t="str">
        <f aca="false">$A5&amp;"|"&amp;$B5</f>
        <v>C1|UK company, corporate owner</v>
      </c>
    </row>
    <row r="6" customFormat="false" ht="15" hidden="false" customHeight="false" outlineLevel="0" collapsed="false">
      <c r="A6" s="6" t="s">
        <v>30</v>
      </c>
      <c r="B6" s="7" t="s">
        <v>35</v>
      </c>
      <c r="C6" s="8" t="n">
        <v>5</v>
      </c>
      <c r="D6" s="7" t="str">
        <f aca="false">$A6&amp;"|"&amp;$B6</f>
        <v>C1|Trust, nominee or overseas</v>
      </c>
    </row>
    <row r="7" customFormat="false" ht="15" hidden="false" customHeight="false" outlineLevel="0" collapsed="false">
      <c r="A7" s="6" t="s">
        <v>36</v>
      </c>
      <c r="B7" s="7" t="s">
        <v>37</v>
      </c>
      <c r="C7" s="8" t="n">
        <v>1</v>
      </c>
      <c r="D7" s="7" t="str">
        <f aca="false">$A7&amp;"|"&amp;$B7</f>
        <v>C2|Natural person</v>
      </c>
    </row>
    <row r="8" customFormat="false" ht="15" hidden="false" customHeight="false" outlineLevel="0" collapsed="false">
      <c r="A8" s="6" t="s">
        <v>36</v>
      </c>
      <c r="B8" s="7" t="s">
        <v>38</v>
      </c>
      <c r="C8" s="8" t="n">
        <v>2</v>
      </c>
      <c r="D8" s="7" t="str">
        <f aca="false">$A8&amp;"|"&amp;$B8</f>
        <v>C2|One or two UBOs</v>
      </c>
    </row>
    <row r="9" customFormat="false" ht="15" hidden="false" customHeight="false" outlineLevel="0" collapsed="false">
      <c r="A9" s="6" t="s">
        <v>36</v>
      </c>
      <c r="B9" s="7" t="s">
        <v>39</v>
      </c>
      <c r="C9" s="8" t="n">
        <v>3</v>
      </c>
      <c r="D9" s="7" t="str">
        <f aca="false">$A9&amp;"|"&amp;$B9</f>
        <v>C2|Three to five UBOs</v>
      </c>
    </row>
    <row r="10" customFormat="false" ht="15" hidden="false" customHeight="false" outlineLevel="0" collapsed="false">
      <c r="A10" s="6" t="s">
        <v>36</v>
      </c>
      <c r="B10" s="7" t="s">
        <v>40</v>
      </c>
      <c r="C10" s="8" t="n">
        <v>4</v>
      </c>
      <c r="D10" s="7" t="str">
        <f aca="false">$A10&amp;"|"&amp;$B10</f>
        <v>C2|Two layers, evidenced</v>
      </c>
    </row>
    <row r="11" customFormat="false" ht="15" hidden="false" customHeight="false" outlineLevel="0" collapsed="false">
      <c r="A11" s="6" t="s">
        <v>36</v>
      </c>
      <c r="B11" s="7" t="s">
        <v>41</v>
      </c>
      <c r="C11" s="8" t="n">
        <v>5</v>
      </c>
      <c r="D11" s="7" t="str">
        <f aca="false">$A11&amp;"|"&amp;$B11</f>
        <v>C2|Nominee, bearer or unevidenced</v>
      </c>
    </row>
    <row r="12" customFormat="false" ht="15" hidden="false" customHeight="false" outlineLevel="0" collapsed="false">
      <c r="A12" s="6" t="s">
        <v>42</v>
      </c>
      <c r="B12" s="7" t="s">
        <v>43</v>
      </c>
      <c r="C12" s="8" t="n">
        <v>1</v>
      </c>
      <c r="D12" s="7" t="str">
        <f aca="false">$A12&amp;"|"&amp;$B12</f>
        <v>C3|Employed or pension</v>
      </c>
    </row>
    <row r="13" customFormat="false" ht="15" hidden="false" customHeight="false" outlineLevel="0" collapsed="false">
      <c r="A13" s="6" t="s">
        <v>42</v>
      </c>
      <c r="B13" s="7" t="s">
        <v>44</v>
      </c>
      <c r="C13" s="8" t="n">
        <v>2</v>
      </c>
      <c r="D13" s="7" t="str">
        <f aca="false">$A13&amp;"|"&amp;$B13</f>
        <v>C3|Regulated profession</v>
      </c>
    </row>
    <row r="14" customFormat="false" ht="15" hidden="false" customHeight="false" outlineLevel="0" collapsed="false">
      <c r="A14" s="6" t="s">
        <v>42</v>
      </c>
      <c r="B14" s="7" t="s">
        <v>45</v>
      </c>
      <c r="C14" s="8" t="n">
        <v>3</v>
      </c>
      <c r="D14" s="7" t="str">
        <f aca="false">$A14&amp;"|"&amp;$B14</f>
        <v>C3|General trade</v>
      </c>
    </row>
    <row r="15" customFormat="false" ht="15" hidden="false" customHeight="false" outlineLevel="0" collapsed="false">
      <c r="A15" s="6" t="s">
        <v>42</v>
      </c>
      <c r="B15" s="7" t="s">
        <v>46</v>
      </c>
      <c r="C15" s="8" t="n">
        <v>4</v>
      </c>
      <c r="D15" s="7" t="str">
        <f aca="false">$A15&amp;"|"&amp;$B15</f>
        <v>C3|Cash-intensive trade</v>
      </c>
    </row>
    <row r="16" customFormat="false" ht="15" hidden="false" customHeight="false" outlineLevel="0" collapsed="false">
      <c r="A16" s="6" t="s">
        <v>42</v>
      </c>
      <c r="B16" s="7" t="s">
        <v>47</v>
      </c>
      <c r="C16" s="8" t="n">
        <v>5</v>
      </c>
      <c r="D16" s="7" t="str">
        <f aca="false">$A16&amp;"|"&amp;$B16</f>
        <v>C3|MSB, TCSP or HVD</v>
      </c>
    </row>
    <row r="17" customFormat="false" ht="15" hidden="false" customHeight="false" outlineLevel="0" collapsed="false">
      <c r="A17" s="6" t="s">
        <v>48</v>
      </c>
      <c r="B17" s="7" t="s">
        <v>49</v>
      </c>
      <c r="C17" s="8" t="n">
        <v>1</v>
      </c>
      <c r="D17" s="7" t="str">
        <f aca="false">$A17&amp;"|"&amp;$B17</f>
        <v>C4|No match</v>
      </c>
    </row>
    <row r="18" customFormat="false" ht="15" hidden="false" customHeight="false" outlineLevel="0" collapsed="false">
      <c r="A18" s="6" t="s">
        <v>48</v>
      </c>
      <c r="B18" s="7" t="s">
        <v>50</v>
      </c>
      <c r="C18" s="8" t="n">
        <v>3</v>
      </c>
      <c r="D18" s="7" t="str">
        <f aca="false">$A18&amp;"|"&amp;$B18</f>
        <v>C4|PEP family or associate</v>
      </c>
    </row>
    <row r="19" customFormat="false" ht="15" hidden="false" customHeight="false" outlineLevel="0" collapsed="false">
      <c r="A19" s="6" t="s">
        <v>48</v>
      </c>
      <c r="B19" s="7" t="s">
        <v>51</v>
      </c>
      <c r="C19" s="8" t="n">
        <v>4</v>
      </c>
      <c r="D19" s="7" t="str">
        <f aca="false">$A19&amp;"|"&amp;$B19</f>
        <v>C4|Domestic PEP</v>
      </c>
    </row>
    <row r="20" customFormat="false" ht="15" hidden="false" customHeight="false" outlineLevel="0" collapsed="false">
      <c r="A20" s="6" t="s">
        <v>48</v>
      </c>
      <c r="B20" s="7" t="s">
        <v>52</v>
      </c>
      <c r="C20" s="8" t="n">
        <v>5</v>
      </c>
      <c r="D20" s="7" t="str">
        <f aca="false">$A20&amp;"|"&amp;$B20</f>
        <v>C4|Foreign PEP</v>
      </c>
    </row>
    <row r="21" customFormat="false" ht="15" hidden="false" customHeight="false" outlineLevel="0" collapsed="false">
      <c r="A21" s="6" t="s">
        <v>53</v>
      </c>
      <c r="B21" s="7" t="s">
        <v>49</v>
      </c>
      <c r="C21" s="8" t="n">
        <v>1</v>
      </c>
      <c r="D21" s="7" t="str">
        <f aca="false">$A21&amp;"|"&amp;$B21</f>
        <v>C5|No match</v>
      </c>
    </row>
    <row r="22" customFormat="false" ht="15" hidden="false" customHeight="false" outlineLevel="0" collapsed="false">
      <c r="A22" s="6" t="s">
        <v>53</v>
      </c>
      <c r="B22" s="7" t="s">
        <v>54</v>
      </c>
      <c r="C22" s="8" t="n">
        <v>2</v>
      </c>
      <c r="D22" s="7" t="str">
        <f aca="false">$A22&amp;"|"&amp;$B22</f>
        <v>C5|False positive</v>
      </c>
    </row>
    <row r="23" customFormat="false" ht="15" hidden="false" customHeight="false" outlineLevel="0" collapsed="false">
      <c r="A23" s="6" t="s">
        <v>53</v>
      </c>
      <c r="B23" s="7" t="s">
        <v>55</v>
      </c>
      <c r="C23" s="8" t="n">
        <v>3</v>
      </c>
      <c r="D23" s="7" t="str">
        <f aca="false">$A23&amp;"|"&amp;$B23</f>
        <v>C5|Adverse media, non-financial</v>
      </c>
    </row>
    <row r="24" customFormat="false" ht="15" hidden="false" customHeight="false" outlineLevel="0" collapsed="false">
      <c r="A24" s="6" t="s">
        <v>53</v>
      </c>
      <c r="B24" s="7" t="s">
        <v>56</v>
      </c>
      <c r="C24" s="8" t="n">
        <v>4</v>
      </c>
      <c r="D24" s="7" t="str">
        <f aca="false">$A24&amp;"|"&amp;$B24</f>
        <v>C5|Adverse media, unproven</v>
      </c>
    </row>
    <row r="25" customFormat="false" ht="15" hidden="false" customHeight="false" outlineLevel="0" collapsed="false">
      <c r="A25" s="6" t="s">
        <v>53</v>
      </c>
      <c r="B25" s="7" t="s">
        <v>57</v>
      </c>
      <c r="C25" s="8" t="n">
        <v>5</v>
      </c>
      <c r="D25" s="7" t="str">
        <f aca="false">$A25&amp;"|"&amp;$B25</f>
        <v>C5|Adverse media, financial crime</v>
      </c>
    </row>
    <row r="26" customFormat="false" ht="15" hidden="false" customHeight="false" outlineLevel="0" collapsed="false">
      <c r="A26" s="6" t="s">
        <v>58</v>
      </c>
      <c r="B26" s="7" t="s">
        <v>59</v>
      </c>
      <c r="C26" s="8" t="n">
        <v>1</v>
      </c>
      <c r="D26" s="7" t="str">
        <f aca="false">$A26&amp;"|"&amp;$B26</f>
        <v>G1|United Kingdom</v>
      </c>
    </row>
    <row r="27" customFormat="false" ht="15" hidden="false" customHeight="false" outlineLevel="0" collapsed="false">
      <c r="A27" s="6" t="s">
        <v>58</v>
      </c>
      <c r="B27" s="7" t="s">
        <v>60</v>
      </c>
      <c r="C27" s="8" t="n">
        <v>2</v>
      </c>
      <c r="D27" s="7" t="str">
        <f aca="false">$A27&amp;"|"&amp;$B27</f>
        <v>G1|Unlisted country</v>
      </c>
    </row>
    <row r="28" customFormat="false" ht="15" hidden="false" customHeight="false" outlineLevel="0" collapsed="false">
      <c r="A28" s="6" t="s">
        <v>58</v>
      </c>
      <c r="B28" s="7" t="s">
        <v>61</v>
      </c>
      <c r="C28" s="8" t="n">
        <v>3</v>
      </c>
      <c r="D28" s="7" t="str">
        <f aca="false">$A28&amp;"|"&amp;$B28</f>
        <v>G1|Weaker AML, unlisted</v>
      </c>
    </row>
    <row r="29" customFormat="false" ht="15" hidden="false" customHeight="false" outlineLevel="0" collapsed="false">
      <c r="A29" s="6" t="s">
        <v>58</v>
      </c>
      <c r="B29" s="7" t="s">
        <v>62</v>
      </c>
      <c r="C29" s="8" t="n">
        <v>4</v>
      </c>
      <c r="D29" s="7" t="str">
        <f aca="false">$A29&amp;"|"&amp;$B29</f>
        <v>G1|FATF increased monitoring</v>
      </c>
    </row>
    <row r="30" customFormat="false" ht="15" hidden="false" customHeight="false" outlineLevel="0" collapsed="false">
      <c r="A30" s="6" t="s">
        <v>58</v>
      </c>
      <c r="B30" s="7" t="s">
        <v>63</v>
      </c>
      <c r="C30" s="8" t="n">
        <v>5</v>
      </c>
      <c r="D30" s="7" t="str">
        <f aca="false">$A30&amp;"|"&amp;$B30</f>
        <v>G1|FATF call for action</v>
      </c>
    </row>
    <row r="31" customFormat="false" ht="15" hidden="false" customHeight="false" outlineLevel="0" collapsed="false">
      <c r="A31" s="6" t="s">
        <v>64</v>
      </c>
      <c r="B31" s="7" t="s">
        <v>65</v>
      </c>
      <c r="C31" s="8" t="n">
        <v>1</v>
      </c>
      <c r="D31" s="7" t="str">
        <f aca="false">$A31&amp;"|"&amp;$B31</f>
        <v>G2|UK tax residence only</v>
      </c>
    </row>
    <row r="32" customFormat="false" ht="15" hidden="false" customHeight="false" outlineLevel="0" collapsed="false">
      <c r="A32" s="6" t="s">
        <v>64</v>
      </c>
      <c r="B32" s="7" t="s">
        <v>66</v>
      </c>
      <c r="C32" s="8" t="n">
        <v>2</v>
      </c>
      <c r="D32" s="7" t="str">
        <f aca="false">$A32&amp;"|"&amp;$B32</f>
        <v>G2|Further tax residence, unlisted</v>
      </c>
    </row>
    <row r="33" customFormat="false" ht="15" hidden="false" customHeight="false" outlineLevel="0" collapsed="false">
      <c r="A33" s="6" t="s">
        <v>64</v>
      </c>
      <c r="B33" s="7" t="s">
        <v>67</v>
      </c>
      <c r="C33" s="8" t="n">
        <v>4</v>
      </c>
      <c r="D33" s="7" t="str">
        <f aca="false">$A33&amp;"|"&amp;$B33</f>
        <v>G2|Further tax residence, monitored</v>
      </c>
    </row>
    <row r="34" customFormat="false" ht="15" hidden="false" customHeight="false" outlineLevel="0" collapsed="false">
      <c r="A34" s="6" t="s">
        <v>64</v>
      </c>
      <c r="B34" s="7" t="s">
        <v>68</v>
      </c>
      <c r="C34" s="8" t="n">
        <v>5</v>
      </c>
      <c r="D34" s="7" t="str">
        <f aca="false">$A34&amp;"|"&amp;$B34</f>
        <v>G2|Further tax residence, call for action</v>
      </c>
    </row>
    <row r="35" customFormat="false" ht="15" hidden="false" customHeight="false" outlineLevel="0" collapsed="false">
      <c r="A35" s="6" t="s">
        <v>69</v>
      </c>
      <c r="B35" s="7" t="s">
        <v>70</v>
      </c>
      <c r="C35" s="8" t="n">
        <v>1</v>
      </c>
      <c r="D35" s="7" t="str">
        <f aca="false">$A35&amp;"|"&amp;$B35</f>
        <v>G3|UK only</v>
      </c>
    </row>
    <row r="36" customFormat="false" ht="15" hidden="false" customHeight="false" outlineLevel="0" collapsed="false">
      <c r="A36" s="6" t="s">
        <v>69</v>
      </c>
      <c r="B36" s="7" t="s">
        <v>71</v>
      </c>
      <c r="C36" s="8" t="n">
        <v>2</v>
      </c>
      <c r="D36" s="7" t="str">
        <f aca="false">$A36&amp;"|"&amp;$B36</f>
        <v>G3|Unlisted countries</v>
      </c>
    </row>
    <row r="37" customFormat="false" ht="15" hidden="false" customHeight="false" outlineLevel="0" collapsed="false">
      <c r="A37" s="6" t="s">
        <v>69</v>
      </c>
      <c r="B37" s="7" t="s">
        <v>61</v>
      </c>
      <c r="C37" s="8" t="n">
        <v>3</v>
      </c>
      <c r="D37" s="7" t="str">
        <f aca="false">$A37&amp;"|"&amp;$B37</f>
        <v>G3|Weaker AML, unlisted</v>
      </c>
    </row>
    <row r="38" customFormat="false" ht="15" hidden="false" customHeight="false" outlineLevel="0" collapsed="false">
      <c r="A38" s="6" t="s">
        <v>69</v>
      </c>
      <c r="B38" s="7" t="s">
        <v>62</v>
      </c>
      <c r="C38" s="8" t="n">
        <v>4</v>
      </c>
      <c r="D38" s="7" t="str">
        <f aca="false">$A38&amp;"|"&amp;$B38</f>
        <v>G3|FATF increased monitoring</v>
      </c>
    </row>
    <row r="39" customFormat="false" ht="15" hidden="false" customHeight="false" outlineLevel="0" collapsed="false">
      <c r="A39" s="6" t="s">
        <v>69</v>
      </c>
      <c r="B39" s="7" t="s">
        <v>63</v>
      </c>
      <c r="C39" s="8" t="n">
        <v>5</v>
      </c>
      <c r="D39" s="7" t="str">
        <f aca="false">$A39&amp;"|"&amp;$B39</f>
        <v>G3|FATF call for action</v>
      </c>
    </row>
    <row r="40" customFormat="false" ht="15" hidden="false" customHeight="false" outlineLevel="0" collapsed="false">
      <c r="A40" s="6" t="s">
        <v>72</v>
      </c>
      <c r="B40" s="7" t="s">
        <v>73</v>
      </c>
      <c r="C40" s="8" t="n">
        <v>1</v>
      </c>
      <c r="D40" s="7" t="str">
        <f aca="false">$A40&amp;"|"&amp;$B40</f>
        <v>P1|Savings only</v>
      </c>
    </row>
    <row r="41" customFormat="false" ht="15" hidden="false" customHeight="false" outlineLevel="0" collapsed="false">
      <c r="A41" s="6" t="s">
        <v>72</v>
      </c>
      <c r="B41" s="7" t="s">
        <v>74</v>
      </c>
      <c r="C41" s="8" t="n">
        <v>2</v>
      </c>
      <c r="D41" s="7" t="str">
        <f aca="false">$A41&amp;"|"&amp;$B41</f>
        <v>P1|Current account, no overdraft</v>
      </c>
    </row>
    <row r="42" customFormat="false" ht="15" hidden="false" customHeight="false" outlineLevel="0" collapsed="false">
      <c r="A42" s="6" t="s">
        <v>72</v>
      </c>
      <c r="B42" s="7" t="s">
        <v>75</v>
      </c>
      <c r="C42" s="8" t="n">
        <v>3</v>
      </c>
      <c r="D42" s="7" t="str">
        <f aca="false">$A42&amp;"|"&amp;$B42</f>
        <v>P1|Current account with credit</v>
      </c>
    </row>
    <row r="43" customFormat="false" ht="15" hidden="false" customHeight="false" outlineLevel="0" collapsed="false">
      <c r="A43" s="6" t="s">
        <v>72</v>
      </c>
      <c r="B43" s="7" t="s">
        <v>76</v>
      </c>
      <c r="C43" s="8" t="n">
        <v>4</v>
      </c>
      <c r="D43" s="7" t="str">
        <f aca="false">$A43&amp;"|"&amp;$B43</f>
        <v>P1|Business account, basic</v>
      </c>
    </row>
    <row r="44" customFormat="false" ht="15" hidden="false" customHeight="false" outlineLevel="0" collapsed="false">
      <c r="A44" s="6" t="s">
        <v>72</v>
      </c>
      <c r="B44" s="7" t="s">
        <v>77</v>
      </c>
      <c r="C44" s="8" t="n">
        <v>5</v>
      </c>
      <c r="D44" s="7" t="str">
        <f aca="false">$A44&amp;"|"&amp;$B44</f>
        <v>P1|Business account, cash and international</v>
      </c>
    </row>
    <row r="45" customFormat="false" ht="15" hidden="false" customHeight="false" outlineLevel="0" collapsed="false">
      <c r="A45" s="6" t="s">
        <v>78</v>
      </c>
      <c r="B45" s="7" t="s">
        <v>79</v>
      </c>
      <c r="C45" s="8" t="n">
        <v>1</v>
      </c>
      <c r="D45" s="7" t="str">
        <f aca="false">$A45&amp;"|"&amp;$B45</f>
        <v>P2|No cash facility</v>
      </c>
    </row>
    <row r="46" customFormat="false" ht="15" hidden="false" customHeight="false" outlineLevel="0" collapsed="false">
      <c r="A46" s="6" t="s">
        <v>78</v>
      </c>
      <c r="B46" s="7" t="s">
        <v>80</v>
      </c>
      <c r="C46" s="8" t="n">
        <v>2</v>
      </c>
      <c r="D46" s="7" t="str">
        <f aca="false">$A46&amp;"|"&amp;$B46</f>
        <v>P2|Withdrawal only</v>
      </c>
    </row>
    <row r="47" customFormat="false" ht="15" hidden="false" customHeight="false" outlineLevel="0" collapsed="false">
      <c r="A47" s="6" t="s">
        <v>78</v>
      </c>
      <c r="B47" s="7" t="s">
        <v>81</v>
      </c>
      <c r="C47" s="8" t="n">
        <v>3</v>
      </c>
      <c r="D47" s="7" t="str">
        <f aca="false">$A47&amp;"|"&amp;$B47</f>
        <v>P2|Under 2k a month</v>
      </c>
    </row>
    <row r="48" customFormat="false" ht="15" hidden="false" customHeight="false" outlineLevel="0" collapsed="false">
      <c r="A48" s="6" t="s">
        <v>78</v>
      </c>
      <c r="B48" s="7" t="s">
        <v>82</v>
      </c>
      <c r="C48" s="8" t="n">
        <v>4</v>
      </c>
      <c r="D48" s="7" t="str">
        <f aca="false">$A48&amp;"|"&amp;$B48</f>
        <v>P2|2k to 10k a month</v>
      </c>
    </row>
    <row r="49" customFormat="false" ht="15" hidden="false" customHeight="false" outlineLevel="0" collapsed="false">
      <c r="A49" s="6" t="s">
        <v>78</v>
      </c>
      <c r="B49" s="7" t="s">
        <v>83</v>
      </c>
      <c r="C49" s="8" t="n">
        <v>5</v>
      </c>
      <c r="D49" s="7" t="str">
        <f aca="false">$A49&amp;"|"&amp;$B49</f>
        <v>P2|Over 10k a month</v>
      </c>
    </row>
    <row r="50" customFormat="false" ht="15" hidden="false" customHeight="false" outlineLevel="0" collapsed="false">
      <c r="A50" s="6" t="s">
        <v>84</v>
      </c>
      <c r="B50" s="7" t="s">
        <v>85</v>
      </c>
      <c r="C50" s="8" t="n">
        <v>1</v>
      </c>
      <c r="D50" s="7" t="str">
        <f aca="false">$A50&amp;"|"&amp;$B50</f>
        <v>P3|Not enabled</v>
      </c>
    </row>
    <row r="51" customFormat="false" ht="15" hidden="false" customHeight="false" outlineLevel="0" collapsed="false">
      <c r="A51" s="6" t="s">
        <v>84</v>
      </c>
      <c r="B51" s="7" t="s">
        <v>86</v>
      </c>
      <c r="C51" s="8" t="n">
        <v>2</v>
      </c>
      <c r="D51" s="7" t="str">
        <f aca="false">$A51&amp;"|"&amp;$B51</f>
        <v>P3|Enabled, unused</v>
      </c>
    </row>
    <row r="52" customFormat="false" ht="15" hidden="false" customHeight="false" outlineLevel="0" collapsed="false">
      <c r="A52" s="6" t="s">
        <v>84</v>
      </c>
      <c r="B52" s="7" t="s">
        <v>87</v>
      </c>
      <c r="C52" s="8" t="n">
        <v>3</v>
      </c>
      <c r="D52" s="7" t="str">
        <f aca="false">$A52&amp;"|"&amp;$B52</f>
        <v>P3|Occasional payments</v>
      </c>
    </row>
    <row r="53" customFormat="false" ht="15" hidden="false" customHeight="false" outlineLevel="0" collapsed="false">
      <c r="A53" s="6" t="s">
        <v>84</v>
      </c>
      <c r="B53" s="7" t="s">
        <v>88</v>
      </c>
      <c r="C53" s="8" t="n">
        <v>4</v>
      </c>
      <c r="D53" s="7" t="str">
        <f aca="false">$A53&amp;"|"&amp;$B53</f>
        <v>P3|Regular payments</v>
      </c>
    </row>
    <row r="54" customFormat="false" ht="15" hidden="false" customHeight="false" outlineLevel="0" collapsed="false">
      <c r="A54" s="6" t="s">
        <v>84</v>
      </c>
      <c r="B54" s="7" t="s">
        <v>89</v>
      </c>
      <c r="C54" s="8" t="n">
        <v>5</v>
      </c>
      <c r="D54" s="7" t="str">
        <f aca="false">$A54&amp;"|"&amp;$B54</f>
        <v>P3|Payments to listed country</v>
      </c>
    </row>
    <row r="55" customFormat="false" ht="15" hidden="false" customHeight="false" outlineLevel="0" collapsed="false">
      <c r="A55" s="6" t="s">
        <v>90</v>
      </c>
      <c r="B55" s="7" t="s">
        <v>91</v>
      </c>
      <c r="C55" s="8" t="n">
        <v>1</v>
      </c>
      <c r="D55" s="7" t="str">
        <f aca="false">$A55&amp;"|"&amp;$B55</f>
        <v>P4|Sole party</v>
      </c>
    </row>
    <row r="56" customFormat="false" ht="15" hidden="false" customHeight="false" outlineLevel="0" collapsed="false">
      <c r="A56" s="6" t="s">
        <v>90</v>
      </c>
      <c r="B56" s="7" t="s">
        <v>92</v>
      </c>
      <c r="C56" s="8" t="n">
        <v>2</v>
      </c>
      <c r="D56" s="7" t="str">
        <f aca="false">$A56&amp;"|"&amp;$B56</f>
        <v>P4|Joint, related</v>
      </c>
    </row>
    <row r="57" customFormat="false" ht="15" hidden="false" customHeight="false" outlineLevel="0" collapsed="false">
      <c r="A57" s="6" t="s">
        <v>90</v>
      </c>
      <c r="B57" s="7" t="s">
        <v>93</v>
      </c>
      <c r="C57" s="8" t="n">
        <v>3</v>
      </c>
      <c r="D57" s="7" t="str">
        <f aca="false">$A57&amp;"|"&amp;$B57</f>
        <v>P4|Mandate, evidenced</v>
      </c>
    </row>
    <row r="58" customFormat="false" ht="15" hidden="false" customHeight="false" outlineLevel="0" collapsed="false">
      <c r="A58" s="6" t="s">
        <v>90</v>
      </c>
      <c r="B58" s="7" t="s">
        <v>94</v>
      </c>
      <c r="C58" s="8" t="n">
        <v>4</v>
      </c>
      <c r="D58" s="7" t="str">
        <f aca="false">$A58&amp;"|"&amp;$B58</f>
        <v>P4|Power of attorney</v>
      </c>
    </row>
    <row r="59" customFormat="false" ht="15" hidden="false" customHeight="false" outlineLevel="0" collapsed="false">
      <c r="A59" s="6" t="s">
        <v>90</v>
      </c>
      <c r="B59" s="7" t="s">
        <v>95</v>
      </c>
      <c r="C59" s="8" t="n">
        <v>5</v>
      </c>
      <c r="D59" s="7" t="str">
        <f aca="false">$A59&amp;"|"&amp;$B59</f>
        <v>P4|Unexplained signatories</v>
      </c>
    </row>
    <row r="60" customFormat="false" ht="15" hidden="false" customHeight="false" outlineLevel="0" collapsed="false">
      <c r="A60" s="6" t="s">
        <v>96</v>
      </c>
      <c r="B60" s="7" t="s">
        <v>97</v>
      </c>
      <c r="C60" s="8" t="n">
        <v>1</v>
      </c>
      <c r="D60" s="7" t="str">
        <f aca="false">$A60&amp;"|"&amp;$B60</f>
        <v>D1|Branch</v>
      </c>
    </row>
    <row r="61" customFormat="false" ht="15" hidden="false" customHeight="false" outlineLevel="0" collapsed="false">
      <c r="A61" s="6" t="s">
        <v>96</v>
      </c>
      <c r="B61" s="7" t="s">
        <v>98</v>
      </c>
      <c r="C61" s="8" t="n">
        <v>2</v>
      </c>
      <c r="D61" s="7" t="str">
        <f aca="false">$A61&amp;"|"&amp;$B61</f>
        <v>D1|Telephone and branch</v>
      </c>
    </row>
    <row r="62" customFormat="false" ht="15" hidden="false" customHeight="false" outlineLevel="0" collapsed="false">
      <c r="A62" s="6" t="s">
        <v>96</v>
      </c>
      <c r="B62" s="7" t="s">
        <v>99</v>
      </c>
      <c r="C62" s="8" t="n">
        <v>3</v>
      </c>
      <c r="D62" s="7" t="str">
        <f aca="false">$A62&amp;"|"&amp;$B62</f>
        <v>D1|Digital, own app</v>
      </c>
    </row>
    <row r="63" customFormat="false" ht="15" hidden="false" customHeight="false" outlineLevel="0" collapsed="false">
      <c r="A63" s="6" t="s">
        <v>96</v>
      </c>
      <c r="B63" s="7" t="s">
        <v>100</v>
      </c>
      <c r="C63" s="8" t="n">
        <v>4</v>
      </c>
      <c r="D63" s="7" t="str">
        <f aca="false">$A63&amp;"|"&amp;$B63</f>
        <v>D1|Digital, assisted</v>
      </c>
    </row>
    <row r="64" customFormat="false" ht="15" hidden="false" customHeight="false" outlineLevel="0" collapsed="false">
      <c r="A64" s="6" t="s">
        <v>96</v>
      </c>
      <c r="B64" s="7" t="s">
        <v>101</v>
      </c>
      <c r="C64" s="8" t="n">
        <v>5</v>
      </c>
      <c r="D64" s="7" t="str">
        <f aca="false">$A64&amp;"|"&amp;$B64</f>
        <v>D1|Unsupervised intermediary</v>
      </c>
    </row>
    <row r="65" customFormat="false" ht="15" hidden="false" customHeight="false" outlineLevel="0" collapsed="false">
      <c r="A65" s="6" t="s">
        <v>102</v>
      </c>
      <c r="B65" s="7" t="s">
        <v>103</v>
      </c>
      <c r="C65" s="8" t="n">
        <v>1</v>
      </c>
      <c r="D65" s="7" t="str">
        <f aca="false">$A65&amp;"|"&amp;$B65</f>
        <v>D2|Documents face to face</v>
      </c>
    </row>
    <row r="66" customFormat="false" ht="15" hidden="false" customHeight="false" outlineLevel="0" collapsed="false">
      <c r="A66" s="6" t="s">
        <v>102</v>
      </c>
      <c r="B66" s="7" t="s">
        <v>104</v>
      </c>
      <c r="C66" s="8" t="n">
        <v>2</v>
      </c>
      <c r="D66" s="7" t="str">
        <f aca="false">$A66&amp;"|"&amp;$B66</f>
        <v>D2|Certified copies</v>
      </c>
    </row>
    <row r="67" customFormat="false" ht="15" hidden="false" customHeight="false" outlineLevel="0" collapsed="false">
      <c r="A67" s="6" t="s">
        <v>102</v>
      </c>
      <c r="B67" s="7" t="s">
        <v>105</v>
      </c>
      <c r="C67" s="8" t="n">
        <v>3</v>
      </c>
      <c r="D67" s="7" t="str">
        <f aca="false">$A67&amp;"|"&amp;$B67</f>
        <v>D2|Electronic, two sources</v>
      </c>
    </row>
    <row r="68" customFormat="false" ht="15" hidden="false" customHeight="false" outlineLevel="0" collapsed="false">
      <c r="A68" s="6" t="s">
        <v>102</v>
      </c>
      <c r="B68" s="7" t="s">
        <v>106</v>
      </c>
      <c r="C68" s="8" t="n">
        <v>4</v>
      </c>
      <c r="D68" s="7" t="str">
        <f aca="false">$A68&amp;"|"&amp;$B68</f>
        <v>D2|Electronic, one source</v>
      </c>
    </row>
    <row r="69" customFormat="false" ht="15" hidden="false" customHeight="false" outlineLevel="0" collapsed="false">
      <c r="A69" s="6" t="s">
        <v>102</v>
      </c>
      <c r="B69" s="7" t="s">
        <v>107</v>
      </c>
      <c r="C69" s="8" t="n">
        <v>5</v>
      </c>
      <c r="D69" s="7" t="str">
        <f aca="false">$A69&amp;"|"&amp;$B69</f>
        <v>D2|Uncorroborated documents</v>
      </c>
    </row>
    <row r="70" customFormat="false" ht="15" hidden="false" customHeight="false" outlineLevel="0" collapsed="false">
      <c r="A70" s="6" t="s">
        <v>108</v>
      </c>
      <c r="B70" s="7" t="s">
        <v>109</v>
      </c>
      <c r="C70" s="8" t="n">
        <v>1</v>
      </c>
      <c r="D70" s="7" t="str">
        <f aca="false">$A70&amp;"|"&amp;$B70</f>
        <v>D3|Direct</v>
      </c>
    </row>
    <row r="71" customFormat="false" ht="15" hidden="false" customHeight="false" outlineLevel="0" collapsed="false">
      <c r="A71" s="6" t="s">
        <v>108</v>
      </c>
      <c r="B71" s="7" t="s">
        <v>110</v>
      </c>
      <c r="C71" s="8" t="n">
        <v>2</v>
      </c>
      <c r="D71" s="7" t="str">
        <f aca="false">$A71&amp;"|"&amp;$B71</f>
        <v>D3|Customer referral</v>
      </c>
    </row>
    <row r="72" customFormat="false" ht="15" hidden="false" customHeight="false" outlineLevel="0" collapsed="false">
      <c r="A72" s="6" t="s">
        <v>108</v>
      </c>
      <c r="B72" s="7" t="s">
        <v>111</v>
      </c>
      <c r="C72" s="8" t="n">
        <v>3</v>
      </c>
      <c r="D72" s="7" t="str">
        <f aca="false">$A72&amp;"|"&amp;$B72</f>
        <v>D3|Comparison site</v>
      </c>
    </row>
    <row r="73" customFormat="false" ht="15" hidden="false" customHeight="false" outlineLevel="0" collapsed="false">
      <c r="A73" s="6" t="s">
        <v>108</v>
      </c>
      <c r="B73" s="7" t="s">
        <v>112</v>
      </c>
      <c r="C73" s="8" t="n">
        <v>4</v>
      </c>
      <c r="D73" s="7" t="str">
        <f aca="false">$A73&amp;"|"&amp;$B73</f>
        <v>D3|Register checked</v>
      </c>
    </row>
    <row r="74" customFormat="false" ht="15" hidden="false" customHeight="false" outlineLevel="0" collapsed="false">
      <c r="A74" s="6" t="s">
        <v>108</v>
      </c>
      <c r="B74" s="7" t="s">
        <v>113</v>
      </c>
      <c r="C74" s="8" t="n">
        <v>5</v>
      </c>
      <c r="D74" s="7" t="str">
        <f aca="false">$A74&amp;"|"&amp;$B74</f>
        <v>D3|Register not confirmed</v>
      </c>
    </row>
    <row r="75" customFormat="false" ht="15" hidden="false" customHeight="false" outlineLevel="0" collapsed="false">
      <c r="A75" s="6" t="s">
        <v>114</v>
      </c>
      <c r="B75" s="7" t="s">
        <v>115</v>
      </c>
      <c r="C75" s="8" t="n">
        <v>1</v>
      </c>
      <c r="D75" s="7" t="str">
        <f aca="false">$A75&amp;"|"&amp;$B75</f>
        <v>A1|Under 5k, consistent</v>
      </c>
    </row>
    <row r="76" customFormat="false" ht="15" hidden="false" customHeight="false" outlineLevel="0" collapsed="false">
      <c r="A76" s="6" t="s">
        <v>114</v>
      </c>
      <c r="B76" s="7" t="s">
        <v>116</v>
      </c>
      <c r="C76" s="8" t="n">
        <v>2</v>
      </c>
      <c r="D76" s="7" t="str">
        <f aca="false">$A76&amp;"|"&amp;$B76</f>
        <v>A1|5k to 25k, consistent</v>
      </c>
    </row>
    <row r="77" customFormat="false" ht="15" hidden="false" customHeight="false" outlineLevel="0" collapsed="false">
      <c r="A77" s="6" t="s">
        <v>114</v>
      </c>
      <c r="B77" s="7" t="s">
        <v>117</v>
      </c>
      <c r="C77" s="8" t="n">
        <v>3</v>
      </c>
      <c r="D77" s="7" t="str">
        <f aca="false">$A77&amp;"|"&amp;$B77</f>
        <v>A1|Over 25k, consistent</v>
      </c>
    </row>
    <row r="78" customFormat="false" ht="15" hidden="false" customHeight="false" outlineLevel="0" collapsed="false">
      <c r="A78" s="6" t="s">
        <v>114</v>
      </c>
      <c r="B78" s="7" t="s">
        <v>118</v>
      </c>
      <c r="C78" s="8" t="n">
        <v>4</v>
      </c>
      <c r="D78" s="7" t="str">
        <f aca="false">$A78&amp;"|"&amp;$B78</f>
        <v>A1|Above sector expectation</v>
      </c>
    </row>
    <row r="79" customFormat="false" ht="15" hidden="false" customHeight="false" outlineLevel="0" collapsed="false">
      <c r="A79" s="6" t="s">
        <v>114</v>
      </c>
      <c r="B79" s="7" t="s">
        <v>119</v>
      </c>
      <c r="C79" s="8" t="n">
        <v>5</v>
      </c>
      <c r="D79" s="7" t="str">
        <f aca="false">$A79&amp;"|"&amp;$B79</f>
        <v>A1|Unexplained</v>
      </c>
    </row>
    <row r="80" customFormat="false" ht="15" hidden="false" customHeight="false" outlineLevel="0" collapsed="false">
      <c r="A80" s="6" t="s">
        <v>120</v>
      </c>
      <c r="B80" s="7" t="s">
        <v>121</v>
      </c>
      <c r="C80" s="8" t="n">
        <v>1</v>
      </c>
      <c r="D80" s="7" t="str">
        <f aca="false">$A80&amp;"|"&amp;$B80</f>
        <v>A2|No cash credits</v>
      </c>
    </row>
    <row r="81" customFormat="false" ht="15" hidden="false" customHeight="false" outlineLevel="0" collapsed="false">
      <c r="A81" s="6" t="s">
        <v>120</v>
      </c>
      <c r="B81" s="7" t="s">
        <v>122</v>
      </c>
      <c r="C81" s="8" t="n">
        <v>2</v>
      </c>
      <c r="D81" s="7" t="str">
        <f aca="false">$A81&amp;"|"&amp;$B81</f>
        <v>A2|Up to 10 percent</v>
      </c>
    </row>
    <row r="82" customFormat="false" ht="15" hidden="false" customHeight="false" outlineLevel="0" collapsed="false">
      <c r="A82" s="6" t="s">
        <v>120</v>
      </c>
      <c r="B82" s="7" t="s">
        <v>123</v>
      </c>
      <c r="C82" s="8" t="n">
        <v>3</v>
      </c>
      <c r="D82" s="7" t="str">
        <f aca="false">$A82&amp;"|"&amp;$B82</f>
        <v>A2|10 to 30 percent</v>
      </c>
    </row>
    <row r="83" customFormat="false" ht="15" hidden="false" customHeight="false" outlineLevel="0" collapsed="false">
      <c r="A83" s="6" t="s">
        <v>120</v>
      </c>
      <c r="B83" s="7" t="s">
        <v>124</v>
      </c>
      <c r="C83" s="8" t="n">
        <v>4</v>
      </c>
      <c r="D83" s="7" t="str">
        <f aca="false">$A83&amp;"|"&amp;$B83</f>
        <v>A2|30 to 60 percent</v>
      </c>
    </row>
    <row r="84" customFormat="false" ht="15" hidden="false" customHeight="false" outlineLevel="0" collapsed="false">
      <c r="A84" s="6" t="s">
        <v>120</v>
      </c>
      <c r="B84" s="7" t="s">
        <v>125</v>
      </c>
      <c r="C84" s="8" t="n">
        <v>5</v>
      </c>
      <c r="D84" s="7" t="str">
        <f aca="false">$A84&amp;"|"&amp;$B84</f>
        <v>A2|Over 60 percent</v>
      </c>
    </row>
    <row r="85" customFormat="false" ht="15" hidden="false" customHeight="false" outlineLevel="0" collapsed="false">
      <c r="A85" s="6" t="s">
        <v>126</v>
      </c>
      <c r="B85" s="7" t="s">
        <v>127</v>
      </c>
      <c r="C85" s="8" t="n">
        <v>1</v>
      </c>
      <c r="D85" s="7" t="str">
        <f aca="false">$A85&amp;"|"&amp;$B85</f>
        <v>A3|None</v>
      </c>
    </row>
    <row r="86" customFormat="false" ht="15" hidden="false" customHeight="false" outlineLevel="0" collapsed="false">
      <c r="A86" s="6" t="s">
        <v>126</v>
      </c>
      <c r="B86" s="7" t="s">
        <v>122</v>
      </c>
      <c r="C86" s="8" t="n">
        <v>2</v>
      </c>
      <c r="D86" s="7" t="str">
        <f aca="false">$A86&amp;"|"&amp;$B86</f>
        <v>A3|Up to 10 percent</v>
      </c>
    </row>
    <row r="87" customFormat="false" ht="15" hidden="false" customHeight="false" outlineLevel="0" collapsed="false">
      <c r="A87" s="6" t="s">
        <v>126</v>
      </c>
      <c r="B87" s="7" t="s">
        <v>128</v>
      </c>
      <c r="C87" s="8" t="n">
        <v>3</v>
      </c>
      <c r="D87" s="7" t="str">
        <f aca="false">$A87&amp;"|"&amp;$B87</f>
        <v>A3|10 to 40 percent</v>
      </c>
    </row>
    <row r="88" customFormat="false" ht="15" hidden="false" customHeight="false" outlineLevel="0" collapsed="false">
      <c r="A88" s="6" t="s">
        <v>126</v>
      </c>
      <c r="B88" s="7" t="s">
        <v>129</v>
      </c>
      <c r="C88" s="8" t="n">
        <v>4</v>
      </c>
      <c r="D88" s="7" t="str">
        <f aca="false">$A88&amp;"|"&amp;$B88</f>
        <v>A3|Over 40 percent</v>
      </c>
    </row>
    <row r="89" customFormat="false" ht="15" hidden="false" customHeight="false" outlineLevel="0" collapsed="false">
      <c r="A89" s="6" t="s">
        <v>126</v>
      </c>
      <c r="B89" s="7" t="s">
        <v>130</v>
      </c>
      <c r="C89" s="8" t="n">
        <v>5</v>
      </c>
      <c r="D89" s="7" t="str">
        <f aca="false">$A89&amp;"|"&amp;$B89</f>
        <v>A3|Over 40 percent, listed country</v>
      </c>
    </row>
    <row r="90" customFormat="false" ht="15" hidden="false" customHeight="false" outlineLevel="0" collapsed="false">
      <c r="A90" s="6" t="s">
        <v>131</v>
      </c>
      <c r="B90" s="7" t="s">
        <v>132</v>
      </c>
      <c r="C90" s="8" t="n">
        <v>1</v>
      </c>
      <c r="D90" s="7" t="str">
        <f aca="false">$A90&amp;"|"&amp;$B90</f>
        <v>A4|Employer and retail</v>
      </c>
    </row>
    <row r="91" customFormat="false" ht="15" hidden="false" customHeight="false" outlineLevel="0" collapsed="false">
      <c r="A91" s="6" t="s">
        <v>131</v>
      </c>
      <c r="B91" s="7" t="s">
        <v>133</v>
      </c>
      <c r="C91" s="8" t="n">
        <v>2</v>
      </c>
      <c r="D91" s="7" t="str">
        <f aca="false">$A91&amp;"|"&amp;$B91</f>
        <v>A4|Named businesses</v>
      </c>
    </row>
    <row r="92" customFormat="false" ht="15" hidden="false" customHeight="false" outlineLevel="0" collapsed="false">
      <c r="A92" s="6" t="s">
        <v>131</v>
      </c>
      <c r="B92" s="7" t="s">
        <v>134</v>
      </c>
      <c r="C92" s="8" t="n">
        <v>3</v>
      </c>
      <c r="D92" s="7" t="str">
        <f aca="false">$A92&amp;"|"&amp;$B92</f>
        <v>A4|Many individuals</v>
      </c>
    </row>
    <row r="93" customFormat="false" ht="15" hidden="false" customHeight="false" outlineLevel="0" collapsed="false">
      <c r="A93" s="6" t="s">
        <v>131</v>
      </c>
      <c r="B93" s="7" t="s">
        <v>135</v>
      </c>
      <c r="C93" s="8" t="n">
        <v>4</v>
      </c>
      <c r="D93" s="7" t="str">
        <f aca="false">$A93&amp;"|"&amp;$B93</f>
        <v>A4|Sector 4 counterparties</v>
      </c>
    </row>
    <row r="94" customFormat="false" ht="15" hidden="false" customHeight="false" outlineLevel="0" collapsed="false">
      <c r="A94" s="6" t="s">
        <v>131</v>
      </c>
      <c r="B94" s="7" t="s">
        <v>136</v>
      </c>
      <c r="C94" s="8" t="n">
        <v>5</v>
      </c>
      <c r="D94" s="7" t="str">
        <f aca="false">$A94&amp;"|"&amp;$B94</f>
        <v>A4|Undescribed or sector 5</v>
      </c>
    </row>
    <row r="95" customFormat="false" ht="15" hidden="false" customHeight="false" outlineLevel="0" collapsed="false">
      <c r="A95" s="6" t="s">
        <v>137</v>
      </c>
      <c r="B95" s="7" t="s">
        <v>138</v>
      </c>
      <c r="C95" s="8" t="n">
        <v>1</v>
      </c>
      <c r="D95" s="7" t="str">
        <f aca="false">$A95&amp;"|"&amp;$B95</f>
        <v>A5|Consistent</v>
      </c>
    </row>
    <row r="96" customFormat="false" ht="15" hidden="false" customHeight="false" outlineLevel="0" collapsed="false">
      <c r="A96" s="6" t="s">
        <v>137</v>
      </c>
      <c r="B96" s="7" t="s">
        <v>139</v>
      </c>
      <c r="C96" s="8" t="n">
        <v>2</v>
      </c>
      <c r="D96" s="7" t="str">
        <f aca="false">$A96&amp;"|"&amp;$B96</f>
        <v>A5|Minor, explained</v>
      </c>
    </row>
    <row r="97" customFormat="false" ht="15" hidden="false" customHeight="false" outlineLevel="0" collapsed="false">
      <c r="A97" s="6" t="s">
        <v>137</v>
      </c>
      <c r="B97" s="7" t="s">
        <v>140</v>
      </c>
      <c r="C97" s="8" t="n">
        <v>3</v>
      </c>
      <c r="D97" s="7" t="str">
        <f aca="false">$A97&amp;"|"&amp;$B97</f>
        <v>A5|Resolved on follow-up</v>
      </c>
    </row>
    <row r="98" customFormat="false" ht="15" hidden="false" customHeight="false" outlineLevel="0" collapsed="false">
      <c r="A98" s="6" t="s">
        <v>137</v>
      </c>
      <c r="B98" s="7" t="s">
        <v>141</v>
      </c>
      <c r="C98" s="8" t="n">
        <v>4</v>
      </c>
      <c r="D98" s="7" t="str">
        <f aca="false">$A98&amp;"|"&amp;$B98</f>
        <v>A5|Unresolved</v>
      </c>
    </row>
    <row r="99" customFormat="false" ht="15" hidden="false" customHeight="false" outlineLevel="0" collapsed="false">
      <c r="A99" s="6" t="s">
        <v>137</v>
      </c>
      <c r="B99" s="7" t="s">
        <v>142</v>
      </c>
      <c r="C99" s="8" t="n">
        <v>5</v>
      </c>
      <c r="D99" s="7" t="str">
        <f aca="false">$A99&amp;"|"&amp;$B99</f>
        <v>A5|Not credible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A1:V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6"/>
    <col collapsed="false" customWidth="true" hidden="false" outlineLevel="0" max="4" min="4" style="0" width="17"/>
    <col collapsed="false" customWidth="true" hidden="false" outlineLevel="0" max="6" min="5" style="0" width="3"/>
    <col collapsed="false" customWidth="true" hidden="false" outlineLevel="0" max="7" min="7" style="0" width="20"/>
    <col collapsed="false" customWidth="true" hidden="false" outlineLevel="0" max="8" min="8" style="0" width="16"/>
  </cols>
  <sheetData>
    <row r="1" customFormat="false" ht="30" hidden="false" customHeight="true" outlineLevel="0" collapsed="false">
      <c r="A1" s="5" t="s">
        <v>26</v>
      </c>
      <c r="B1" s="5" t="s">
        <v>143</v>
      </c>
      <c r="C1" s="5" t="s">
        <v>144</v>
      </c>
      <c r="D1" s="5" t="s">
        <v>145</v>
      </c>
      <c r="E1" s="5"/>
      <c r="F1" s="5"/>
      <c r="G1" s="5" t="s">
        <v>143</v>
      </c>
      <c r="H1" s="5" t="s">
        <v>146</v>
      </c>
    </row>
    <row r="2" customFormat="false" ht="15" hidden="false" customHeight="false" outlineLevel="0" collapsed="false">
      <c r="A2" s="6" t="s">
        <v>30</v>
      </c>
      <c r="B2" s="8" t="s">
        <v>147</v>
      </c>
      <c r="C2" s="9" t="n">
        <v>0.06</v>
      </c>
      <c r="D2" s="10" t="n">
        <v>0.2</v>
      </c>
      <c r="G2" s="11" t="s">
        <v>148</v>
      </c>
      <c r="H2" s="12" t="n">
        <v>0.3</v>
      </c>
    </row>
    <row r="3" customFormat="false" ht="15" hidden="false" customHeight="false" outlineLevel="0" collapsed="false">
      <c r="A3" s="6" t="s">
        <v>36</v>
      </c>
      <c r="B3" s="8" t="s">
        <v>147</v>
      </c>
      <c r="C3" s="9" t="n">
        <v>0.06</v>
      </c>
      <c r="D3" s="10" t="n">
        <v>0.2</v>
      </c>
      <c r="G3" s="11" t="s">
        <v>149</v>
      </c>
      <c r="H3" s="12" t="n">
        <v>0.25</v>
      </c>
    </row>
    <row r="4" customFormat="false" ht="15" hidden="false" customHeight="false" outlineLevel="0" collapsed="false">
      <c r="A4" s="6" t="s">
        <v>42</v>
      </c>
      <c r="B4" s="8" t="s">
        <v>147</v>
      </c>
      <c r="C4" s="9" t="n">
        <v>0.075</v>
      </c>
      <c r="D4" s="10" t="n">
        <v>0.25</v>
      </c>
      <c r="G4" s="11" t="s">
        <v>150</v>
      </c>
      <c r="H4" s="12" t="n">
        <v>0.2</v>
      </c>
    </row>
    <row r="5" customFormat="false" ht="15" hidden="false" customHeight="false" outlineLevel="0" collapsed="false">
      <c r="A5" s="6" t="s">
        <v>48</v>
      </c>
      <c r="B5" s="8" t="s">
        <v>147</v>
      </c>
      <c r="C5" s="9" t="n">
        <v>0.06</v>
      </c>
      <c r="D5" s="10" t="n">
        <v>0.2</v>
      </c>
      <c r="G5" s="11" t="s">
        <v>151</v>
      </c>
      <c r="H5" s="12" t="n">
        <v>0.1</v>
      </c>
    </row>
    <row r="6" customFormat="false" ht="15" hidden="false" customHeight="false" outlineLevel="0" collapsed="false">
      <c r="A6" s="6" t="s">
        <v>53</v>
      </c>
      <c r="B6" s="8" t="s">
        <v>147</v>
      </c>
      <c r="C6" s="9" t="n">
        <v>0.045</v>
      </c>
      <c r="D6" s="10" t="n">
        <v>0.15</v>
      </c>
      <c r="G6" s="11" t="s">
        <v>152</v>
      </c>
      <c r="H6" s="12" t="n">
        <v>0.15</v>
      </c>
    </row>
    <row r="7" customFormat="false" ht="15" hidden="false" customHeight="false" outlineLevel="0" collapsed="false">
      <c r="A7" s="6" t="s">
        <v>58</v>
      </c>
      <c r="B7" s="8" t="s">
        <v>153</v>
      </c>
      <c r="C7" s="9" t="n">
        <v>0.1</v>
      </c>
      <c r="D7" s="10" t="n">
        <v>0.4</v>
      </c>
    </row>
    <row r="8" customFormat="false" ht="15" hidden="false" customHeight="false" outlineLevel="0" collapsed="false">
      <c r="A8" s="6" t="s">
        <v>64</v>
      </c>
      <c r="B8" s="8" t="s">
        <v>153</v>
      </c>
      <c r="C8" s="9" t="n">
        <v>0.05</v>
      </c>
      <c r="D8" s="10" t="n">
        <v>0.2</v>
      </c>
    </row>
    <row r="9" customFormat="false" ht="15" hidden="false" customHeight="false" outlineLevel="0" collapsed="false">
      <c r="A9" s="6" t="s">
        <v>69</v>
      </c>
      <c r="B9" s="8" t="s">
        <v>153</v>
      </c>
      <c r="C9" s="9" t="n">
        <v>0.1</v>
      </c>
      <c r="D9" s="10" t="n">
        <v>0.4</v>
      </c>
    </row>
    <row r="10" customFormat="false" ht="15" hidden="false" customHeight="false" outlineLevel="0" collapsed="false">
      <c r="A10" s="6" t="s">
        <v>72</v>
      </c>
      <c r="B10" s="8" t="s">
        <v>154</v>
      </c>
      <c r="C10" s="9" t="n">
        <v>0.07</v>
      </c>
      <c r="D10" s="10" t="n">
        <v>0.35</v>
      </c>
    </row>
    <row r="11" customFormat="false" ht="15" hidden="false" customHeight="false" outlineLevel="0" collapsed="false">
      <c r="A11" s="6" t="s">
        <v>78</v>
      </c>
      <c r="B11" s="8" t="s">
        <v>154</v>
      </c>
      <c r="C11" s="9" t="n">
        <v>0.05</v>
      </c>
      <c r="D11" s="10" t="n">
        <v>0.25</v>
      </c>
    </row>
    <row r="12" customFormat="false" ht="15" hidden="false" customHeight="false" outlineLevel="0" collapsed="false">
      <c r="A12" s="6" t="s">
        <v>84</v>
      </c>
      <c r="B12" s="8" t="s">
        <v>154</v>
      </c>
      <c r="C12" s="9" t="n">
        <v>0.05</v>
      </c>
      <c r="D12" s="10" t="n">
        <v>0.25</v>
      </c>
    </row>
    <row r="13" customFormat="false" ht="15" hidden="false" customHeight="false" outlineLevel="0" collapsed="false">
      <c r="A13" s="6" t="s">
        <v>90</v>
      </c>
      <c r="B13" s="8" t="s">
        <v>154</v>
      </c>
      <c r="C13" s="9" t="n">
        <v>0.03</v>
      </c>
      <c r="D13" s="10" t="n">
        <v>0.15</v>
      </c>
    </row>
    <row r="14" customFormat="false" ht="15" hidden="false" customHeight="false" outlineLevel="0" collapsed="false">
      <c r="A14" s="6" t="s">
        <v>96</v>
      </c>
      <c r="B14" s="8" t="s">
        <v>155</v>
      </c>
      <c r="C14" s="9" t="n">
        <v>0.045</v>
      </c>
      <c r="D14" s="10" t="n">
        <v>0.45</v>
      </c>
    </row>
    <row r="15" customFormat="false" ht="15" hidden="false" customHeight="false" outlineLevel="0" collapsed="false">
      <c r="A15" s="6" t="s">
        <v>102</v>
      </c>
      <c r="B15" s="8" t="s">
        <v>155</v>
      </c>
      <c r="C15" s="9" t="n">
        <v>0.035</v>
      </c>
      <c r="D15" s="10" t="n">
        <v>0.35</v>
      </c>
    </row>
    <row r="16" customFormat="false" ht="15" hidden="false" customHeight="false" outlineLevel="0" collapsed="false">
      <c r="A16" s="6" t="s">
        <v>108</v>
      </c>
      <c r="B16" s="8" t="s">
        <v>155</v>
      </c>
      <c r="C16" s="9" t="n">
        <v>0.02</v>
      </c>
      <c r="D16" s="10" t="n">
        <v>0.2</v>
      </c>
    </row>
    <row r="17" customFormat="false" ht="15" hidden="false" customHeight="false" outlineLevel="0" collapsed="false">
      <c r="A17" s="6" t="s">
        <v>114</v>
      </c>
      <c r="B17" s="8" t="s">
        <v>156</v>
      </c>
      <c r="C17" s="9" t="n">
        <v>0.0375</v>
      </c>
      <c r="D17" s="10" t="n">
        <v>0.25</v>
      </c>
    </row>
    <row r="18" customFormat="false" ht="15" hidden="false" customHeight="false" outlineLevel="0" collapsed="false">
      <c r="A18" s="6" t="s">
        <v>120</v>
      </c>
      <c r="B18" s="8" t="s">
        <v>156</v>
      </c>
      <c r="C18" s="9" t="n">
        <v>0.045</v>
      </c>
      <c r="D18" s="10" t="n">
        <v>0.3</v>
      </c>
    </row>
    <row r="19" customFormat="false" ht="15" hidden="false" customHeight="false" outlineLevel="0" collapsed="false">
      <c r="A19" s="6" t="s">
        <v>126</v>
      </c>
      <c r="B19" s="8" t="s">
        <v>156</v>
      </c>
      <c r="C19" s="9" t="n">
        <v>0.03</v>
      </c>
      <c r="D19" s="10" t="n">
        <v>0.2</v>
      </c>
    </row>
    <row r="20" customFormat="false" ht="15" hidden="false" customHeight="false" outlineLevel="0" collapsed="false">
      <c r="A20" s="6" t="s">
        <v>131</v>
      </c>
      <c r="B20" s="8" t="s">
        <v>156</v>
      </c>
      <c r="C20" s="9" t="n">
        <v>0.0225</v>
      </c>
      <c r="D20" s="10" t="n">
        <v>0.15</v>
      </c>
    </row>
    <row r="21" customFormat="false" ht="15" hidden="false" customHeight="false" outlineLevel="0" collapsed="false">
      <c r="A21" s="6" t="s">
        <v>137</v>
      </c>
      <c r="B21" s="8" t="s">
        <v>156</v>
      </c>
      <c r="C21" s="9" t="n">
        <v>0.015</v>
      </c>
      <c r="D21" s="10" t="n">
        <v>0.1</v>
      </c>
    </row>
    <row r="22" customFormat="false" ht="15" hidden="false" customHeight="false" outlineLevel="0" collapsed="false">
      <c r="B22" s="6" t="s">
        <v>157</v>
      </c>
      <c r="C22" s="13" t="n">
        <f aca="false">SUM($C$2:$C$21)</f>
        <v>1</v>
      </c>
    </row>
    <row r="24" customFormat="false" ht="15" hidden="false" customHeight="false" outlineLevel="0" collapsed="false">
      <c r="A24" s="14" t="s">
        <v>158</v>
      </c>
    </row>
    <row r="26" customFormat="false" ht="15" hidden="false" customHeight="false" outlineLevel="0" collapsed="false">
      <c r="A26" s="6" t="s">
        <v>159</v>
      </c>
      <c r="C26" s="15" t="str">
        <f aca="false">$A2</f>
        <v>C1</v>
      </c>
      <c r="D26" s="15" t="str">
        <f aca="false">$A3</f>
        <v>C2</v>
      </c>
      <c r="E26" s="15" t="str">
        <f aca="false">$A4</f>
        <v>C3</v>
      </c>
      <c r="F26" s="15" t="str">
        <f aca="false">$A5</f>
        <v>C4</v>
      </c>
      <c r="G26" s="15" t="str">
        <f aca="false">$A6</f>
        <v>C5</v>
      </c>
      <c r="H26" s="15" t="str">
        <f aca="false">$A7</f>
        <v>G1</v>
      </c>
      <c r="I26" s="15" t="str">
        <f aca="false">$A8</f>
        <v>G2</v>
      </c>
      <c r="J26" s="15" t="str">
        <f aca="false">$A9</f>
        <v>G3</v>
      </c>
      <c r="K26" s="15" t="str">
        <f aca="false">$A10</f>
        <v>P1</v>
      </c>
      <c r="L26" s="15" t="str">
        <f aca="false">$A11</f>
        <v>P2</v>
      </c>
      <c r="M26" s="15" t="str">
        <f aca="false">$A12</f>
        <v>P3</v>
      </c>
      <c r="N26" s="15" t="str">
        <f aca="false">$A13</f>
        <v>P4</v>
      </c>
      <c r="O26" s="15" t="str">
        <f aca="false">$A14</f>
        <v>D1</v>
      </c>
      <c r="P26" s="15" t="str">
        <f aca="false">$A15</f>
        <v>D2</v>
      </c>
      <c r="Q26" s="15" t="str">
        <f aca="false">$A16</f>
        <v>D3</v>
      </c>
      <c r="R26" s="15" t="str">
        <f aca="false">$A17</f>
        <v>A1</v>
      </c>
      <c r="S26" s="15" t="str">
        <f aca="false">$A18</f>
        <v>A2</v>
      </c>
      <c r="T26" s="15" t="str">
        <f aca="false">$A19</f>
        <v>A3</v>
      </c>
      <c r="U26" s="15" t="str">
        <f aca="false">$A20</f>
        <v>A4</v>
      </c>
      <c r="V26" s="15" t="str">
        <f aca="false">$A21</f>
        <v>A5</v>
      </c>
    </row>
    <row r="27" customFormat="false" ht="15" hidden="false" customHeight="false" outlineLevel="0" collapsed="false">
      <c r="A27" s="7" t="s">
        <v>144</v>
      </c>
      <c r="C27" s="9" t="n">
        <f aca="false">$C2</f>
        <v>0.06</v>
      </c>
      <c r="D27" s="9" t="n">
        <f aca="false">$C3</f>
        <v>0.06</v>
      </c>
      <c r="E27" s="9" t="n">
        <f aca="false">$C4</f>
        <v>0.075</v>
      </c>
      <c r="F27" s="9" t="n">
        <f aca="false">$C5</f>
        <v>0.06</v>
      </c>
      <c r="G27" s="9" t="n">
        <f aca="false">$C6</f>
        <v>0.045</v>
      </c>
      <c r="H27" s="9" t="n">
        <f aca="false">$C7</f>
        <v>0.1</v>
      </c>
      <c r="I27" s="9" t="n">
        <f aca="false">$C8</f>
        <v>0.05</v>
      </c>
      <c r="J27" s="9" t="n">
        <f aca="false">$C9</f>
        <v>0.1</v>
      </c>
      <c r="K27" s="9" t="n">
        <f aca="false">$C10</f>
        <v>0.07</v>
      </c>
      <c r="L27" s="9" t="n">
        <f aca="false">$C11</f>
        <v>0.05</v>
      </c>
      <c r="M27" s="9" t="n">
        <f aca="false">$C12</f>
        <v>0.05</v>
      </c>
      <c r="N27" s="9" t="n">
        <f aca="false">$C13</f>
        <v>0.03</v>
      </c>
      <c r="O27" s="9" t="n">
        <f aca="false">$C14</f>
        <v>0.045</v>
      </c>
      <c r="P27" s="9" t="n">
        <f aca="false">$C15</f>
        <v>0.035</v>
      </c>
      <c r="Q27" s="9" t="n">
        <f aca="false">$C16</f>
        <v>0.02</v>
      </c>
      <c r="R27" s="9" t="n">
        <f aca="false">$C17</f>
        <v>0.0375</v>
      </c>
      <c r="S27" s="9" t="n">
        <f aca="false">$C18</f>
        <v>0.045</v>
      </c>
      <c r="T27" s="9" t="n">
        <f aca="false">$C19</f>
        <v>0.03</v>
      </c>
      <c r="U27" s="9" t="n">
        <f aca="false">$C20</f>
        <v>0.0225</v>
      </c>
      <c r="V27" s="9" t="n">
        <f aca="false">$C21</f>
        <v>0.015</v>
      </c>
    </row>
    <row r="28" customFormat="false" ht="15" hidden="false" customHeight="false" outlineLevel="0" collapsed="false">
      <c r="A28" s="7" t="s">
        <v>145</v>
      </c>
      <c r="C28" s="10" t="n">
        <f aca="false">$D2</f>
        <v>0.2</v>
      </c>
      <c r="D28" s="10" t="n">
        <f aca="false">$D3</f>
        <v>0.2</v>
      </c>
      <c r="E28" s="10" t="n">
        <f aca="false">$D4</f>
        <v>0.25</v>
      </c>
      <c r="F28" s="10" t="n">
        <f aca="false">$D5</f>
        <v>0.2</v>
      </c>
      <c r="G28" s="10" t="n">
        <f aca="false">$D6</f>
        <v>0.15</v>
      </c>
      <c r="H28" s="10" t="n">
        <f aca="false">$D7</f>
        <v>0.4</v>
      </c>
      <c r="I28" s="10" t="n">
        <f aca="false">$D8</f>
        <v>0.2</v>
      </c>
      <c r="J28" s="10" t="n">
        <f aca="false">$D9</f>
        <v>0.4</v>
      </c>
      <c r="K28" s="10" t="n">
        <f aca="false">$D10</f>
        <v>0.35</v>
      </c>
      <c r="L28" s="10" t="n">
        <f aca="false">$D11</f>
        <v>0.25</v>
      </c>
      <c r="M28" s="10" t="n">
        <f aca="false">$D12</f>
        <v>0.25</v>
      </c>
      <c r="N28" s="10" t="n">
        <f aca="false">$D13</f>
        <v>0.15</v>
      </c>
      <c r="O28" s="10" t="n">
        <f aca="false">$D14</f>
        <v>0.45</v>
      </c>
      <c r="P28" s="10" t="n">
        <f aca="false">$D15</f>
        <v>0.35</v>
      </c>
      <c r="Q28" s="10" t="n">
        <f aca="false">$D16</f>
        <v>0.2</v>
      </c>
      <c r="R28" s="10" t="n">
        <f aca="false">$D17</f>
        <v>0.25</v>
      </c>
      <c r="S28" s="10" t="n">
        <f aca="false">$D18</f>
        <v>0.3</v>
      </c>
      <c r="T28" s="10" t="n">
        <f aca="false">$D19</f>
        <v>0.2</v>
      </c>
      <c r="U28" s="10" t="n">
        <f aca="false">$D20</f>
        <v>0.15</v>
      </c>
      <c r="V28" s="10" t="n">
        <f aca="false">$D21</f>
        <v>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A1:X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22" min="3" style="0" width="22"/>
    <col collapsed="false" customWidth="true" hidden="false" outlineLevel="0" max="23" min="23" style="0" width="13"/>
    <col collapsed="false" customWidth="true" hidden="false" outlineLevel="0" max="24" min="24" style="0" width="12"/>
  </cols>
  <sheetData>
    <row r="1" customFormat="false" ht="30" hidden="false" customHeight="true" outlineLevel="0" collapsed="false">
      <c r="A1" s="5" t="s">
        <v>160</v>
      </c>
      <c r="B1" s="5" t="s">
        <v>161</v>
      </c>
      <c r="C1" s="5" t="s">
        <v>30</v>
      </c>
      <c r="D1" s="5" t="s">
        <v>36</v>
      </c>
      <c r="E1" s="5" t="s">
        <v>42</v>
      </c>
      <c r="F1" s="5" t="s">
        <v>48</v>
      </c>
      <c r="G1" s="5" t="s">
        <v>53</v>
      </c>
      <c r="H1" s="5" t="s">
        <v>58</v>
      </c>
      <c r="I1" s="5" t="s">
        <v>64</v>
      </c>
      <c r="J1" s="5" t="s">
        <v>69</v>
      </c>
      <c r="K1" s="5" t="s">
        <v>72</v>
      </c>
      <c r="L1" s="5" t="s">
        <v>78</v>
      </c>
      <c r="M1" s="5" t="s">
        <v>84</v>
      </c>
      <c r="N1" s="5" t="s">
        <v>90</v>
      </c>
      <c r="O1" s="5" t="s">
        <v>96</v>
      </c>
      <c r="P1" s="5" t="s">
        <v>102</v>
      </c>
      <c r="Q1" s="5" t="s">
        <v>108</v>
      </c>
      <c r="R1" s="5" t="s">
        <v>114</v>
      </c>
      <c r="S1" s="5" t="s">
        <v>120</v>
      </c>
      <c r="T1" s="5" t="s">
        <v>126</v>
      </c>
      <c r="U1" s="5" t="s">
        <v>131</v>
      </c>
      <c r="V1" s="5" t="s">
        <v>137</v>
      </c>
      <c r="W1" s="5" t="s">
        <v>162</v>
      </c>
      <c r="X1" s="5" t="s">
        <v>163</v>
      </c>
    </row>
    <row r="2" customFormat="false" ht="15" hidden="false" customHeight="false" outlineLevel="0" collapsed="false">
      <c r="A2" s="7" t="s">
        <v>164</v>
      </c>
      <c r="B2" s="7" t="s">
        <v>165</v>
      </c>
      <c r="C2" s="16" t="s">
        <v>31</v>
      </c>
      <c r="D2" s="16" t="s">
        <v>37</v>
      </c>
      <c r="E2" s="16" t="s">
        <v>43</v>
      </c>
      <c r="F2" s="16" t="s">
        <v>49</v>
      </c>
      <c r="G2" s="16" t="s">
        <v>49</v>
      </c>
      <c r="H2" s="16" t="s">
        <v>59</v>
      </c>
      <c r="I2" s="16" t="s">
        <v>65</v>
      </c>
      <c r="J2" s="16" t="s">
        <v>70</v>
      </c>
      <c r="K2" s="16" t="s">
        <v>75</v>
      </c>
      <c r="L2" s="16" t="s">
        <v>81</v>
      </c>
      <c r="M2" s="16" t="s">
        <v>86</v>
      </c>
      <c r="N2" s="16" t="s">
        <v>91</v>
      </c>
      <c r="O2" s="16" t="s">
        <v>99</v>
      </c>
      <c r="P2" s="16" t="s">
        <v>105</v>
      </c>
      <c r="Q2" s="16" t="s">
        <v>111</v>
      </c>
      <c r="R2" s="16" t="s">
        <v>115</v>
      </c>
      <c r="S2" s="16" t="s">
        <v>121</v>
      </c>
      <c r="T2" s="16" t="s">
        <v>127</v>
      </c>
      <c r="U2" s="16" t="s">
        <v>132</v>
      </c>
      <c r="V2" s="16" t="s">
        <v>138</v>
      </c>
      <c r="W2" s="16" t="s">
        <v>166</v>
      </c>
      <c r="X2" s="16" t="s">
        <v>167</v>
      </c>
    </row>
    <row r="3" customFormat="false" ht="15" hidden="false" customHeight="false" outlineLevel="0" collapsed="false">
      <c r="A3" s="7" t="s">
        <v>168</v>
      </c>
      <c r="B3" s="7" t="s">
        <v>165</v>
      </c>
      <c r="C3" s="16" t="s">
        <v>32</v>
      </c>
      <c r="D3" s="16" t="s">
        <v>37</v>
      </c>
      <c r="E3" s="16" t="s">
        <v>45</v>
      </c>
      <c r="F3" s="16" t="s">
        <v>49</v>
      </c>
      <c r="G3" s="16" t="s">
        <v>49</v>
      </c>
      <c r="H3" s="16" t="s">
        <v>59</v>
      </c>
      <c r="I3" s="16" t="s">
        <v>65</v>
      </c>
      <c r="J3" s="16" t="s">
        <v>70</v>
      </c>
      <c r="K3" s="16" t="s">
        <v>74</v>
      </c>
      <c r="L3" s="16" t="s">
        <v>81</v>
      </c>
      <c r="M3" s="16" t="s">
        <v>85</v>
      </c>
      <c r="N3" s="16" t="s">
        <v>91</v>
      </c>
      <c r="O3" s="16" t="s">
        <v>97</v>
      </c>
      <c r="P3" s="16" t="s">
        <v>103</v>
      </c>
      <c r="Q3" s="16" t="s">
        <v>111</v>
      </c>
      <c r="R3" s="16" t="s">
        <v>116</v>
      </c>
      <c r="S3" s="16" t="s">
        <v>122</v>
      </c>
      <c r="T3" s="16" t="s">
        <v>129</v>
      </c>
      <c r="U3" s="16" t="s">
        <v>132</v>
      </c>
      <c r="V3" s="16" t="s">
        <v>138</v>
      </c>
      <c r="W3" s="16" t="s">
        <v>166</v>
      </c>
      <c r="X3" s="16" t="s">
        <v>169</v>
      </c>
    </row>
    <row r="4" customFormat="false" ht="15" hidden="false" customHeight="false" outlineLevel="0" collapsed="false">
      <c r="A4" s="7" t="s">
        <v>170</v>
      </c>
      <c r="B4" s="7" t="s">
        <v>165</v>
      </c>
      <c r="C4" s="16" t="s">
        <v>31</v>
      </c>
      <c r="D4" s="16" t="s">
        <v>37</v>
      </c>
      <c r="E4" s="16" t="s">
        <v>43</v>
      </c>
      <c r="F4" s="16" t="s">
        <v>49</v>
      </c>
      <c r="G4" s="16" t="s">
        <v>49</v>
      </c>
      <c r="H4" s="16" t="s">
        <v>59</v>
      </c>
      <c r="I4" s="16" t="s">
        <v>65</v>
      </c>
      <c r="J4" s="16" t="s">
        <v>70</v>
      </c>
      <c r="K4" s="16" t="s">
        <v>74</v>
      </c>
      <c r="L4" s="16" t="s">
        <v>81</v>
      </c>
      <c r="M4" s="16" t="s">
        <v>86</v>
      </c>
      <c r="N4" s="16" t="s">
        <v>92</v>
      </c>
      <c r="O4" s="16" t="s">
        <v>99</v>
      </c>
      <c r="P4" s="16" t="s">
        <v>105</v>
      </c>
      <c r="Q4" s="16" t="s">
        <v>110</v>
      </c>
      <c r="R4" s="16" t="s">
        <v>115</v>
      </c>
      <c r="S4" s="16" t="s">
        <v>121</v>
      </c>
      <c r="T4" s="16" t="s">
        <v>122</v>
      </c>
      <c r="U4" s="16" t="s">
        <v>132</v>
      </c>
      <c r="V4" s="16" t="s">
        <v>138</v>
      </c>
      <c r="W4" s="16" t="s">
        <v>166</v>
      </c>
      <c r="X4" s="16" t="s">
        <v>171</v>
      </c>
    </row>
    <row r="5" customFormat="false" ht="15" hidden="false" customHeight="false" outlineLevel="0" collapsed="false">
      <c r="A5" s="7" t="s">
        <v>172</v>
      </c>
      <c r="B5" s="7" t="s">
        <v>165</v>
      </c>
      <c r="C5" s="16" t="s">
        <v>31</v>
      </c>
      <c r="D5" s="16" t="s">
        <v>37</v>
      </c>
      <c r="E5" s="16" t="s">
        <v>44</v>
      </c>
      <c r="F5" s="16" t="s">
        <v>49</v>
      </c>
      <c r="G5" s="16" t="s">
        <v>49</v>
      </c>
      <c r="H5" s="16" t="s">
        <v>59</v>
      </c>
      <c r="I5" s="16" t="s">
        <v>65</v>
      </c>
      <c r="J5" s="16" t="s">
        <v>71</v>
      </c>
      <c r="K5" s="16" t="s">
        <v>75</v>
      </c>
      <c r="L5" s="16" t="s">
        <v>81</v>
      </c>
      <c r="M5" s="16" t="s">
        <v>86</v>
      </c>
      <c r="N5" s="16" t="s">
        <v>92</v>
      </c>
      <c r="O5" s="16" t="s">
        <v>97</v>
      </c>
      <c r="P5" s="16" t="s">
        <v>105</v>
      </c>
      <c r="Q5" s="16" t="s">
        <v>109</v>
      </c>
      <c r="R5" s="16" t="s">
        <v>115</v>
      </c>
      <c r="S5" s="16" t="s">
        <v>122</v>
      </c>
      <c r="T5" s="16" t="s">
        <v>127</v>
      </c>
      <c r="U5" s="16" t="s">
        <v>132</v>
      </c>
      <c r="V5" s="16" t="s">
        <v>138</v>
      </c>
      <c r="W5" s="16" t="s">
        <v>166</v>
      </c>
      <c r="X5" s="16" t="s">
        <v>173</v>
      </c>
    </row>
    <row r="6" customFormat="false" ht="15" hidden="false" customHeight="false" outlineLevel="0" collapsed="false">
      <c r="A6" s="7" t="s">
        <v>174</v>
      </c>
      <c r="B6" s="7" t="s">
        <v>165</v>
      </c>
      <c r="C6" s="16" t="s">
        <v>31</v>
      </c>
      <c r="D6" s="16" t="s">
        <v>37</v>
      </c>
      <c r="E6" s="16" t="s">
        <v>43</v>
      </c>
      <c r="F6" s="16" t="s">
        <v>49</v>
      </c>
      <c r="G6" s="16" t="s">
        <v>49</v>
      </c>
      <c r="H6" s="16" t="s">
        <v>59</v>
      </c>
      <c r="I6" s="16" t="s">
        <v>65</v>
      </c>
      <c r="J6" s="16" t="s">
        <v>70</v>
      </c>
      <c r="K6" s="16" t="s">
        <v>74</v>
      </c>
      <c r="L6" s="16" t="s">
        <v>81</v>
      </c>
      <c r="M6" s="16" t="s">
        <v>86</v>
      </c>
      <c r="N6" s="16" t="s">
        <v>91</v>
      </c>
      <c r="O6" s="16" t="s">
        <v>99</v>
      </c>
      <c r="P6" s="16" t="s">
        <v>103</v>
      </c>
      <c r="Q6" s="16" t="s">
        <v>111</v>
      </c>
      <c r="R6" s="16" t="s">
        <v>115</v>
      </c>
      <c r="S6" s="16" t="s">
        <v>122</v>
      </c>
      <c r="T6" s="16" t="s">
        <v>127</v>
      </c>
      <c r="U6" s="16" t="s">
        <v>132</v>
      </c>
      <c r="V6" s="16" t="s">
        <v>138</v>
      </c>
      <c r="W6" s="16" t="s">
        <v>166</v>
      </c>
      <c r="X6" s="16" t="s">
        <v>175</v>
      </c>
    </row>
    <row r="7" customFormat="false" ht="15" hidden="false" customHeight="false" outlineLevel="0" collapsed="false">
      <c r="A7" s="7" t="s">
        <v>176</v>
      </c>
      <c r="B7" s="7" t="s">
        <v>165</v>
      </c>
      <c r="C7" s="16" t="s">
        <v>31</v>
      </c>
      <c r="D7" s="16" t="s">
        <v>37</v>
      </c>
      <c r="E7" s="16" t="s">
        <v>43</v>
      </c>
      <c r="F7" s="16" t="s">
        <v>49</v>
      </c>
      <c r="G7" s="16" t="s">
        <v>49</v>
      </c>
      <c r="H7" s="16" t="s">
        <v>59</v>
      </c>
      <c r="I7" s="16" t="s">
        <v>65</v>
      </c>
      <c r="J7" s="16" t="s">
        <v>70</v>
      </c>
      <c r="K7" s="16" t="s">
        <v>75</v>
      </c>
      <c r="L7" s="16" t="s">
        <v>80</v>
      </c>
      <c r="M7" s="16" t="s">
        <v>86</v>
      </c>
      <c r="N7" s="16" t="s">
        <v>91</v>
      </c>
      <c r="O7" s="16" t="s">
        <v>99</v>
      </c>
      <c r="P7" s="16" t="s">
        <v>105</v>
      </c>
      <c r="Q7" s="16" t="s">
        <v>109</v>
      </c>
      <c r="R7" s="16" t="s">
        <v>115</v>
      </c>
      <c r="S7" s="16" t="s">
        <v>121</v>
      </c>
      <c r="T7" s="16" t="s">
        <v>127</v>
      </c>
      <c r="U7" s="16" t="s">
        <v>132</v>
      </c>
      <c r="V7" s="16" t="s">
        <v>138</v>
      </c>
      <c r="W7" s="16" t="s">
        <v>166</v>
      </c>
      <c r="X7" s="16" t="s">
        <v>177</v>
      </c>
    </row>
    <row r="8" customFormat="false" ht="15" hidden="false" customHeight="false" outlineLevel="0" collapsed="false">
      <c r="A8" s="7" t="s">
        <v>178</v>
      </c>
      <c r="B8" s="7" t="s">
        <v>165</v>
      </c>
      <c r="C8" s="16" t="s">
        <v>31</v>
      </c>
      <c r="D8" s="16" t="s">
        <v>37</v>
      </c>
      <c r="E8" s="16" t="s">
        <v>45</v>
      </c>
      <c r="F8" s="16" t="s">
        <v>49</v>
      </c>
      <c r="G8" s="16" t="s">
        <v>49</v>
      </c>
      <c r="H8" s="16" t="s">
        <v>59</v>
      </c>
      <c r="I8" s="16" t="s">
        <v>65</v>
      </c>
      <c r="J8" s="16" t="s">
        <v>70</v>
      </c>
      <c r="K8" s="16" t="s">
        <v>75</v>
      </c>
      <c r="L8" s="16" t="s">
        <v>81</v>
      </c>
      <c r="M8" s="16" t="s">
        <v>87</v>
      </c>
      <c r="N8" s="16" t="s">
        <v>95</v>
      </c>
      <c r="O8" s="16" t="s">
        <v>100</v>
      </c>
      <c r="P8" s="16" t="s">
        <v>105</v>
      </c>
      <c r="Q8" s="16" t="s">
        <v>111</v>
      </c>
      <c r="R8" s="16" t="s">
        <v>117</v>
      </c>
      <c r="S8" s="16" t="s">
        <v>122</v>
      </c>
      <c r="T8" s="16" t="s">
        <v>127</v>
      </c>
      <c r="U8" s="16" t="s">
        <v>132</v>
      </c>
      <c r="V8" s="16" t="s">
        <v>138</v>
      </c>
      <c r="W8" s="16" t="s">
        <v>166</v>
      </c>
      <c r="X8" s="16" t="s">
        <v>179</v>
      </c>
    </row>
    <row r="9" customFormat="false" ht="15" hidden="false" customHeight="false" outlineLevel="0" collapsed="false">
      <c r="A9" s="7" t="s">
        <v>180</v>
      </c>
      <c r="B9" s="7" t="s">
        <v>165</v>
      </c>
      <c r="C9" s="16" t="s">
        <v>31</v>
      </c>
      <c r="D9" s="16" t="s">
        <v>37</v>
      </c>
      <c r="E9" s="16" t="s">
        <v>43</v>
      </c>
      <c r="F9" s="16" t="s">
        <v>49</v>
      </c>
      <c r="G9" s="16" t="s">
        <v>49</v>
      </c>
      <c r="H9" s="16" t="s">
        <v>59</v>
      </c>
      <c r="I9" s="16" t="s">
        <v>67</v>
      </c>
      <c r="J9" s="16" t="s">
        <v>70</v>
      </c>
      <c r="K9" s="16" t="s">
        <v>74</v>
      </c>
      <c r="L9" s="16" t="s">
        <v>80</v>
      </c>
      <c r="M9" s="16" t="s">
        <v>85</v>
      </c>
      <c r="N9" s="16" t="s">
        <v>91</v>
      </c>
      <c r="O9" s="16" t="s">
        <v>99</v>
      </c>
      <c r="P9" s="16" t="s">
        <v>105</v>
      </c>
      <c r="Q9" s="16" t="s">
        <v>109</v>
      </c>
      <c r="R9" s="16" t="s">
        <v>116</v>
      </c>
      <c r="S9" s="16" t="s">
        <v>121</v>
      </c>
      <c r="T9" s="16" t="s">
        <v>127</v>
      </c>
      <c r="U9" s="16" t="s">
        <v>135</v>
      </c>
      <c r="V9" s="16" t="s">
        <v>138</v>
      </c>
      <c r="W9" s="16" t="s">
        <v>166</v>
      </c>
      <c r="X9" s="16" t="s">
        <v>181</v>
      </c>
    </row>
    <row r="10" customFormat="false" ht="15" hidden="false" customHeight="false" outlineLevel="0" collapsed="false">
      <c r="A10" s="7" t="s">
        <v>182</v>
      </c>
      <c r="B10" s="7" t="s">
        <v>165</v>
      </c>
      <c r="C10" s="16" t="s">
        <v>32</v>
      </c>
      <c r="D10" s="16" t="s">
        <v>37</v>
      </c>
      <c r="E10" s="16" t="s">
        <v>44</v>
      </c>
      <c r="F10" s="16" t="s">
        <v>49</v>
      </c>
      <c r="G10" s="16" t="s">
        <v>49</v>
      </c>
      <c r="H10" s="16" t="s">
        <v>59</v>
      </c>
      <c r="I10" s="16" t="s">
        <v>65</v>
      </c>
      <c r="J10" s="16" t="s">
        <v>71</v>
      </c>
      <c r="K10" s="16" t="s">
        <v>75</v>
      </c>
      <c r="L10" s="16" t="s">
        <v>80</v>
      </c>
      <c r="M10" s="16" t="s">
        <v>87</v>
      </c>
      <c r="N10" s="16" t="s">
        <v>91</v>
      </c>
      <c r="O10" s="16" t="s">
        <v>99</v>
      </c>
      <c r="P10" s="16" t="s">
        <v>105</v>
      </c>
      <c r="Q10" s="16" t="s">
        <v>110</v>
      </c>
      <c r="R10" s="16" t="s">
        <v>115</v>
      </c>
      <c r="S10" s="16" t="s">
        <v>121</v>
      </c>
      <c r="T10" s="16" t="s">
        <v>122</v>
      </c>
      <c r="U10" s="16" t="s">
        <v>134</v>
      </c>
      <c r="V10" s="16" t="s">
        <v>138</v>
      </c>
      <c r="W10" s="16" t="s">
        <v>166</v>
      </c>
      <c r="X10" s="16" t="s">
        <v>183</v>
      </c>
    </row>
    <row r="11" customFormat="false" ht="15" hidden="false" customHeight="false" outlineLevel="0" collapsed="false">
      <c r="A11" s="7" t="s">
        <v>184</v>
      </c>
      <c r="B11" s="7" t="s">
        <v>165</v>
      </c>
      <c r="C11" s="16" t="s">
        <v>31</v>
      </c>
      <c r="D11" s="16" t="s">
        <v>37</v>
      </c>
      <c r="E11" s="16" t="s">
        <v>43</v>
      </c>
      <c r="F11" s="16" t="s">
        <v>49</v>
      </c>
      <c r="G11" s="16" t="s">
        <v>49</v>
      </c>
      <c r="H11" s="16" t="s">
        <v>59</v>
      </c>
      <c r="I11" s="16" t="s">
        <v>65</v>
      </c>
      <c r="J11" s="16" t="s">
        <v>61</v>
      </c>
      <c r="K11" s="16" t="s">
        <v>75</v>
      </c>
      <c r="L11" s="16" t="s">
        <v>81</v>
      </c>
      <c r="M11" s="16" t="s">
        <v>86</v>
      </c>
      <c r="N11" s="16" t="s">
        <v>91</v>
      </c>
      <c r="O11" s="16" t="s">
        <v>99</v>
      </c>
      <c r="P11" s="16" t="s">
        <v>105</v>
      </c>
      <c r="Q11" s="16" t="s">
        <v>109</v>
      </c>
      <c r="R11" s="16" t="s">
        <v>115</v>
      </c>
      <c r="S11" s="16" t="s">
        <v>122</v>
      </c>
      <c r="T11" s="16" t="s">
        <v>127</v>
      </c>
      <c r="U11" s="16" t="s">
        <v>132</v>
      </c>
      <c r="V11" s="16" t="s">
        <v>138</v>
      </c>
      <c r="W11" s="16" t="s">
        <v>166</v>
      </c>
      <c r="X11" s="16" t="s">
        <v>185</v>
      </c>
    </row>
    <row r="12" customFormat="false" ht="15" hidden="false" customHeight="false" outlineLevel="0" collapsed="false">
      <c r="A12" s="7" t="s">
        <v>186</v>
      </c>
      <c r="B12" s="7" t="s">
        <v>165</v>
      </c>
      <c r="C12" s="16" t="s">
        <v>31</v>
      </c>
      <c r="D12" s="16" t="s">
        <v>37</v>
      </c>
      <c r="E12" s="16" t="s">
        <v>43</v>
      </c>
      <c r="F12" s="16" t="s">
        <v>49</v>
      </c>
      <c r="G12" s="16" t="s">
        <v>49</v>
      </c>
      <c r="H12" s="16" t="s">
        <v>59</v>
      </c>
      <c r="I12" s="16" t="s">
        <v>65</v>
      </c>
      <c r="J12" s="16" t="s">
        <v>70</v>
      </c>
      <c r="K12" s="16" t="s">
        <v>75</v>
      </c>
      <c r="L12" s="16" t="s">
        <v>81</v>
      </c>
      <c r="M12" s="16" t="s">
        <v>85</v>
      </c>
      <c r="N12" s="16" t="s">
        <v>91</v>
      </c>
      <c r="O12" s="16" t="s">
        <v>99</v>
      </c>
      <c r="P12" s="16" t="s">
        <v>105</v>
      </c>
      <c r="Q12" s="16" t="s">
        <v>110</v>
      </c>
      <c r="R12" s="16" t="s">
        <v>115</v>
      </c>
      <c r="S12" s="16" t="s">
        <v>121</v>
      </c>
      <c r="T12" s="16" t="s">
        <v>127</v>
      </c>
      <c r="U12" s="16" t="s">
        <v>132</v>
      </c>
      <c r="V12" s="16" t="s">
        <v>138</v>
      </c>
      <c r="W12" s="16" t="s">
        <v>166</v>
      </c>
      <c r="X12" s="16" t="s">
        <v>187</v>
      </c>
    </row>
    <row r="13" customFormat="false" ht="15" hidden="false" customHeight="false" outlineLevel="0" collapsed="false">
      <c r="A13" s="7" t="s">
        <v>188</v>
      </c>
      <c r="B13" s="7" t="s">
        <v>165</v>
      </c>
      <c r="C13" s="16" t="s">
        <v>31</v>
      </c>
      <c r="D13" s="16" t="s">
        <v>37</v>
      </c>
      <c r="E13" s="16" t="s">
        <v>43</v>
      </c>
      <c r="F13" s="16" t="s">
        <v>49</v>
      </c>
      <c r="G13" s="16" t="s">
        <v>49</v>
      </c>
      <c r="H13" s="16" t="s">
        <v>59</v>
      </c>
      <c r="I13" s="16" t="s">
        <v>65</v>
      </c>
      <c r="J13" s="16" t="s">
        <v>70</v>
      </c>
      <c r="K13" s="16" t="s">
        <v>74</v>
      </c>
      <c r="L13" s="16" t="s">
        <v>81</v>
      </c>
      <c r="M13" s="16" t="s">
        <v>87</v>
      </c>
      <c r="N13" s="16" t="s">
        <v>91</v>
      </c>
      <c r="O13" s="16" t="s">
        <v>99</v>
      </c>
      <c r="P13" s="16" t="s">
        <v>105</v>
      </c>
      <c r="Q13" s="16" t="s">
        <v>111</v>
      </c>
      <c r="R13" s="16" t="s">
        <v>115</v>
      </c>
      <c r="S13" s="16" t="s">
        <v>122</v>
      </c>
      <c r="T13" s="16" t="s">
        <v>127</v>
      </c>
      <c r="U13" s="16" t="s">
        <v>132</v>
      </c>
      <c r="V13" s="16" t="s">
        <v>138</v>
      </c>
      <c r="W13" s="16" t="s">
        <v>166</v>
      </c>
      <c r="X13" s="16" t="s">
        <v>189</v>
      </c>
    </row>
    <row r="14" customFormat="false" ht="15" hidden="false" customHeight="false" outlineLevel="0" collapsed="false">
      <c r="A14" s="7" t="s">
        <v>190</v>
      </c>
      <c r="B14" s="7" t="s">
        <v>165</v>
      </c>
      <c r="C14" s="16" t="s">
        <v>32</v>
      </c>
      <c r="D14" s="16" t="s">
        <v>37</v>
      </c>
      <c r="E14" s="16" t="s">
        <v>43</v>
      </c>
      <c r="F14" s="16" t="s">
        <v>49</v>
      </c>
      <c r="G14" s="16" t="s">
        <v>49</v>
      </c>
      <c r="H14" s="16" t="s">
        <v>59</v>
      </c>
      <c r="I14" s="16" t="s">
        <v>65</v>
      </c>
      <c r="J14" s="16" t="s">
        <v>70</v>
      </c>
      <c r="K14" s="16" t="s">
        <v>73</v>
      </c>
      <c r="L14" s="16" t="s">
        <v>79</v>
      </c>
      <c r="M14" s="16" t="s">
        <v>87</v>
      </c>
      <c r="N14" s="16" t="s">
        <v>91</v>
      </c>
      <c r="O14" s="16" t="s">
        <v>99</v>
      </c>
      <c r="P14" s="16" t="s">
        <v>103</v>
      </c>
      <c r="Q14" s="16" t="s">
        <v>109</v>
      </c>
      <c r="R14" s="16" t="s">
        <v>116</v>
      </c>
      <c r="S14" s="16" t="s">
        <v>121</v>
      </c>
      <c r="T14" s="16" t="s">
        <v>127</v>
      </c>
      <c r="U14" s="16" t="s">
        <v>132</v>
      </c>
      <c r="V14" s="16" t="s">
        <v>138</v>
      </c>
      <c r="W14" s="16" t="s">
        <v>166</v>
      </c>
      <c r="X14" s="16" t="s">
        <v>191</v>
      </c>
    </row>
    <row r="15" customFormat="false" ht="15" hidden="false" customHeight="false" outlineLevel="0" collapsed="false">
      <c r="A15" s="7" t="s">
        <v>192</v>
      </c>
      <c r="B15" s="7" t="s">
        <v>193</v>
      </c>
      <c r="C15" s="16" t="s">
        <v>33</v>
      </c>
      <c r="D15" s="16" t="s">
        <v>39</v>
      </c>
      <c r="E15" s="16" t="s">
        <v>45</v>
      </c>
      <c r="F15" s="16" t="s">
        <v>49</v>
      </c>
      <c r="G15" s="16" t="s">
        <v>49</v>
      </c>
      <c r="H15" s="16" t="s">
        <v>59</v>
      </c>
      <c r="I15" s="16" t="s">
        <v>65</v>
      </c>
      <c r="J15" s="16" t="s">
        <v>71</v>
      </c>
      <c r="K15" s="16" t="s">
        <v>76</v>
      </c>
      <c r="L15" s="16" t="s">
        <v>81</v>
      </c>
      <c r="M15" s="16" t="s">
        <v>87</v>
      </c>
      <c r="N15" s="16" t="s">
        <v>91</v>
      </c>
      <c r="O15" s="16" t="s">
        <v>99</v>
      </c>
      <c r="P15" s="16" t="s">
        <v>106</v>
      </c>
      <c r="Q15" s="16" t="s">
        <v>112</v>
      </c>
      <c r="R15" s="16" t="s">
        <v>116</v>
      </c>
      <c r="S15" s="16" t="s">
        <v>122</v>
      </c>
      <c r="T15" s="16" t="s">
        <v>127</v>
      </c>
      <c r="U15" s="16" t="s">
        <v>136</v>
      </c>
      <c r="V15" s="16" t="s">
        <v>138</v>
      </c>
      <c r="W15" s="16" t="s">
        <v>166</v>
      </c>
      <c r="X15" s="16" t="s">
        <v>194</v>
      </c>
    </row>
    <row r="16" customFormat="false" ht="15" hidden="false" customHeight="false" outlineLevel="0" collapsed="false">
      <c r="A16" s="7" t="s">
        <v>195</v>
      </c>
      <c r="B16" s="7" t="s">
        <v>165</v>
      </c>
      <c r="C16" s="16" t="s">
        <v>31</v>
      </c>
      <c r="D16" s="16" t="s">
        <v>37</v>
      </c>
      <c r="E16" s="16" t="s">
        <v>43</v>
      </c>
      <c r="F16" s="16" t="s">
        <v>49</v>
      </c>
      <c r="G16" s="16" t="s">
        <v>55</v>
      </c>
      <c r="H16" s="16" t="s">
        <v>59</v>
      </c>
      <c r="I16" s="16" t="s">
        <v>65</v>
      </c>
      <c r="J16" s="16" t="s">
        <v>62</v>
      </c>
      <c r="K16" s="16" t="s">
        <v>75</v>
      </c>
      <c r="L16" s="16" t="s">
        <v>80</v>
      </c>
      <c r="M16" s="16" t="s">
        <v>86</v>
      </c>
      <c r="N16" s="16" t="s">
        <v>91</v>
      </c>
      <c r="O16" s="16" t="s">
        <v>100</v>
      </c>
      <c r="P16" s="16" t="s">
        <v>104</v>
      </c>
      <c r="Q16" s="16" t="s">
        <v>110</v>
      </c>
      <c r="R16" s="16" t="s">
        <v>116</v>
      </c>
      <c r="S16" s="16" t="s">
        <v>122</v>
      </c>
      <c r="T16" s="16" t="s">
        <v>127</v>
      </c>
      <c r="U16" s="16" t="s">
        <v>132</v>
      </c>
      <c r="V16" s="16" t="s">
        <v>140</v>
      </c>
      <c r="W16" s="16" t="s">
        <v>166</v>
      </c>
      <c r="X16" s="16" t="s">
        <v>196</v>
      </c>
    </row>
    <row r="17" customFormat="false" ht="15" hidden="false" customHeight="false" outlineLevel="0" collapsed="false">
      <c r="A17" s="7" t="s">
        <v>197</v>
      </c>
      <c r="B17" s="7" t="s">
        <v>193</v>
      </c>
      <c r="C17" s="16" t="s">
        <v>33</v>
      </c>
      <c r="D17" s="16" t="s">
        <v>38</v>
      </c>
      <c r="E17" s="16" t="s">
        <v>44</v>
      </c>
      <c r="F17" s="16" t="s">
        <v>49</v>
      </c>
      <c r="G17" s="16" t="s">
        <v>49</v>
      </c>
      <c r="H17" s="16" t="s">
        <v>59</v>
      </c>
      <c r="I17" s="16" t="s">
        <v>65</v>
      </c>
      <c r="J17" s="16" t="s">
        <v>70</v>
      </c>
      <c r="K17" s="16" t="s">
        <v>77</v>
      </c>
      <c r="L17" s="16" t="s">
        <v>82</v>
      </c>
      <c r="M17" s="16" t="s">
        <v>86</v>
      </c>
      <c r="N17" s="16" t="s">
        <v>93</v>
      </c>
      <c r="O17" s="16" t="s">
        <v>97</v>
      </c>
      <c r="P17" s="16" t="s">
        <v>105</v>
      </c>
      <c r="Q17" s="16" t="s">
        <v>109</v>
      </c>
      <c r="R17" s="16" t="s">
        <v>118</v>
      </c>
      <c r="S17" s="16" t="s">
        <v>122</v>
      </c>
      <c r="T17" s="16" t="s">
        <v>128</v>
      </c>
      <c r="U17" s="16" t="s">
        <v>134</v>
      </c>
      <c r="V17" s="16" t="s">
        <v>138</v>
      </c>
      <c r="W17" s="16" t="s">
        <v>166</v>
      </c>
      <c r="X17" s="16" t="s">
        <v>198</v>
      </c>
    </row>
    <row r="18" customFormat="false" ht="15" hidden="false" customHeight="false" outlineLevel="0" collapsed="false">
      <c r="A18" s="7" t="s">
        <v>199</v>
      </c>
      <c r="B18" s="7" t="s">
        <v>165</v>
      </c>
      <c r="C18" s="16" t="s">
        <v>32</v>
      </c>
      <c r="D18" s="16" t="s">
        <v>37</v>
      </c>
      <c r="E18" s="16" t="s">
        <v>44</v>
      </c>
      <c r="F18" s="16" t="s">
        <v>49</v>
      </c>
      <c r="G18" s="16" t="s">
        <v>54</v>
      </c>
      <c r="H18" s="16" t="s">
        <v>59</v>
      </c>
      <c r="I18" s="16" t="s">
        <v>65</v>
      </c>
      <c r="J18" s="16" t="s">
        <v>70</v>
      </c>
      <c r="K18" s="16" t="s">
        <v>74</v>
      </c>
      <c r="L18" s="16" t="s">
        <v>81</v>
      </c>
      <c r="M18" s="16" t="s">
        <v>85</v>
      </c>
      <c r="N18" s="16" t="s">
        <v>91</v>
      </c>
      <c r="O18" s="16" t="s">
        <v>99</v>
      </c>
      <c r="P18" s="16" t="s">
        <v>105</v>
      </c>
      <c r="Q18" s="16" t="s">
        <v>109</v>
      </c>
      <c r="R18" s="16" t="s">
        <v>116</v>
      </c>
      <c r="S18" s="16" t="s">
        <v>122</v>
      </c>
      <c r="T18" s="16" t="s">
        <v>129</v>
      </c>
      <c r="U18" s="16" t="s">
        <v>132</v>
      </c>
      <c r="V18" s="16" t="s">
        <v>138</v>
      </c>
      <c r="W18" s="16" t="s">
        <v>166</v>
      </c>
      <c r="X18" s="16" t="s">
        <v>200</v>
      </c>
    </row>
    <row r="19" customFormat="false" ht="15" hidden="false" customHeight="false" outlineLevel="0" collapsed="false">
      <c r="A19" s="7" t="s">
        <v>201</v>
      </c>
      <c r="B19" s="7" t="s">
        <v>165</v>
      </c>
      <c r="C19" s="16" t="s">
        <v>31</v>
      </c>
      <c r="D19" s="16" t="s">
        <v>37</v>
      </c>
      <c r="E19" s="16" t="s">
        <v>47</v>
      </c>
      <c r="F19" s="16" t="s">
        <v>51</v>
      </c>
      <c r="G19" s="16" t="s">
        <v>49</v>
      </c>
      <c r="H19" s="16" t="s">
        <v>59</v>
      </c>
      <c r="I19" s="16" t="s">
        <v>65</v>
      </c>
      <c r="J19" s="16" t="s">
        <v>70</v>
      </c>
      <c r="K19" s="16" t="s">
        <v>74</v>
      </c>
      <c r="L19" s="16" t="s">
        <v>81</v>
      </c>
      <c r="M19" s="16" t="s">
        <v>86</v>
      </c>
      <c r="N19" s="16" t="s">
        <v>91</v>
      </c>
      <c r="O19" s="16" t="s">
        <v>99</v>
      </c>
      <c r="P19" s="16" t="s">
        <v>105</v>
      </c>
      <c r="Q19" s="16" t="s">
        <v>109</v>
      </c>
      <c r="R19" s="16" t="s">
        <v>115</v>
      </c>
      <c r="S19" s="16" t="s">
        <v>121</v>
      </c>
      <c r="T19" s="16" t="s">
        <v>127</v>
      </c>
      <c r="U19" s="16" t="s">
        <v>132</v>
      </c>
      <c r="V19" s="16" t="s">
        <v>138</v>
      </c>
      <c r="W19" s="16" t="s">
        <v>166</v>
      </c>
      <c r="X19" s="16" t="s">
        <v>202</v>
      </c>
    </row>
    <row r="20" customFormat="false" ht="15" hidden="false" customHeight="false" outlineLevel="0" collapsed="false">
      <c r="A20" s="7" t="s">
        <v>203</v>
      </c>
      <c r="B20" s="7" t="s">
        <v>193</v>
      </c>
      <c r="C20" s="16" t="s">
        <v>33</v>
      </c>
      <c r="D20" s="16" t="s">
        <v>40</v>
      </c>
      <c r="E20" s="16" t="s">
        <v>44</v>
      </c>
      <c r="F20" s="16" t="s">
        <v>49</v>
      </c>
      <c r="G20" s="16" t="s">
        <v>49</v>
      </c>
      <c r="H20" s="16" t="s">
        <v>59</v>
      </c>
      <c r="I20" s="16" t="s">
        <v>65</v>
      </c>
      <c r="J20" s="16" t="s">
        <v>61</v>
      </c>
      <c r="K20" s="16" t="s">
        <v>77</v>
      </c>
      <c r="L20" s="16" t="s">
        <v>82</v>
      </c>
      <c r="M20" s="16" t="s">
        <v>88</v>
      </c>
      <c r="N20" s="16" t="s">
        <v>93</v>
      </c>
      <c r="O20" s="16" t="s">
        <v>99</v>
      </c>
      <c r="P20" s="16" t="s">
        <v>105</v>
      </c>
      <c r="Q20" s="16" t="s">
        <v>110</v>
      </c>
      <c r="R20" s="16" t="s">
        <v>118</v>
      </c>
      <c r="S20" s="16" t="s">
        <v>123</v>
      </c>
      <c r="T20" s="16" t="s">
        <v>130</v>
      </c>
      <c r="U20" s="16" t="s">
        <v>134</v>
      </c>
      <c r="V20" s="16" t="s">
        <v>138</v>
      </c>
      <c r="W20" s="16" t="s">
        <v>166</v>
      </c>
      <c r="X20" s="16" t="s">
        <v>204</v>
      </c>
    </row>
    <row r="21" customFormat="false" ht="15" hidden="false" customHeight="false" outlineLevel="0" collapsed="false">
      <c r="A21" s="7" t="s">
        <v>205</v>
      </c>
      <c r="B21" s="7" t="s">
        <v>206</v>
      </c>
      <c r="C21" s="16" t="s">
        <v>32</v>
      </c>
      <c r="D21" s="16" t="s">
        <v>37</v>
      </c>
      <c r="E21" s="16" t="s">
        <v>43</v>
      </c>
      <c r="F21" s="16" t="s">
        <v>50</v>
      </c>
      <c r="G21" s="16" t="s">
        <v>49</v>
      </c>
      <c r="H21" s="16" t="s">
        <v>59</v>
      </c>
      <c r="I21" s="16" t="s">
        <v>65</v>
      </c>
      <c r="J21" s="16" t="s">
        <v>70</v>
      </c>
      <c r="K21" s="16" t="s">
        <v>76</v>
      </c>
      <c r="L21" s="16" t="s">
        <v>83</v>
      </c>
      <c r="M21" s="16" t="s">
        <v>87</v>
      </c>
      <c r="N21" s="16" t="s">
        <v>91</v>
      </c>
      <c r="O21" s="16" t="s">
        <v>97</v>
      </c>
      <c r="P21" s="16" t="s">
        <v>106</v>
      </c>
      <c r="Q21" s="16" t="s">
        <v>111</v>
      </c>
      <c r="R21" s="16" t="s">
        <v>117</v>
      </c>
      <c r="S21" s="16" t="s">
        <v>123</v>
      </c>
      <c r="T21" s="16" t="s">
        <v>127</v>
      </c>
      <c r="U21" s="16" t="s">
        <v>134</v>
      </c>
      <c r="V21" s="16" t="s">
        <v>138</v>
      </c>
      <c r="W21" s="16" t="s">
        <v>166</v>
      </c>
      <c r="X21" s="16" t="s">
        <v>207</v>
      </c>
    </row>
    <row r="22" customFormat="false" ht="15" hidden="false" customHeight="false" outlineLevel="0" collapsed="false">
      <c r="A22" s="7" t="s">
        <v>208</v>
      </c>
      <c r="B22" s="7" t="s">
        <v>165</v>
      </c>
      <c r="C22" s="16" t="s">
        <v>31</v>
      </c>
      <c r="D22" s="16" t="s">
        <v>37</v>
      </c>
      <c r="E22" s="16" t="s">
        <v>46</v>
      </c>
      <c r="F22" s="16" t="s">
        <v>49</v>
      </c>
      <c r="G22" s="16" t="s">
        <v>49</v>
      </c>
      <c r="H22" s="16" t="s">
        <v>59</v>
      </c>
      <c r="I22" s="16" t="s">
        <v>65</v>
      </c>
      <c r="J22" s="16" t="s">
        <v>70</v>
      </c>
      <c r="K22" s="16" t="s">
        <v>74</v>
      </c>
      <c r="L22" s="16" t="s">
        <v>81</v>
      </c>
      <c r="M22" s="16" t="s">
        <v>85</v>
      </c>
      <c r="N22" s="16" t="s">
        <v>92</v>
      </c>
      <c r="O22" s="16" t="s">
        <v>99</v>
      </c>
      <c r="P22" s="16" t="s">
        <v>105</v>
      </c>
      <c r="Q22" s="16" t="s">
        <v>111</v>
      </c>
      <c r="R22" s="16" t="s">
        <v>116</v>
      </c>
      <c r="S22" s="16" t="s">
        <v>122</v>
      </c>
      <c r="T22" s="16" t="s">
        <v>122</v>
      </c>
      <c r="U22" s="16" t="s">
        <v>132</v>
      </c>
      <c r="V22" s="16" t="s">
        <v>139</v>
      </c>
      <c r="W22" s="16" t="s">
        <v>166</v>
      </c>
      <c r="X22" s="16" t="s">
        <v>209</v>
      </c>
    </row>
    <row r="23" customFormat="false" ht="15" hidden="false" customHeight="false" outlineLevel="0" collapsed="false">
      <c r="A23" s="7" t="s">
        <v>210</v>
      </c>
      <c r="B23" s="7" t="s">
        <v>165</v>
      </c>
      <c r="C23" s="16" t="s">
        <v>32</v>
      </c>
      <c r="D23" s="16" t="s">
        <v>37</v>
      </c>
      <c r="E23" s="16" t="s">
        <v>43</v>
      </c>
      <c r="F23" s="16" t="s">
        <v>49</v>
      </c>
      <c r="G23" s="16" t="s">
        <v>49</v>
      </c>
      <c r="H23" s="16" t="s">
        <v>59</v>
      </c>
      <c r="I23" s="16" t="s">
        <v>65</v>
      </c>
      <c r="J23" s="16" t="s">
        <v>71</v>
      </c>
      <c r="K23" s="16" t="s">
        <v>74</v>
      </c>
      <c r="L23" s="16" t="s">
        <v>80</v>
      </c>
      <c r="M23" s="16" t="s">
        <v>85</v>
      </c>
      <c r="N23" s="16" t="s">
        <v>91</v>
      </c>
      <c r="O23" s="16" t="s">
        <v>99</v>
      </c>
      <c r="P23" s="16" t="s">
        <v>105</v>
      </c>
      <c r="Q23" s="16" t="s">
        <v>111</v>
      </c>
      <c r="R23" s="16" t="s">
        <v>118</v>
      </c>
      <c r="S23" s="16" t="s">
        <v>122</v>
      </c>
      <c r="T23" s="16" t="s">
        <v>127</v>
      </c>
      <c r="U23" s="16" t="s">
        <v>132</v>
      </c>
      <c r="V23" s="16" t="s">
        <v>138</v>
      </c>
      <c r="W23" s="16" t="s">
        <v>211</v>
      </c>
      <c r="X23" s="16" t="s">
        <v>212</v>
      </c>
    </row>
    <row r="24" customFormat="false" ht="15" hidden="false" customHeight="false" outlineLevel="0" collapsed="false">
      <c r="A24" s="7" t="s">
        <v>213</v>
      </c>
      <c r="B24" s="7" t="s">
        <v>165</v>
      </c>
      <c r="C24" s="16" t="s">
        <v>31</v>
      </c>
      <c r="D24" s="16" t="s">
        <v>37</v>
      </c>
      <c r="E24" s="16" t="s">
        <v>43</v>
      </c>
      <c r="F24" s="16" t="s">
        <v>49</v>
      </c>
      <c r="G24" s="16" t="s">
        <v>49</v>
      </c>
      <c r="H24" s="16" t="s">
        <v>59</v>
      </c>
      <c r="I24" s="16" t="s">
        <v>65</v>
      </c>
      <c r="J24" s="16" t="s">
        <v>70</v>
      </c>
      <c r="K24" s="16" t="s">
        <v>75</v>
      </c>
      <c r="L24" s="16" t="s">
        <v>81</v>
      </c>
      <c r="M24" s="16" t="s">
        <v>85</v>
      </c>
      <c r="N24" s="16" t="s">
        <v>91</v>
      </c>
      <c r="O24" s="16" t="s">
        <v>99</v>
      </c>
      <c r="P24" s="16" t="s">
        <v>105</v>
      </c>
      <c r="Q24" s="16" t="s">
        <v>109</v>
      </c>
      <c r="R24" s="16" t="s">
        <v>115</v>
      </c>
      <c r="S24" s="16" t="s">
        <v>121</v>
      </c>
      <c r="T24" s="16" t="s">
        <v>127</v>
      </c>
      <c r="U24" s="16" t="s">
        <v>133</v>
      </c>
      <c r="V24" s="16" t="s">
        <v>138</v>
      </c>
      <c r="W24" s="16" t="s">
        <v>166</v>
      </c>
      <c r="X24" s="16" t="s">
        <v>214</v>
      </c>
    </row>
    <row r="25" customFormat="false" ht="15" hidden="false" customHeight="false" outlineLevel="0" collapsed="false">
      <c r="A25" s="7" t="s">
        <v>215</v>
      </c>
      <c r="B25" s="7" t="s">
        <v>165</v>
      </c>
      <c r="C25" s="16" t="s">
        <v>31</v>
      </c>
      <c r="D25" s="16" t="s">
        <v>37</v>
      </c>
      <c r="E25" s="16" t="s">
        <v>43</v>
      </c>
      <c r="F25" s="16" t="s">
        <v>49</v>
      </c>
      <c r="G25" s="16" t="s">
        <v>49</v>
      </c>
      <c r="H25" s="16" t="s">
        <v>59</v>
      </c>
      <c r="I25" s="16" t="s">
        <v>65</v>
      </c>
      <c r="J25" s="16" t="s">
        <v>70</v>
      </c>
      <c r="K25" s="16" t="s">
        <v>75</v>
      </c>
      <c r="L25" s="16" t="s">
        <v>80</v>
      </c>
      <c r="M25" s="16" t="s">
        <v>86</v>
      </c>
      <c r="N25" s="16" t="s">
        <v>91</v>
      </c>
      <c r="O25" s="16" t="s">
        <v>99</v>
      </c>
      <c r="P25" s="16" t="s">
        <v>103</v>
      </c>
      <c r="Q25" s="16" t="s">
        <v>109</v>
      </c>
      <c r="R25" s="16" t="s">
        <v>115</v>
      </c>
      <c r="S25" s="16" t="s">
        <v>122</v>
      </c>
      <c r="T25" s="16" t="s">
        <v>127</v>
      </c>
      <c r="U25" s="16" t="s">
        <v>132</v>
      </c>
      <c r="V25" s="16" t="s">
        <v>138</v>
      </c>
      <c r="W25" s="16" t="s">
        <v>166</v>
      </c>
      <c r="X25" s="16" t="s">
        <v>216</v>
      </c>
    </row>
    <row r="26" customFormat="false" ht="15" hidden="false" customHeight="false" outlineLevel="0" collapsed="false">
      <c r="A26" s="7" t="s">
        <v>217</v>
      </c>
      <c r="B26" s="7" t="s">
        <v>165</v>
      </c>
      <c r="C26" s="16" t="s">
        <v>32</v>
      </c>
      <c r="D26" s="16" t="s">
        <v>37</v>
      </c>
      <c r="E26" s="16" t="s">
        <v>45</v>
      </c>
      <c r="F26" s="16" t="s">
        <v>49</v>
      </c>
      <c r="G26" s="16" t="s">
        <v>54</v>
      </c>
      <c r="H26" s="16" t="s">
        <v>59</v>
      </c>
      <c r="I26" s="16" t="s">
        <v>65</v>
      </c>
      <c r="J26" s="16" t="s">
        <v>70</v>
      </c>
      <c r="K26" s="16" t="s">
        <v>74</v>
      </c>
      <c r="L26" s="16" t="s">
        <v>79</v>
      </c>
      <c r="M26" s="16" t="s">
        <v>86</v>
      </c>
      <c r="N26" s="16" t="s">
        <v>92</v>
      </c>
      <c r="O26" s="16" t="s">
        <v>99</v>
      </c>
      <c r="P26" s="16" t="s">
        <v>105</v>
      </c>
      <c r="Q26" s="16" t="s">
        <v>110</v>
      </c>
      <c r="R26" s="16" t="s">
        <v>115</v>
      </c>
      <c r="S26" s="16" t="s">
        <v>123</v>
      </c>
      <c r="T26" s="16" t="s">
        <v>122</v>
      </c>
      <c r="U26" s="16" t="s">
        <v>133</v>
      </c>
      <c r="V26" s="16" t="s">
        <v>138</v>
      </c>
      <c r="W26" s="16" t="s">
        <v>166</v>
      </c>
      <c r="X26" s="16" t="s">
        <v>218</v>
      </c>
    </row>
    <row r="27" customFormat="false" ht="15" hidden="false" customHeight="false" outlineLevel="0" collapsed="false">
      <c r="A27" s="7" t="s">
        <v>219</v>
      </c>
      <c r="B27" s="7" t="s">
        <v>165</v>
      </c>
      <c r="C27" s="16" t="s">
        <v>31</v>
      </c>
      <c r="D27" s="16" t="s">
        <v>37</v>
      </c>
      <c r="E27" s="16" t="s">
        <v>43</v>
      </c>
      <c r="F27" s="16" t="s">
        <v>49</v>
      </c>
      <c r="G27" s="16" t="s">
        <v>49</v>
      </c>
      <c r="H27" s="16" t="s">
        <v>59</v>
      </c>
      <c r="I27" s="16" t="s">
        <v>65</v>
      </c>
      <c r="J27" s="16" t="s">
        <v>70</v>
      </c>
      <c r="K27" s="16" t="s">
        <v>75</v>
      </c>
      <c r="L27" s="16" t="s">
        <v>80</v>
      </c>
      <c r="M27" s="16" t="s">
        <v>86</v>
      </c>
      <c r="N27" s="16" t="s">
        <v>91</v>
      </c>
      <c r="O27" s="16" t="s">
        <v>99</v>
      </c>
      <c r="P27" s="16" t="s">
        <v>105</v>
      </c>
      <c r="Q27" s="16" t="s">
        <v>109</v>
      </c>
      <c r="R27" s="16" t="s">
        <v>116</v>
      </c>
      <c r="S27" s="16" t="s">
        <v>122</v>
      </c>
      <c r="T27" s="16" t="s">
        <v>122</v>
      </c>
      <c r="U27" s="16" t="s">
        <v>132</v>
      </c>
      <c r="V27" s="16" t="s">
        <v>138</v>
      </c>
      <c r="W27" s="16" t="s">
        <v>166</v>
      </c>
      <c r="X27" s="16" t="s">
        <v>220</v>
      </c>
    </row>
    <row r="28" customFormat="false" ht="15" hidden="false" customHeight="false" outlineLevel="0" collapsed="false">
      <c r="A28" s="7" t="s">
        <v>221</v>
      </c>
      <c r="B28" s="7" t="s">
        <v>193</v>
      </c>
      <c r="C28" s="16" t="s">
        <v>33</v>
      </c>
      <c r="D28" s="16" t="s">
        <v>38</v>
      </c>
      <c r="E28" s="16" t="s">
        <v>45</v>
      </c>
      <c r="F28" s="16" t="s">
        <v>49</v>
      </c>
      <c r="G28" s="16" t="s">
        <v>49</v>
      </c>
      <c r="H28" s="16" t="s">
        <v>59</v>
      </c>
      <c r="I28" s="16" t="s">
        <v>65</v>
      </c>
      <c r="J28" s="16" t="s">
        <v>70</v>
      </c>
      <c r="K28" s="16" t="s">
        <v>77</v>
      </c>
      <c r="L28" s="16" t="s">
        <v>81</v>
      </c>
      <c r="M28" s="16" t="s">
        <v>85</v>
      </c>
      <c r="N28" s="16" t="s">
        <v>95</v>
      </c>
      <c r="O28" s="16" t="s">
        <v>100</v>
      </c>
      <c r="P28" s="16" t="s">
        <v>103</v>
      </c>
      <c r="Q28" s="16" t="s">
        <v>109</v>
      </c>
      <c r="R28" s="16" t="s">
        <v>118</v>
      </c>
      <c r="S28" s="16" t="s">
        <v>121</v>
      </c>
      <c r="T28" s="16" t="s">
        <v>128</v>
      </c>
      <c r="U28" s="16" t="s">
        <v>133</v>
      </c>
      <c r="V28" s="16" t="s">
        <v>140</v>
      </c>
      <c r="W28" s="16" t="s">
        <v>166</v>
      </c>
      <c r="X28" s="16" t="s">
        <v>222</v>
      </c>
    </row>
    <row r="29" customFormat="false" ht="15" hidden="false" customHeight="false" outlineLevel="0" collapsed="false">
      <c r="A29" s="7" t="s">
        <v>223</v>
      </c>
      <c r="B29" s="7" t="s">
        <v>165</v>
      </c>
      <c r="C29" s="16" t="s">
        <v>31</v>
      </c>
      <c r="D29" s="16" t="s">
        <v>37</v>
      </c>
      <c r="E29" s="16" t="s">
        <v>46</v>
      </c>
      <c r="F29" s="16" t="s">
        <v>49</v>
      </c>
      <c r="G29" s="16" t="s">
        <v>49</v>
      </c>
      <c r="H29" s="16" t="s">
        <v>59</v>
      </c>
      <c r="I29" s="16" t="s">
        <v>66</v>
      </c>
      <c r="J29" s="16" t="s">
        <v>70</v>
      </c>
      <c r="K29" s="16" t="s">
        <v>74</v>
      </c>
      <c r="L29" s="16" t="s">
        <v>79</v>
      </c>
      <c r="M29" s="16" t="s">
        <v>87</v>
      </c>
      <c r="N29" s="16" t="s">
        <v>92</v>
      </c>
      <c r="O29" s="16" t="s">
        <v>100</v>
      </c>
      <c r="P29" s="16" t="s">
        <v>105</v>
      </c>
      <c r="Q29" s="16" t="s">
        <v>112</v>
      </c>
      <c r="R29" s="16" t="s">
        <v>117</v>
      </c>
      <c r="S29" s="16" t="s">
        <v>121</v>
      </c>
      <c r="T29" s="16" t="s">
        <v>127</v>
      </c>
      <c r="U29" s="16" t="s">
        <v>132</v>
      </c>
      <c r="V29" s="16" t="s">
        <v>138</v>
      </c>
      <c r="W29" s="16" t="s">
        <v>166</v>
      </c>
      <c r="X29" s="16" t="s">
        <v>224</v>
      </c>
    </row>
    <row r="30" customFormat="false" ht="15" hidden="false" customHeight="false" outlineLevel="0" collapsed="false">
      <c r="A30" s="7" t="s">
        <v>225</v>
      </c>
      <c r="B30" s="7" t="s">
        <v>165</v>
      </c>
      <c r="C30" s="16" t="s">
        <v>31</v>
      </c>
      <c r="D30" s="16" t="s">
        <v>37</v>
      </c>
      <c r="E30" s="16" t="s">
        <v>43</v>
      </c>
      <c r="F30" s="16" t="s">
        <v>49</v>
      </c>
      <c r="G30" s="16" t="s">
        <v>49</v>
      </c>
      <c r="H30" s="16" t="s">
        <v>59</v>
      </c>
      <c r="I30" s="16" t="s">
        <v>65</v>
      </c>
      <c r="J30" s="16" t="s">
        <v>70</v>
      </c>
      <c r="K30" s="16" t="s">
        <v>74</v>
      </c>
      <c r="L30" s="16" t="s">
        <v>80</v>
      </c>
      <c r="M30" s="16" t="s">
        <v>86</v>
      </c>
      <c r="N30" s="16" t="s">
        <v>91</v>
      </c>
      <c r="O30" s="16" t="s">
        <v>100</v>
      </c>
      <c r="P30" s="16" t="s">
        <v>105</v>
      </c>
      <c r="Q30" s="16" t="s">
        <v>109</v>
      </c>
      <c r="R30" s="16" t="s">
        <v>115</v>
      </c>
      <c r="S30" s="16" t="s">
        <v>123</v>
      </c>
      <c r="T30" s="16" t="s">
        <v>127</v>
      </c>
      <c r="U30" s="16" t="s">
        <v>132</v>
      </c>
      <c r="V30" s="16" t="s">
        <v>138</v>
      </c>
      <c r="W30" s="16" t="s">
        <v>166</v>
      </c>
      <c r="X30" s="16" t="s">
        <v>226</v>
      </c>
    </row>
    <row r="31" customFormat="false" ht="15" hidden="false" customHeight="false" outlineLevel="0" collapsed="false">
      <c r="A31" s="7" t="s">
        <v>227</v>
      </c>
      <c r="B31" s="7" t="s">
        <v>165</v>
      </c>
      <c r="C31" s="16" t="s">
        <v>31</v>
      </c>
      <c r="D31" s="16" t="s">
        <v>37</v>
      </c>
      <c r="E31" s="16" t="s">
        <v>43</v>
      </c>
      <c r="F31" s="16" t="s">
        <v>49</v>
      </c>
      <c r="G31" s="16" t="s">
        <v>49</v>
      </c>
      <c r="H31" s="16" t="s">
        <v>59</v>
      </c>
      <c r="I31" s="16" t="s">
        <v>65</v>
      </c>
      <c r="J31" s="16" t="s">
        <v>70</v>
      </c>
      <c r="K31" s="16" t="s">
        <v>73</v>
      </c>
      <c r="L31" s="16" t="s">
        <v>81</v>
      </c>
      <c r="M31" s="16" t="s">
        <v>85</v>
      </c>
      <c r="N31" s="16" t="s">
        <v>91</v>
      </c>
      <c r="O31" s="16" t="s">
        <v>99</v>
      </c>
      <c r="P31" s="16" t="s">
        <v>105</v>
      </c>
      <c r="Q31" s="16" t="s">
        <v>109</v>
      </c>
      <c r="R31" s="16" t="s">
        <v>116</v>
      </c>
      <c r="S31" s="16" t="s">
        <v>122</v>
      </c>
      <c r="T31" s="16" t="s">
        <v>128</v>
      </c>
      <c r="U31" s="16" t="s">
        <v>132</v>
      </c>
      <c r="V31" s="16" t="s">
        <v>138</v>
      </c>
      <c r="W31" s="16" t="s">
        <v>166</v>
      </c>
      <c r="X31" s="16" t="s">
        <v>228</v>
      </c>
    </row>
    <row r="32" customFormat="false" ht="15" hidden="false" customHeight="false" outlineLevel="0" collapsed="false">
      <c r="A32" s="7" t="s">
        <v>229</v>
      </c>
      <c r="B32" s="7" t="s">
        <v>165</v>
      </c>
      <c r="C32" s="16" t="s">
        <v>31</v>
      </c>
      <c r="D32" s="16" t="s">
        <v>37</v>
      </c>
      <c r="E32" s="16" t="s">
        <v>43</v>
      </c>
      <c r="F32" s="16" t="s">
        <v>49</v>
      </c>
      <c r="G32" s="16" t="s">
        <v>49</v>
      </c>
      <c r="H32" s="16" t="s">
        <v>59</v>
      </c>
      <c r="I32" s="16" t="s">
        <v>65</v>
      </c>
      <c r="J32" s="16" t="s">
        <v>70</v>
      </c>
      <c r="K32" s="16" t="s">
        <v>74</v>
      </c>
      <c r="L32" s="16" t="s">
        <v>81</v>
      </c>
      <c r="M32" s="16" t="s">
        <v>86</v>
      </c>
      <c r="N32" s="16" t="s">
        <v>91</v>
      </c>
      <c r="O32" s="16" t="s">
        <v>99</v>
      </c>
      <c r="P32" s="16" t="s">
        <v>105</v>
      </c>
      <c r="Q32" s="16" t="s">
        <v>110</v>
      </c>
      <c r="R32" s="16" t="s">
        <v>115</v>
      </c>
      <c r="S32" s="16" t="s">
        <v>121</v>
      </c>
      <c r="T32" s="16" t="s">
        <v>127</v>
      </c>
      <c r="U32" s="16" t="s">
        <v>132</v>
      </c>
      <c r="V32" s="16" t="s">
        <v>138</v>
      </c>
      <c r="W32" s="16" t="s">
        <v>166</v>
      </c>
      <c r="X32" s="16" t="s">
        <v>230</v>
      </c>
    </row>
    <row r="33" customFormat="false" ht="15" hidden="false" customHeight="false" outlineLevel="0" collapsed="false">
      <c r="A33" s="7" t="s">
        <v>231</v>
      </c>
      <c r="B33" s="7" t="s">
        <v>193</v>
      </c>
      <c r="C33" s="16" t="s">
        <v>33</v>
      </c>
      <c r="D33" s="16" t="s">
        <v>38</v>
      </c>
      <c r="E33" s="16" t="s">
        <v>45</v>
      </c>
      <c r="F33" s="16" t="s">
        <v>49</v>
      </c>
      <c r="G33" s="16" t="s">
        <v>49</v>
      </c>
      <c r="H33" s="16" t="s">
        <v>59</v>
      </c>
      <c r="I33" s="16" t="s">
        <v>65</v>
      </c>
      <c r="J33" s="16" t="s">
        <v>70</v>
      </c>
      <c r="K33" s="16" t="s">
        <v>77</v>
      </c>
      <c r="L33" s="16" t="s">
        <v>83</v>
      </c>
      <c r="M33" s="16" t="s">
        <v>85</v>
      </c>
      <c r="N33" s="16" t="s">
        <v>93</v>
      </c>
      <c r="O33" s="16" t="s">
        <v>98</v>
      </c>
      <c r="P33" s="16" t="s">
        <v>106</v>
      </c>
      <c r="Q33" s="16" t="s">
        <v>110</v>
      </c>
      <c r="R33" s="16" t="s">
        <v>117</v>
      </c>
      <c r="S33" s="16" t="s">
        <v>124</v>
      </c>
      <c r="T33" s="16" t="s">
        <v>129</v>
      </c>
      <c r="U33" s="16" t="s">
        <v>134</v>
      </c>
      <c r="V33" s="16" t="s">
        <v>138</v>
      </c>
      <c r="W33" s="16" t="s">
        <v>166</v>
      </c>
      <c r="X33" s="16" t="s">
        <v>232</v>
      </c>
    </row>
    <row r="34" customFormat="false" ht="15" hidden="false" customHeight="false" outlineLevel="0" collapsed="false">
      <c r="A34" s="7" t="s">
        <v>233</v>
      </c>
      <c r="B34" s="7" t="s">
        <v>193</v>
      </c>
      <c r="C34" s="16" t="s">
        <v>34</v>
      </c>
      <c r="D34" s="16" t="s">
        <v>38</v>
      </c>
      <c r="E34" s="16" t="s">
        <v>44</v>
      </c>
      <c r="F34" s="16" t="s">
        <v>49</v>
      </c>
      <c r="G34" s="16" t="s">
        <v>49</v>
      </c>
      <c r="H34" s="16" t="s">
        <v>59</v>
      </c>
      <c r="I34" s="16" t="s">
        <v>66</v>
      </c>
      <c r="J34" s="16" t="s">
        <v>70</v>
      </c>
      <c r="K34" s="16" t="s">
        <v>77</v>
      </c>
      <c r="L34" s="16" t="s">
        <v>83</v>
      </c>
      <c r="M34" s="16" t="s">
        <v>86</v>
      </c>
      <c r="N34" s="16" t="s">
        <v>91</v>
      </c>
      <c r="O34" s="16" t="s">
        <v>101</v>
      </c>
      <c r="P34" s="16" t="s">
        <v>104</v>
      </c>
      <c r="Q34" s="16" t="s">
        <v>111</v>
      </c>
      <c r="R34" s="16" t="s">
        <v>116</v>
      </c>
      <c r="S34" s="16" t="s">
        <v>124</v>
      </c>
      <c r="T34" s="16" t="s">
        <v>127</v>
      </c>
      <c r="U34" s="16" t="s">
        <v>135</v>
      </c>
      <c r="V34" s="16" t="s">
        <v>138</v>
      </c>
      <c r="W34" s="16" t="s">
        <v>211</v>
      </c>
      <c r="X34" s="16" t="s">
        <v>234</v>
      </c>
    </row>
    <row r="35" customFormat="false" ht="15" hidden="false" customHeight="false" outlineLevel="0" collapsed="false">
      <c r="A35" s="7" t="s">
        <v>235</v>
      </c>
      <c r="B35" s="7" t="s">
        <v>193</v>
      </c>
      <c r="C35" s="16" t="s">
        <v>35</v>
      </c>
      <c r="D35" s="16" t="s">
        <v>38</v>
      </c>
      <c r="E35" s="16" t="s">
        <v>45</v>
      </c>
      <c r="F35" s="16" t="s">
        <v>49</v>
      </c>
      <c r="G35" s="16" t="s">
        <v>49</v>
      </c>
      <c r="H35" s="16" t="s">
        <v>59</v>
      </c>
      <c r="I35" s="16" t="s">
        <v>65</v>
      </c>
      <c r="J35" s="16" t="s">
        <v>70</v>
      </c>
      <c r="K35" s="16" t="s">
        <v>76</v>
      </c>
      <c r="L35" s="16" t="s">
        <v>80</v>
      </c>
      <c r="M35" s="16" t="s">
        <v>86</v>
      </c>
      <c r="N35" s="16" t="s">
        <v>91</v>
      </c>
      <c r="O35" s="16" t="s">
        <v>100</v>
      </c>
      <c r="P35" s="16" t="s">
        <v>104</v>
      </c>
      <c r="Q35" s="16" t="s">
        <v>109</v>
      </c>
      <c r="R35" s="16" t="s">
        <v>115</v>
      </c>
      <c r="S35" s="16" t="s">
        <v>123</v>
      </c>
      <c r="T35" s="16" t="s">
        <v>129</v>
      </c>
      <c r="U35" s="16" t="s">
        <v>134</v>
      </c>
      <c r="V35" s="16" t="s">
        <v>138</v>
      </c>
      <c r="W35" s="16" t="s">
        <v>166</v>
      </c>
      <c r="X35" s="16" t="s">
        <v>224</v>
      </c>
    </row>
    <row r="36" customFormat="false" ht="15" hidden="false" customHeight="false" outlineLevel="0" collapsed="false">
      <c r="A36" s="7" t="s">
        <v>236</v>
      </c>
      <c r="B36" s="7" t="s">
        <v>165</v>
      </c>
      <c r="C36" s="16" t="s">
        <v>31</v>
      </c>
      <c r="D36" s="16" t="s">
        <v>37</v>
      </c>
      <c r="E36" s="16" t="s">
        <v>43</v>
      </c>
      <c r="F36" s="16" t="s">
        <v>49</v>
      </c>
      <c r="G36" s="16" t="s">
        <v>49</v>
      </c>
      <c r="H36" s="16" t="s">
        <v>59</v>
      </c>
      <c r="I36" s="16" t="s">
        <v>65</v>
      </c>
      <c r="J36" s="16" t="s">
        <v>70</v>
      </c>
      <c r="K36" s="16" t="s">
        <v>73</v>
      </c>
      <c r="L36" s="16" t="s">
        <v>81</v>
      </c>
      <c r="M36" s="16" t="s">
        <v>85</v>
      </c>
      <c r="N36" s="16" t="s">
        <v>91</v>
      </c>
      <c r="O36" s="16" t="s">
        <v>99</v>
      </c>
      <c r="P36" s="16" t="s">
        <v>106</v>
      </c>
      <c r="Q36" s="16" t="s">
        <v>109</v>
      </c>
      <c r="R36" s="16" t="s">
        <v>116</v>
      </c>
      <c r="S36" s="16" t="s">
        <v>121</v>
      </c>
      <c r="T36" s="16" t="s">
        <v>127</v>
      </c>
      <c r="U36" s="16" t="s">
        <v>133</v>
      </c>
      <c r="V36" s="16" t="s">
        <v>138</v>
      </c>
      <c r="W36" s="16" t="s">
        <v>166</v>
      </c>
      <c r="X36" s="16" t="s">
        <v>237</v>
      </c>
    </row>
    <row r="37" customFormat="false" ht="15" hidden="false" customHeight="false" outlineLevel="0" collapsed="false">
      <c r="A37" s="7" t="s">
        <v>238</v>
      </c>
      <c r="B37" s="7" t="s">
        <v>193</v>
      </c>
      <c r="C37" s="16" t="s">
        <v>35</v>
      </c>
      <c r="D37" s="16" t="s">
        <v>38</v>
      </c>
      <c r="E37" s="16" t="s">
        <v>44</v>
      </c>
      <c r="F37" s="16" t="s">
        <v>49</v>
      </c>
      <c r="G37" s="16" t="s">
        <v>49</v>
      </c>
      <c r="H37" s="16" t="s">
        <v>59</v>
      </c>
      <c r="I37" s="16" t="s">
        <v>65</v>
      </c>
      <c r="J37" s="16" t="s">
        <v>61</v>
      </c>
      <c r="K37" s="16" t="s">
        <v>76</v>
      </c>
      <c r="L37" s="16" t="s">
        <v>82</v>
      </c>
      <c r="M37" s="16" t="s">
        <v>87</v>
      </c>
      <c r="N37" s="16" t="s">
        <v>94</v>
      </c>
      <c r="O37" s="16" t="s">
        <v>99</v>
      </c>
      <c r="P37" s="16" t="s">
        <v>106</v>
      </c>
      <c r="Q37" s="16" t="s">
        <v>109</v>
      </c>
      <c r="R37" s="16" t="s">
        <v>116</v>
      </c>
      <c r="S37" s="16" t="s">
        <v>122</v>
      </c>
      <c r="T37" s="16" t="s">
        <v>128</v>
      </c>
      <c r="U37" s="16" t="s">
        <v>134</v>
      </c>
      <c r="V37" s="16" t="s">
        <v>140</v>
      </c>
      <c r="W37" s="16" t="s">
        <v>166</v>
      </c>
      <c r="X37" s="16" t="s">
        <v>239</v>
      </c>
    </row>
    <row r="38" customFormat="false" ht="15" hidden="false" customHeight="false" outlineLevel="0" collapsed="false">
      <c r="A38" s="7" t="s">
        <v>240</v>
      </c>
      <c r="B38" s="7" t="s">
        <v>165</v>
      </c>
      <c r="C38" s="16" t="s">
        <v>31</v>
      </c>
      <c r="D38" s="16" t="s">
        <v>37</v>
      </c>
      <c r="E38" s="16" t="s">
        <v>43</v>
      </c>
      <c r="F38" s="16" t="s">
        <v>49</v>
      </c>
      <c r="G38" s="16" t="s">
        <v>49</v>
      </c>
      <c r="H38" s="16" t="s">
        <v>59</v>
      </c>
      <c r="I38" s="16" t="s">
        <v>65</v>
      </c>
      <c r="J38" s="16" t="s">
        <v>71</v>
      </c>
      <c r="K38" s="16" t="s">
        <v>75</v>
      </c>
      <c r="L38" s="16" t="s">
        <v>79</v>
      </c>
      <c r="M38" s="16" t="s">
        <v>86</v>
      </c>
      <c r="N38" s="16" t="s">
        <v>91</v>
      </c>
      <c r="O38" s="16" t="s">
        <v>100</v>
      </c>
      <c r="P38" s="16" t="s">
        <v>105</v>
      </c>
      <c r="Q38" s="16" t="s">
        <v>109</v>
      </c>
      <c r="R38" s="16" t="s">
        <v>115</v>
      </c>
      <c r="S38" s="16" t="s">
        <v>122</v>
      </c>
      <c r="T38" s="16" t="s">
        <v>127</v>
      </c>
      <c r="U38" s="16" t="s">
        <v>132</v>
      </c>
      <c r="V38" s="16" t="s">
        <v>138</v>
      </c>
      <c r="W38" s="16" t="s">
        <v>166</v>
      </c>
      <c r="X38" s="16" t="s">
        <v>241</v>
      </c>
    </row>
    <row r="39" customFormat="false" ht="15" hidden="false" customHeight="false" outlineLevel="0" collapsed="false">
      <c r="A39" s="7" t="s">
        <v>242</v>
      </c>
      <c r="B39" s="7" t="s">
        <v>165</v>
      </c>
      <c r="C39" s="16" t="s">
        <v>32</v>
      </c>
      <c r="D39" s="16" t="s">
        <v>37</v>
      </c>
      <c r="E39" s="16" t="s">
        <v>45</v>
      </c>
      <c r="F39" s="16" t="s">
        <v>49</v>
      </c>
      <c r="G39" s="16" t="s">
        <v>49</v>
      </c>
      <c r="H39" s="16" t="s">
        <v>59</v>
      </c>
      <c r="I39" s="16" t="s">
        <v>65</v>
      </c>
      <c r="J39" s="16" t="s">
        <v>71</v>
      </c>
      <c r="K39" s="16" t="s">
        <v>75</v>
      </c>
      <c r="L39" s="16" t="s">
        <v>80</v>
      </c>
      <c r="M39" s="16" t="s">
        <v>86</v>
      </c>
      <c r="N39" s="16" t="s">
        <v>91</v>
      </c>
      <c r="O39" s="16" t="s">
        <v>99</v>
      </c>
      <c r="P39" s="16" t="s">
        <v>106</v>
      </c>
      <c r="Q39" s="16" t="s">
        <v>109</v>
      </c>
      <c r="R39" s="16" t="s">
        <v>115</v>
      </c>
      <c r="S39" s="16" t="s">
        <v>122</v>
      </c>
      <c r="T39" s="16" t="s">
        <v>122</v>
      </c>
      <c r="U39" s="16" t="s">
        <v>132</v>
      </c>
      <c r="V39" s="16" t="s">
        <v>138</v>
      </c>
      <c r="W39" s="16" t="s">
        <v>166</v>
      </c>
      <c r="X39" s="16" t="s">
        <v>243</v>
      </c>
    </row>
    <row r="40" customFormat="false" ht="15" hidden="false" customHeight="false" outlineLevel="0" collapsed="false">
      <c r="A40" s="7" t="s">
        <v>244</v>
      </c>
      <c r="B40" s="7" t="s">
        <v>193</v>
      </c>
      <c r="C40" s="16" t="s">
        <v>33</v>
      </c>
      <c r="D40" s="16" t="s">
        <v>38</v>
      </c>
      <c r="E40" s="16" t="s">
        <v>47</v>
      </c>
      <c r="F40" s="16" t="s">
        <v>49</v>
      </c>
      <c r="G40" s="16" t="s">
        <v>49</v>
      </c>
      <c r="H40" s="16" t="s">
        <v>59</v>
      </c>
      <c r="I40" s="16" t="s">
        <v>65</v>
      </c>
      <c r="J40" s="16" t="s">
        <v>70</v>
      </c>
      <c r="K40" s="16" t="s">
        <v>77</v>
      </c>
      <c r="L40" s="16" t="s">
        <v>83</v>
      </c>
      <c r="M40" s="16" t="s">
        <v>88</v>
      </c>
      <c r="N40" s="16" t="s">
        <v>92</v>
      </c>
      <c r="O40" s="16" t="s">
        <v>101</v>
      </c>
      <c r="P40" s="16" t="s">
        <v>105</v>
      </c>
      <c r="Q40" s="16" t="s">
        <v>112</v>
      </c>
      <c r="R40" s="16" t="s">
        <v>117</v>
      </c>
      <c r="S40" s="16" t="s">
        <v>121</v>
      </c>
      <c r="T40" s="16" t="s">
        <v>127</v>
      </c>
      <c r="U40" s="16" t="s">
        <v>134</v>
      </c>
      <c r="V40" s="16" t="s">
        <v>138</v>
      </c>
      <c r="W40" s="16" t="s">
        <v>166</v>
      </c>
      <c r="X40" s="16" t="s">
        <v>245</v>
      </c>
    </row>
    <row r="41" customFormat="false" ht="15" hidden="false" customHeight="false" outlineLevel="0" collapsed="false">
      <c r="A41" s="7" t="s">
        <v>246</v>
      </c>
      <c r="B41" s="7" t="s">
        <v>206</v>
      </c>
      <c r="C41" s="16" t="s">
        <v>32</v>
      </c>
      <c r="D41" s="16" t="s">
        <v>37</v>
      </c>
      <c r="E41" s="16" t="s">
        <v>45</v>
      </c>
      <c r="F41" s="16" t="s">
        <v>49</v>
      </c>
      <c r="G41" s="16" t="s">
        <v>49</v>
      </c>
      <c r="H41" s="16" t="s">
        <v>59</v>
      </c>
      <c r="I41" s="16" t="s">
        <v>65</v>
      </c>
      <c r="J41" s="16" t="s">
        <v>71</v>
      </c>
      <c r="K41" s="16" t="s">
        <v>76</v>
      </c>
      <c r="L41" s="16" t="s">
        <v>82</v>
      </c>
      <c r="M41" s="16" t="s">
        <v>85</v>
      </c>
      <c r="N41" s="16" t="s">
        <v>92</v>
      </c>
      <c r="O41" s="16" t="s">
        <v>99</v>
      </c>
      <c r="P41" s="16" t="s">
        <v>107</v>
      </c>
      <c r="Q41" s="16" t="s">
        <v>109</v>
      </c>
      <c r="R41" s="16" t="s">
        <v>116</v>
      </c>
      <c r="S41" s="16" t="s">
        <v>123</v>
      </c>
      <c r="T41" s="16" t="s">
        <v>122</v>
      </c>
      <c r="U41" s="16" t="s">
        <v>134</v>
      </c>
      <c r="V41" s="16" t="s">
        <v>138</v>
      </c>
      <c r="W41" s="16" t="s">
        <v>166</v>
      </c>
      <c r="X41" s="16" t="s">
        <v>247</v>
      </c>
    </row>
    <row r="42" customFormat="false" ht="15" hidden="false" customHeight="false" outlineLevel="0" collapsed="false">
      <c r="A42" s="7" t="s">
        <v>248</v>
      </c>
      <c r="B42" s="7" t="s">
        <v>206</v>
      </c>
      <c r="C42" s="16" t="s">
        <v>32</v>
      </c>
      <c r="D42" s="16" t="s">
        <v>37</v>
      </c>
      <c r="E42" s="16" t="s">
        <v>45</v>
      </c>
      <c r="F42" s="16" t="s">
        <v>49</v>
      </c>
      <c r="G42" s="16" t="s">
        <v>54</v>
      </c>
      <c r="H42" s="16" t="s">
        <v>59</v>
      </c>
      <c r="I42" s="16" t="s">
        <v>65</v>
      </c>
      <c r="J42" s="16" t="s">
        <v>70</v>
      </c>
      <c r="K42" s="16" t="s">
        <v>76</v>
      </c>
      <c r="L42" s="16" t="s">
        <v>83</v>
      </c>
      <c r="M42" s="16" t="s">
        <v>86</v>
      </c>
      <c r="N42" s="16" t="s">
        <v>91</v>
      </c>
      <c r="O42" s="16" t="s">
        <v>99</v>
      </c>
      <c r="P42" s="16" t="s">
        <v>105</v>
      </c>
      <c r="Q42" s="16" t="s">
        <v>109</v>
      </c>
      <c r="R42" s="16" t="s">
        <v>116</v>
      </c>
      <c r="S42" s="16" t="s">
        <v>124</v>
      </c>
      <c r="T42" s="16" t="s">
        <v>128</v>
      </c>
      <c r="U42" s="16" t="s">
        <v>134</v>
      </c>
      <c r="V42" s="16" t="s">
        <v>138</v>
      </c>
      <c r="W42" s="16" t="s">
        <v>166</v>
      </c>
      <c r="X42" s="16" t="s">
        <v>249</v>
      </c>
    </row>
    <row r="43" customFormat="false" ht="15" hidden="false" customHeight="false" outlineLevel="0" collapsed="false">
      <c r="A43" s="7" t="s">
        <v>250</v>
      </c>
      <c r="B43" s="7" t="s">
        <v>165</v>
      </c>
      <c r="C43" s="16" t="s">
        <v>32</v>
      </c>
      <c r="D43" s="16" t="s">
        <v>37</v>
      </c>
      <c r="E43" s="16" t="s">
        <v>43</v>
      </c>
      <c r="F43" s="16" t="s">
        <v>49</v>
      </c>
      <c r="G43" s="16" t="s">
        <v>49</v>
      </c>
      <c r="H43" s="16" t="s">
        <v>59</v>
      </c>
      <c r="I43" s="16" t="s">
        <v>65</v>
      </c>
      <c r="J43" s="16" t="s">
        <v>71</v>
      </c>
      <c r="K43" s="16" t="s">
        <v>74</v>
      </c>
      <c r="L43" s="16" t="s">
        <v>81</v>
      </c>
      <c r="M43" s="16" t="s">
        <v>86</v>
      </c>
      <c r="N43" s="16" t="s">
        <v>93</v>
      </c>
      <c r="O43" s="16" t="s">
        <v>99</v>
      </c>
      <c r="P43" s="16" t="s">
        <v>105</v>
      </c>
      <c r="Q43" s="16" t="s">
        <v>109</v>
      </c>
      <c r="R43" s="16" t="s">
        <v>117</v>
      </c>
      <c r="S43" s="16" t="s">
        <v>122</v>
      </c>
      <c r="T43" s="16" t="s">
        <v>127</v>
      </c>
      <c r="U43" s="16" t="s">
        <v>132</v>
      </c>
      <c r="V43" s="16" t="s">
        <v>138</v>
      </c>
      <c r="W43" s="16" t="s">
        <v>166</v>
      </c>
      <c r="X43" s="16" t="s">
        <v>251</v>
      </c>
    </row>
    <row r="44" customFormat="false" ht="15" hidden="false" customHeight="false" outlineLevel="0" collapsed="false">
      <c r="A44" s="7" t="s">
        <v>252</v>
      </c>
      <c r="B44" s="7" t="s">
        <v>165</v>
      </c>
      <c r="C44" s="16" t="s">
        <v>31</v>
      </c>
      <c r="D44" s="16" t="s">
        <v>37</v>
      </c>
      <c r="E44" s="16" t="s">
        <v>44</v>
      </c>
      <c r="F44" s="16" t="s">
        <v>49</v>
      </c>
      <c r="G44" s="16" t="s">
        <v>49</v>
      </c>
      <c r="H44" s="16" t="s">
        <v>59</v>
      </c>
      <c r="I44" s="16" t="s">
        <v>65</v>
      </c>
      <c r="J44" s="16" t="s">
        <v>71</v>
      </c>
      <c r="K44" s="16" t="s">
        <v>75</v>
      </c>
      <c r="L44" s="16" t="s">
        <v>79</v>
      </c>
      <c r="M44" s="16" t="s">
        <v>86</v>
      </c>
      <c r="N44" s="16" t="s">
        <v>91</v>
      </c>
      <c r="O44" s="16" t="s">
        <v>99</v>
      </c>
      <c r="P44" s="16" t="s">
        <v>105</v>
      </c>
      <c r="Q44" s="16" t="s">
        <v>109</v>
      </c>
      <c r="R44" s="16" t="s">
        <v>117</v>
      </c>
      <c r="S44" s="16" t="s">
        <v>121</v>
      </c>
      <c r="T44" s="16" t="s">
        <v>127</v>
      </c>
      <c r="U44" s="16" t="s">
        <v>132</v>
      </c>
      <c r="V44" s="16" t="s">
        <v>138</v>
      </c>
      <c r="W44" s="16" t="s">
        <v>166</v>
      </c>
      <c r="X44" s="16" t="s">
        <v>253</v>
      </c>
    </row>
    <row r="45" customFormat="false" ht="15" hidden="false" customHeight="false" outlineLevel="0" collapsed="false">
      <c r="A45" s="7" t="s">
        <v>254</v>
      </c>
      <c r="B45" s="7" t="s">
        <v>165</v>
      </c>
      <c r="C45" s="16" t="s">
        <v>31</v>
      </c>
      <c r="D45" s="16" t="s">
        <v>37</v>
      </c>
      <c r="E45" s="16" t="s">
        <v>43</v>
      </c>
      <c r="F45" s="16" t="s">
        <v>49</v>
      </c>
      <c r="G45" s="16" t="s">
        <v>49</v>
      </c>
      <c r="H45" s="16" t="s">
        <v>59</v>
      </c>
      <c r="I45" s="16" t="s">
        <v>65</v>
      </c>
      <c r="J45" s="16" t="s">
        <v>70</v>
      </c>
      <c r="K45" s="16" t="s">
        <v>73</v>
      </c>
      <c r="L45" s="16" t="s">
        <v>81</v>
      </c>
      <c r="M45" s="16" t="s">
        <v>85</v>
      </c>
      <c r="N45" s="16" t="s">
        <v>92</v>
      </c>
      <c r="O45" s="16" t="s">
        <v>100</v>
      </c>
      <c r="P45" s="16" t="s">
        <v>105</v>
      </c>
      <c r="Q45" s="16" t="s">
        <v>109</v>
      </c>
      <c r="R45" s="16" t="s">
        <v>115</v>
      </c>
      <c r="S45" s="16" t="s">
        <v>121</v>
      </c>
      <c r="T45" s="16" t="s">
        <v>127</v>
      </c>
      <c r="U45" s="16" t="s">
        <v>132</v>
      </c>
      <c r="V45" s="16" t="s">
        <v>138</v>
      </c>
      <c r="W45" s="16" t="s">
        <v>166</v>
      </c>
      <c r="X45" s="16" t="s">
        <v>255</v>
      </c>
    </row>
    <row r="46" customFormat="false" ht="15" hidden="false" customHeight="false" outlineLevel="0" collapsed="false">
      <c r="A46" s="7" t="s">
        <v>256</v>
      </c>
      <c r="B46" s="7" t="s">
        <v>165</v>
      </c>
      <c r="C46" s="16" t="s">
        <v>31</v>
      </c>
      <c r="D46" s="16" t="s">
        <v>37</v>
      </c>
      <c r="E46" s="16" t="s">
        <v>44</v>
      </c>
      <c r="F46" s="16" t="s">
        <v>49</v>
      </c>
      <c r="G46" s="16" t="s">
        <v>49</v>
      </c>
      <c r="H46" s="16" t="s">
        <v>59</v>
      </c>
      <c r="I46" s="16" t="s">
        <v>65</v>
      </c>
      <c r="J46" s="16" t="s">
        <v>70</v>
      </c>
      <c r="K46" s="16" t="s">
        <v>75</v>
      </c>
      <c r="L46" s="16" t="s">
        <v>80</v>
      </c>
      <c r="M46" s="16" t="s">
        <v>86</v>
      </c>
      <c r="N46" s="16" t="s">
        <v>92</v>
      </c>
      <c r="O46" s="16" t="s">
        <v>101</v>
      </c>
      <c r="P46" s="16" t="s">
        <v>105</v>
      </c>
      <c r="Q46" s="16" t="s">
        <v>111</v>
      </c>
      <c r="R46" s="16" t="s">
        <v>115</v>
      </c>
      <c r="S46" s="16" t="s">
        <v>123</v>
      </c>
      <c r="T46" s="16" t="s">
        <v>127</v>
      </c>
      <c r="U46" s="16" t="s">
        <v>133</v>
      </c>
      <c r="V46" s="16" t="s">
        <v>138</v>
      </c>
      <c r="W46" s="16" t="s">
        <v>166</v>
      </c>
      <c r="X46" s="16" t="s">
        <v>257</v>
      </c>
    </row>
    <row r="47" customFormat="false" ht="15" hidden="false" customHeight="false" outlineLevel="0" collapsed="false">
      <c r="A47" s="7" t="s">
        <v>258</v>
      </c>
      <c r="B47" s="7" t="s">
        <v>165</v>
      </c>
      <c r="C47" s="16" t="s">
        <v>32</v>
      </c>
      <c r="D47" s="16" t="s">
        <v>37</v>
      </c>
      <c r="E47" s="16" t="s">
        <v>43</v>
      </c>
      <c r="F47" s="16" t="s">
        <v>49</v>
      </c>
      <c r="G47" s="16" t="s">
        <v>54</v>
      </c>
      <c r="H47" s="16" t="s">
        <v>59</v>
      </c>
      <c r="I47" s="16" t="s">
        <v>65</v>
      </c>
      <c r="J47" s="16" t="s">
        <v>70</v>
      </c>
      <c r="K47" s="16" t="s">
        <v>73</v>
      </c>
      <c r="L47" s="16" t="s">
        <v>81</v>
      </c>
      <c r="M47" s="16" t="s">
        <v>85</v>
      </c>
      <c r="N47" s="16" t="s">
        <v>91</v>
      </c>
      <c r="O47" s="16" t="s">
        <v>99</v>
      </c>
      <c r="P47" s="16" t="s">
        <v>103</v>
      </c>
      <c r="Q47" s="16" t="s">
        <v>109</v>
      </c>
      <c r="R47" s="16" t="s">
        <v>115</v>
      </c>
      <c r="S47" s="16" t="s">
        <v>122</v>
      </c>
      <c r="T47" s="16" t="s">
        <v>127</v>
      </c>
      <c r="U47" s="16" t="s">
        <v>132</v>
      </c>
      <c r="V47" s="16" t="s">
        <v>138</v>
      </c>
      <c r="W47" s="16" t="s">
        <v>166</v>
      </c>
      <c r="X47" s="16" t="s">
        <v>259</v>
      </c>
    </row>
    <row r="48" customFormat="false" ht="15" hidden="false" customHeight="false" outlineLevel="0" collapsed="false">
      <c r="A48" s="7" t="s">
        <v>260</v>
      </c>
      <c r="B48" s="7" t="s">
        <v>165</v>
      </c>
      <c r="C48" s="16" t="s">
        <v>31</v>
      </c>
      <c r="D48" s="16" t="s">
        <v>37</v>
      </c>
      <c r="E48" s="16" t="s">
        <v>43</v>
      </c>
      <c r="F48" s="16" t="s">
        <v>49</v>
      </c>
      <c r="G48" s="16" t="s">
        <v>54</v>
      </c>
      <c r="H48" s="16" t="s">
        <v>59</v>
      </c>
      <c r="I48" s="16" t="s">
        <v>65</v>
      </c>
      <c r="J48" s="16" t="s">
        <v>70</v>
      </c>
      <c r="K48" s="16" t="s">
        <v>74</v>
      </c>
      <c r="L48" s="16" t="s">
        <v>80</v>
      </c>
      <c r="M48" s="16" t="s">
        <v>85</v>
      </c>
      <c r="N48" s="16" t="s">
        <v>91</v>
      </c>
      <c r="O48" s="16" t="s">
        <v>100</v>
      </c>
      <c r="P48" s="16" t="s">
        <v>105</v>
      </c>
      <c r="Q48" s="16" t="s">
        <v>109</v>
      </c>
      <c r="R48" s="16" t="s">
        <v>115</v>
      </c>
      <c r="S48" s="16" t="s">
        <v>123</v>
      </c>
      <c r="T48" s="16" t="s">
        <v>127</v>
      </c>
      <c r="U48" s="16" t="s">
        <v>132</v>
      </c>
      <c r="V48" s="16" t="s">
        <v>138</v>
      </c>
      <c r="W48" s="16" t="s">
        <v>166</v>
      </c>
      <c r="X48" s="16" t="s">
        <v>261</v>
      </c>
    </row>
    <row r="49" customFormat="false" ht="15" hidden="false" customHeight="false" outlineLevel="0" collapsed="false">
      <c r="A49" s="7" t="s">
        <v>262</v>
      </c>
      <c r="B49" s="7" t="s">
        <v>165</v>
      </c>
      <c r="C49" s="16" t="s">
        <v>32</v>
      </c>
      <c r="D49" s="16" t="s">
        <v>37</v>
      </c>
      <c r="E49" s="16" t="s">
        <v>45</v>
      </c>
      <c r="F49" s="16" t="s">
        <v>49</v>
      </c>
      <c r="G49" s="16" t="s">
        <v>49</v>
      </c>
      <c r="H49" s="16" t="s">
        <v>59</v>
      </c>
      <c r="I49" s="16" t="s">
        <v>65</v>
      </c>
      <c r="J49" s="16" t="s">
        <v>70</v>
      </c>
      <c r="K49" s="16" t="s">
        <v>74</v>
      </c>
      <c r="L49" s="16" t="s">
        <v>80</v>
      </c>
      <c r="M49" s="16" t="s">
        <v>89</v>
      </c>
      <c r="N49" s="16" t="s">
        <v>92</v>
      </c>
      <c r="O49" s="16" t="s">
        <v>100</v>
      </c>
      <c r="P49" s="16" t="s">
        <v>105</v>
      </c>
      <c r="Q49" s="16" t="s">
        <v>111</v>
      </c>
      <c r="R49" s="16" t="s">
        <v>115</v>
      </c>
      <c r="S49" s="16" t="s">
        <v>124</v>
      </c>
      <c r="T49" s="16" t="s">
        <v>127</v>
      </c>
      <c r="U49" s="16" t="s">
        <v>132</v>
      </c>
      <c r="V49" s="16" t="s">
        <v>138</v>
      </c>
      <c r="W49" s="16" t="s">
        <v>166</v>
      </c>
      <c r="X49" s="16" t="s">
        <v>263</v>
      </c>
    </row>
    <row r="50" customFormat="false" ht="15" hidden="false" customHeight="false" outlineLevel="0" collapsed="false">
      <c r="A50" s="7" t="s">
        <v>264</v>
      </c>
      <c r="B50" s="7" t="s">
        <v>165</v>
      </c>
      <c r="C50" s="16" t="s">
        <v>32</v>
      </c>
      <c r="D50" s="16" t="s">
        <v>37</v>
      </c>
      <c r="E50" s="16" t="s">
        <v>45</v>
      </c>
      <c r="F50" s="16" t="s">
        <v>49</v>
      </c>
      <c r="G50" s="16" t="s">
        <v>49</v>
      </c>
      <c r="H50" s="16" t="s">
        <v>59</v>
      </c>
      <c r="I50" s="16" t="s">
        <v>65</v>
      </c>
      <c r="J50" s="16" t="s">
        <v>70</v>
      </c>
      <c r="K50" s="16" t="s">
        <v>74</v>
      </c>
      <c r="L50" s="16" t="s">
        <v>79</v>
      </c>
      <c r="M50" s="16" t="s">
        <v>85</v>
      </c>
      <c r="N50" s="16" t="s">
        <v>91</v>
      </c>
      <c r="O50" s="16" t="s">
        <v>100</v>
      </c>
      <c r="P50" s="16" t="s">
        <v>106</v>
      </c>
      <c r="Q50" s="16" t="s">
        <v>109</v>
      </c>
      <c r="R50" s="16" t="s">
        <v>115</v>
      </c>
      <c r="S50" s="16" t="s">
        <v>123</v>
      </c>
      <c r="T50" s="16" t="s">
        <v>127</v>
      </c>
      <c r="U50" s="16" t="s">
        <v>132</v>
      </c>
      <c r="V50" s="16" t="s">
        <v>138</v>
      </c>
      <c r="W50" s="16" t="s">
        <v>166</v>
      </c>
      <c r="X50" s="16" t="s">
        <v>265</v>
      </c>
    </row>
    <row r="51" customFormat="false" ht="15" hidden="false" customHeight="false" outlineLevel="0" collapsed="false">
      <c r="A51" s="7" t="s">
        <v>266</v>
      </c>
      <c r="B51" s="7" t="s">
        <v>193</v>
      </c>
      <c r="C51" s="16" t="s">
        <v>33</v>
      </c>
      <c r="D51" s="16" t="s">
        <v>39</v>
      </c>
      <c r="E51" s="16" t="s">
        <v>45</v>
      </c>
      <c r="F51" s="16" t="s">
        <v>49</v>
      </c>
      <c r="G51" s="16" t="s">
        <v>49</v>
      </c>
      <c r="H51" s="16" t="s">
        <v>59</v>
      </c>
      <c r="I51" s="16" t="s">
        <v>65</v>
      </c>
      <c r="J51" s="16" t="s">
        <v>70</v>
      </c>
      <c r="K51" s="16" t="s">
        <v>77</v>
      </c>
      <c r="L51" s="16" t="s">
        <v>81</v>
      </c>
      <c r="M51" s="16" t="s">
        <v>88</v>
      </c>
      <c r="N51" s="16" t="s">
        <v>94</v>
      </c>
      <c r="O51" s="16" t="s">
        <v>100</v>
      </c>
      <c r="P51" s="16" t="s">
        <v>105</v>
      </c>
      <c r="Q51" s="16" t="s">
        <v>111</v>
      </c>
      <c r="R51" s="16" t="s">
        <v>118</v>
      </c>
      <c r="S51" s="16" t="s">
        <v>123</v>
      </c>
      <c r="T51" s="16" t="s">
        <v>128</v>
      </c>
      <c r="U51" s="16" t="s">
        <v>134</v>
      </c>
      <c r="V51" s="16" t="s">
        <v>139</v>
      </c>
      <c r="W51" s="16" t="s">
        <v>211</v>
      </c>
      <c r="X51" s="16" t="s">
        <v>267</v>
      </c>
    </row>
    <row r="52" customFormat="false" ht="15" hidden="false" customHeight="false" outlineLevel="0" collapsed="false">
      <c r="A52" s="7" t="s">
        <v>268</v>
      </c>
      <c r="B52" s="7" t="s">
        <v>165</v>
      </c>
      <c r="C52" s="16" t="s">
        <v>31</v>
      </c>
      <c r="D52" s="16" t="s">
        <v>37</v>
      </c>
      <c r="E52" s="16" t="s">
        <v>43</v>
      </c>
      <c r="F52" s="16" t="s">
        <v>49</v>
      </c>
      <c r="G52" s="16" t="s">
        <v>49</v>
      </c>
      <c r="H52" s="16" t="s">
        <v>59</v>
      </c>
      <c r="I52" s="16" t="s">
        <v>66</v>
      </c>
      <c r="J52" s="16" t="s">
        <v>70</v>
      </c>
      <c r="K52" s="16" t="s">
        <v>74</v>
      </c>
      <c r="L52" s="16" t="s">
        <v>81</v>
      </c>
      <c r="M52" s="16" t="s">
        <v>88</v>
      </c>
      <c r="N52" s="16" t="s">
        <v>91</v>
      </c>
      <c r="O52" s="16" t="s">
        <v>99</v>
      </c>
      <c r="P52" s="16" t="s">
        <v>106</v>
      </c>
      <c r="Q52" s="16" t="s">
        <v>109</v>
      </c>
      <c r="R52" s="16" t="s">
        <v>115</v>
      </c>
      <c r="S52" s="16" t="s">
        <v>124</v>
      </c>
      <c r="T52" s="16" t="s">
        <v>127</v>
      </c>
      <c r="U52" s="16" t="s">
        <v>132</v>
      </c>
      <c r="V52" s="16" t="s">
        <v>139</v>
      </c>
      <c r="W52" s="16" t="s">
        <v>166</v>
      </c>
      <c r="X52" s="16" t="s">
        <v>269</v>
      </c>
    </row>
    <row r="53" customFormat="false" ht="15" hidden="false" customHeight="false" outlineLevel="0" collapsed="false">
      <c r="A53" s="7" t="s">
        <v>270</v>
      </c>
      <c r="B53" s="7" t="s">
        <v>165</v>
      </c>
      <c r="C53" s="16" t="s">
        <v>32</v>
      </c>
      <c r="D53" s="16" t="s">
        <v>37</v>
      </c>
      <c r="E53" s="16" t="s">
        <v>45</v>
      </c>
      <c r="F53" s="16" t="s">
        <v>49</v>
      </c>
      <c r="G53" s="16" t="s">
        <v>49</v>
      </c>
      <c r="H53" s="16" t="s">
        <v>59</v>
      </c>
      <c r="I53" s="16" t="s">
        <v>65</v>
      </c>
      <c r="J53" s="16" t="s">
        <v>70</v>
      </c>
      <c r="K53" s="16" t="s">
        <v>75</v>
      </c>
      <c r="L53" s="16" t="s">
        <v>81</v>
      </c>
      <c r="M53" s="16" t="s">
        <v>88</v>
      </c>
      <c r="N53" s="16" t="s">
        <v>91</v>
      </c>
      <c r="O53" s="16" t="s">
        <v>98</v>
      </c>
      <c r="P53" s="16" t="s">
        <v>105</v>
      </c>
      <c r="Q53" s="16" t="s">
        <v>109</v>
      </c>
      <c r="R53" s="16" t="s">
        <v>115</v>
      </c>
      <c r="S53" s="16" t="s">
        <v>123</v>
      </c>
      <c r="T53" s="16" t="s">
        <v>122</v>
      </c>
      <c r="U53" s="16" t="s">
        <v>132</v>
      </c>
      <c r="V53" s="16" t="s">
        <v>138</v>
      </c>
      <c r="W53" s="16" t="s">
        <v>166</v>
      </c>
      <c r="X53" s="16" t="s">
        <v>271</v>
      </c>
    </row>
    <row r="54" customFormat="false" ht="15" hidden="false" customHeight="false" outlineLevel="0" collapsed="false">
      <c r="A54" s="7" t="s">
        <v>272</v>
      </c>
      <c r="B54" s="7" t="s">
        <v>165</v>
      </c>
      <c r="C54" s="16" t="s">
        <v>31</v>
      </c>
      <c r="D54" s="16" t="s">
        <v>37</v>
      </c>
      <c r="E54" s="16" t="s">
        <v>43</v>
      </c>
      <c r="F54" s="16" t="s">
        <v>49</v>
      </c>
      <c r="G54" s="16" t="s">
        <v>49</v>
      </c>
      <c r="H54" s="16" t="s">
        <v>59</v>
      </c>
      <c r="I54" s="16" t="s">
        <v>65</v>
      </c>
      <c r="J54" s="16" t="s">
        <v>70</v>
      </c>
      <c r="K54" s="16" t="s">
        <v>75</v>
      </c>
      <c r="L54" s="16" t="s">
        <v>80</v>
      </c>
      <c r="M54" s="16" t="s">
        <v>86</v>
      </c>
      <c r="N54" s="16" t="s">
        <v>91</v>
      </c>
      <c r="O54" s="16" t="s">
        <v>99</v>
      </c>
      <c r="P54" s="16" t="s">
        <v>106</v>
      </c>
      <c r="Q54" s="16" t="s">
        <v>109</v>
      </c>
      <c r="R54" s="16" t="s">
        <v>116</v>
      </c>
      <c r="S54" s="16" t="s">
        <v>121</v>
      </c>
      <c r="T54" s="16" t="s">
        <v>127</v>
      </c>
      <c r="U54" s="16" t="s">
        <v>134</v>
      </c>
      <c r="V54" s="16" t="s">
        <v>139</v>
      </c>
      <c r="W54" s="16" t="s">
        <v>166</v>
      </c>
      <c r="X54" s="16" t="s">
        <v>273</v>
      </c>
    </row>
    <row r="55" customFormat="false" ht="15" hidden="false" customHeight="false" outlineLevel="0" collapsed="false">
      <c r="A55" s="7" t="s">
        <v>274</v>
      </c>
      <c r="B55" s="7" t="s">
        <v>165</v>
      </c>
      <c r="C55" s="16" t="s">
        <v>32</v>
      </c>
      <c r="D55" s="16" t="s">
        <v>37</v>
      </c>
      <c r="E55" s="16" t="s">
        <v>43</v>
      </c>
      <c r="F55" s="16" t="s">
        <v>49</v>
      </c>
      <c r="G55" s="16" t="s">
        <v>49</v>
      </c>
      <c r="H55" s="16" t="s">
        <v>59</v>
      </c>
      <c r="I55" s="16" t="s">
        <v>65</v>
      </c>
      <c r="J55" s="16" t="s">
        <v>70</v>
      </c>
      <c r="K55" s="16" t="s">
        <v>74</v>
      </c>
      <c r="L55" s="16" t="s">
        <v>81</v>
      </c>
      <c r="M55" s="16" t="s">
        <v>87</v>
      </c>
      <c r="N55" s="16" t="s">
        <v>91</v>
      </c>
      <c r="O55" s="16" t="s">
        <v>97</v>
      </c>
      <c r="P55" s="16" t="s">
        <v>105</v>
      </c>
      <c r="Q55" s="16" t="s">
        <v>109</v>
      </c>
      <c r="R55" s="16" t="s">
        <v>115</v>
      </c>
      <c r="S55" s="16" t="s">
        <v>122</v>
      </c>
      <c r="T55" s="16" t="s">
        <v>122</v>
      </c>
      <c r="U55" s="16" t="s">
        <v>132</v>
      </c>
      <c r="V55" s="16" t="s">
        <v>139</v>
      </c>
      <c r="W55" s="16" t="s">
        <v>166</v>
      </c>
      <c r="X55" s="16" t="s">
        <v>275</v>
      </c>
    </row>
    <row r="56" customFormat="false" ht="15" hidden="false" customHeight="false" outlineLevel="0" collapsed="false">
      <c r="A56" s="7" t="s">
        <v>276</v>
      </c>
      <c r="B56" s="7" t="s">
        <v>165</v>
      </c>
      <c r="C56" s="16" t="s">
        <v>31</v>
      </c>
      <c r="D56" s="16" t="s">
        <v>37</v>
      </c>
      <c r="E56" s="16" t="s">
        <v>44</v>
      </c>
      <c r="F56" s="16" t="s">
        <v>49</v>
      </c>
      <c r="G56" s="16" t="s">
        <v>49</v>
      </c>
      <c r="H56" s="16" t="s">
        <v>59</v>
      </c>
      <c r="I56" s="16" t="s">
        <v>65</v>
      </c>
      <c r="J56" s="16" t="s">
        <v>70</v>
      </c>
      <c r="K56" s="16" t="s">
        <v>75</v>
      </c>
      <c r="L56" s="16" t="s">
        <v>81</v>
      </c>
      <c r="M56" s="16" t="s">
        <v>86</v>
      </c>
      <c r="N56" s="16" t="s">
        <v>91</v>
      </c>
      <c r="O56" s="16" t="s">
        <v>99</v>
      </c>
      <c r="P56" s="16" t="s">
        <v>105</v>
      </c>
      <c r="Q56" s="16" t="s">
        <v>111</v>
      </c>
      <c r="R56" s="16" t="s">
        <v>115</v>
      </c>
      <c r="S56" s="16" t="s">
        <v>122</v>
      </c>
      <c r="T56" s="16" t="s">
        <v>127</v>
      </c>
      <c r="U56" s="16" t="s">
        <v>132</v>
      </c>
      <c r="V56" s="16" t="s">
        <v>138</v>
      </c>
      <c r="W56" s="16" t="s">
        <v>166</v>
      </c>
      <c r="X56" s="16" t="s">
        <v>277</v>
      </c>
    </row>
    <row r="57" customFormat="false" ht="15" hidden="false" customHeight="false" outlineLevel="0" collapsed="false">
      <c r="A57" s="7" t="s">
        <v>278</v>
      </c>
      <c r="B57" s="7" t="s">
        <v>193</v>
      </c>
      <c r="C57" s="16" t="s">
        <v>33</v>
      </c>
      <c r="D57" s="16" t="s">
        <v>38</v>
      </c>
      <c r="E57" s="16" t="s">
        <v>45</v>
      </c>
      <c r="F57" s="16" t="s">
        <v>49</v>
      </c>
      <c r="G57" s="16" t="s">
        <v>49</v>
      </c>
      <c r="H57" s="16" t="s">
        <v>59</v>
      </c>
      <c r="I57" s="16" t="s">
        <v>65</v>
      </c>
      <c r="J57" s="16" t="s">
        <v>71</v>
      </c>
      <c r="K57" s="16" t="s">
        <v>76</v>
      </c>
      <c r="L57" s="16" t="s">
        <v>83</v>
      </c>
      <c r="M57" s="16" t="s">
        <v>86</v>
      </c>
      <c r="N57" s="16" t="s">
        <v>91</v>
      </c>
      <c r="O57" s="16" t="s">
        <v>99</v>
      </c>
      <c r="P57" s="16" t="s">
        <v>107</v>
      </c>
      <c r="Q57" s="16" t="s">
        <v>110</v>
      </c>
      <c r="R57" s="16" t="s">
        <v>116</v>
      </c>
      <c r="S57" s="16" t="s">
        <v>124</v>
      </c>
      <c r="T57" s="16" t="s">
        <v>129</v>
      </c>
      <c r="U57" s="16" t="s">
        <v>133</v>
      </c>
      <c r="V57" s="16" t="s">
        <v>140</v>
      </c>
      <c r="W57" s="16" t="s">
        <v>166</v>
      </c>
      <c r="X57" s="16" t="s">
        <v>279</v>
      </c>
    </row>
    <row r="58" customFormat="false" ht="15" hidden="false" customHeight="false" outlineLevel="0" collapsed="false">
      <c r="A58" s="7" t="s">
        <v>280</v>
      </c>
      <c r="B58" s="7" t="s">
        <v>165</v>
      </c>
      <c r="C58" s="16" t="s">
        <v>31</v>
      </c>
      <c r="D58" s="16" t="s">
        <v>37</v>
      </c>
      <c r="E58" s="16" t="s">
        <v>43</v>
      </c>
      <c r="F58" s="16" t="s">
        <v>49</v>
      </c>
      <c r="G58" s="16" t="s">
        <v>49</v>
      </c>
      <c r="H58" s="16" t="s">
        <v>59</v>
      </c>
      <c r="I58" s="16" t="s">
        <v>66</v>
      </c>
      <c r="J58" s="16" t="s">
        <v>61</v>
      </c>
      <c r="K58" s="16" t="s">
        <v>74</v>
      </c>
      <c r="L58" s="16" t="s">
        <v>80</v>
      </c>
      <c r="M58" s="16" t="s">
        <v>85</v>
      </c>
      <c r="N58" s="16" t="s">
        <v>91</v>
      </c>
      <c r="O58" s="16" t="s">
        <v>99</v>
      </c>
      <c r="P58" s="16" t="s">
        <v>105</v>
      </c>
      <c r="Q58" s="16" t="s">
        <v>109</v>
      </c>
      <c r="R58" s="16" t="s">
        <v>116</v>
      </c>
      <c r="S58" s="16" t="s">
        <v>121</v>
      </c>
      <c r="T58" s="16" t="s">
        <v>128</v>
      </c>
      <c r="U58" s="16" t="s">
        <v>135</v>
      </c>
      <c r="V58" s="16" t="s">
        <v>138</v>
      </c>
      <c r="W58" s="16" t="s">
        <v>166</v>
      </c>
      <c r="X58" s="16" t="s">
        <v>281</v>
      </c>
    </row>
    <row r="59" customFormat="false" ht="15" hidden="false" customHeight="false" outlineLevel="0" collapsed="false">
      <c r="A59" s="7" t="s">
        <v>282</v>
      </c>
      <c r="B59" s="7" t="s">
        <v>206</v>
      </c>
      <c r="C59" s="16" t="s">
        <v>32</v>
      </c>
      <c r="D59" s="16" t="s">
        <v>37</v>
      </c>
      <c r="E59" s="16" t="s">
        <v>44</v>
      </c>
      <c r="F59" s="16" t="s">
        <v>49</v>
      </c>
      <c r="G59" s="16" t="s">
        <v>49</v>
      </c>
      <c r="H59" s="16" t="s">
        <v>59</v>
      </c>
      <c r="I59" s="16" t="s">
        <v>65</v>
      </c>
      <c r="J59" s="16" t="s">
        <v>71</v>
      </c>
      <c r="K59" s="16" t="s">
        <v>76</v>
      </c>
      <c r="L59" s="16" t="s">
        <v>83</v>
      </c>
      <c r="M59" s="16" t="s">
        <v>87</v>
      </c>
      <c r="N59" s="16" t="s">
        <v>91</v>
      </c>
      <c r="O59" s="16" t="s">
        <v>99</v>
      </c>
      <c r="P59" s="16" t="s">
        <v>105</v>
      </c>
      <c r="Q59" s="16" t="s">
        <v>112</v>
      </c>
      <c r="R59" s="16" t="s">
        <v>116</v>
      </c>
      <c r="S59" s="16" t="s">
        <v>123</v>
      </c>
      <c r="T59" s="16" t="s">
        <v>127</v>
      </c>
      <c r="U59" s="16" t="s">
        <v>134</v>
      </c>
      <c r="V59" s="16" t="s">
        <v>138</v>
      </c>
      <c r="W59" s="16" t="s">
        <v>166</v>
      </c>
      <c r="X59" s="16" t="s">
        <v>283</v>
      </c>
    </row>
    <row r="60" customFormat="false" ht="15" hidden="false" customHeight="false" outlineLevel="0" collapsed="false">
      <c r="A60" s="7" t="s">
        <v>284</v>
      </c>
      <c r="B60" s="7" t="s">
        <v>165</v>
      </c>
      <c r="C60" s="16" t="s">
        <v>31</v>
      </c>
      <c r="D60" s="16" t="s">
        <v>37</v>
      </c>
      <c r="E60" s="16" t="s">
        <v>45</v>
      </c>
      <c r="F60" s="16" t="s">
        <v>49</v>
      </c>
      <c r="G60" s="16" t="s">
        <v>57</v>
      </c>
      <c r="H60" s="16" t="s">
        <v>59</v>
      </c>
      <c r="I60" s="16" t="s">
        <v>65</v>
      </c>
      <c r="J60" s="16" t="s">
        <v>71</v>
      </c>
      <c r="K60" s="16" t="s">
        <v>75</v>
      </c>
      <c r="L60" s="16" t="s">
        <v>80</v>
      </c>
      <c r="M60" s="16" t="s">
        <v>87</v>
      </c>
      <c r="N60" s="16" t="s">
        <v>91</v>
      </c>
      <c r="O60" s="16" t="s">
        <v>99</v>
      </c>
      <c r="P60" s="16" t="s">
        <v>105</v>
      </c>
      <c r="Q60" s="16" t="s">
        <v>110</v>
      </c>
      <c r="R60" s="16" t="s">
        <v>116</v>
      </c>
      <c r="S60" s="16" t="s">
        <v>123</v>
      </c>
      <c r="T60" s="16" t="s">
        <v>122</v>
      </c>
      <c r="U60" s="16" t="s">
        <v>133</v>
      </c>
      <c r="V60" s="16" t="s">
        <v>138</v>
      </c>
      <c r="W60" s="16" t="s">
        <v>166</v>
      </c>
      <c r="X60" s="16" t="s">
        <v>285</v>
      </c>
    </row>
    <row r="61" customFormat="false" ht="15" hidden="false" customHeight="false" outlineLevel="0" collapsed="false">
      <c r="A61" s="7" t="s">
        <v>286</v>
      </c>
      <c r="B61" s="7" t="s">
        <v>165</v>
      </c>
      <c r="C61" s="16" t="s">
        <v>31</v>
      </c>
      <c r="D61" s="16" t="s">
        <v>37</v>
      </c>
      <c r="E61" s="16" t="s">
        <v>43</v>
      </c>
      <c r="F61" s="16" t="s">
        <v>49</v>
      </c>
      <c r="G61" s="16" t="s">
        <v>49</v>
      </c>
      <c r="H61" s="16" t="s">
        <v>59</v>
      </c>
      <c r="I61" s="16" t="s">
        <v>65</v>
      </c>
      <c r="J61" s="16" t="s">
        <v>70</v>
      </c>
      <c r="K61" s="16" t="s">
        <v>75</v>
      </c>
      <c r="L61" s="16" t="s">
        <v>80</v>
      </c>
      <c r="M61" s="16" t="s">
        <v>88</v>
      </c>
      <c r="N61" s="16" t="s">
        <v>91</v>
      </c>
      <c r="O61" s="16" t="s">
        <v>99</v>
      </c>
      <c r="P61" s="16" t="s">
        <v>105</v>
      </c>
      <c r="Q61" s="16" t="s">
        <v>110</v>
      </c>
      <c r="R61" s="16" t="s">
        <v>116</v>
      </c>
      <c r="S61" s="16" t="s">
        <v>121</v>
      </c>
      <c r="T61" s="16" t="s">
        <v>127</v>
      </c>
      <c r="U61" s="16" t="s">
        <v>132</v>
      </c>
      <c r="V61" s="16" t="s">
        <v>138</v>
      </c>
      <c r="W61" s="16" t="s">
        <v>166</v>
      </c>
      <c r="X61" s="16" t="s">
        <v>287</v>
      </c>
    </row>
    <row r="62" customFormat="false" ht="15" hidden="false" customHeight="false" outlineLevel="0" collapsed="false">
      <c r="A62" s="7" t="s">
        <v>288</v>
      </c>
      <c r="B62" s="7" t="s">
        <v>206</v>
      </c>
      <c r="C62" s="16" t="s">
        <v>32</v>
      </c>
      <c r="D62" s="16" t="s">
        <v>37</v>
      </c>
      <c r="E62" s="16" t="s">
        <v>46</v>
      </c>
      <c r="F62" s="16" t="s">
        <v>49</v>
      </c>
      <c r="G62" s="16" t="s">
        <v>49</v>
      </c>
      <c r="H62" s="16" t="s">
        <v>59</v>
      </c>
      <c r="I62" s="16" t="s">
        <v>65</v>
      </c>
      <c r="J62" s="16" t="s">
        <v>70</v>
      </c>
      <c r="K62" s="16" t="s">
        <v>76</v>
      </c>
      <c r="L62" s="16" t="s">
        <v>81</v>
      </c>
      <c r="M62" s="16" t="s">
        <v>87</v>
      </c>
      <c r="N62" s="16" t="s">
        <v>91</v>
      </c>
      <c r="O62" s="16" t="s">
        <v>101</v>
      </c>
      <c r="P62" s="16" t="s">
        <v>105</v>
      </c>
      <c r="Q62" s="16" t="s">
        <v>111</v>
      </c>
      <c r="R62" s="16" t="s">
        <v>116</v>
      </c>
      <c r="S62" s="16" t="s">
        <v>123</v>
      </c>
      <c r="T62" s="16" t="s">
        <v>128</v>
      </c>
      <c r="U62" s="16" t="s">
        <v>132</v>
      </c>
      <c r="V62" s="16" t="s">
        <v>138</v>
      </c>
      <c r="W62" s="16" t="s">
        <v>166</v>
      </c>
      <c r="X62" s="16" t="s">
        <v>289</v>
      </c>
    </row>
    <row r="63" customFormat="false" ht="15" hidden="false" customHeight="false" outlineLevel="0" collapsed="false">
      <c r="A63" s="7" t="s">
        <v>290</v>
      </c>
      <c r="B63" s="7" t="s">
        <v>165</v>
      </c>
      <c r="C63" s="16" t="s">
        <v>31</v>
      </c>
      <c r="D63" s="16" t="s">
        <v>37</v>
      </c>
      <c r="E63" s="16" t="s">
        <v>43</v>
      </c>
      <c r="F63" s="16" t="s">
        <v>49</v>
      </c>
      <c r="G63" s="16" t="s">
        <v>49</v>
      </c>
      <c r="H63" s="16" t="s">
        <v>59</v>
      </c>
      <c r="I63" s="16" t="s">
        <v>65</v>
      </c>
      <c r="J63" s="16" t="s">
        <v>70</v>
      </c>
      <c r="K63" s="16" t="s">
        <v>75</v>
      </c>
      <c r="L63" s="16" t="s">
        <v>81</v>
      </c>
      <c r="M63" s="16" t="s">
        <v>86</v>
      </c>
      <c r="N63" s="16" t="s">
        <v>91</v>
      </c>
      <c r="O63" s="16" t="s">
        <v>100</v>
      </c>
      <c r="P63" s="16" t="s">
        <v>105</v>
      </c>
      <c r="Q63" s="16" t="s">
        <v>109</v>
      </c>
      <c r="R63" s="16" t="s">
        <v>115</v>
      </c>
      <c r="S63" s="16" t="s">
        <v>122</v>
      </c>
      <c r="T63" s="16" t="s">
        <v>122</v>
      </c>
      <c r="U63" s="16" t="s">
        <v>132</v>
      </c>
      <c r="V63" s="16" t="s">
        <v>138</v>
      </c>
      <c r="W63" s="16" t="s">
        <v>166</v>
      </c>
      <c r="X63" s="16" t="s">
        <v>291</v>
      </c>
    </row>
    <row r="64" customFormat="false" ht="15" hidden="false" customHeight="false" outlineLevel="0" collapsed="false">
      <c r="A64" s="7" t="s">
        <v>292</v>
      </c>
      <c r="B64" s="7" t="s">
        <v>206</v>
      </c>
      <c r="C64" s="16" t="s">
        <v>32</v>
      </c>
      <c r="D64" s="16" t="s">
        <v>37</v>
      </c>
      <c r="E64" s="16" t="s">
        <v>45</v>
      </c>
      <c r="F64" s="16" t="s">
        <v>49</v>
      </c>
      <c r="G64" s="16" t="s">
        <v>49</v>
      </c>
      <c r="H64" s="16" t="s">
        <v>59</v>
      </c>
      <c r="I64" s="16" t="s">
        <v>65</v>
      </c>
      <c r="J64" s="16" t="s">
        <v>70</v>
      </c>
      <c r="K64" s="16" t="s">
        <v>76</v>
      </c>
      <c r="L64" s="16" t="s">
        <v>82</v>
      </c>
      <c r="M64" s="16" t="s">
        <v>89</v>
      </c>
      <c r="N64" s="16" t="s">
        <v>91</v>
      </c>
      <c r="O64" s="16" t="s">
        <v>99</v>
      </c>
      <c r="P64" s="16" t="s">
        <v>105</v>
      </c>
      <c r="Q64" s="16" t="s">
        <v>109</v>
      </c>
      <c r="R64" s="16" t="s">
        <v>117</v>
      </c>
      <c r="S64" s="16" t="s">
        <v>121</v>
      </c>
      <c r="T64" s="16" t="s">
        <v>127</v>
      </c>
      <c r="U64" s="16" t="s">
        <v>134</v>
      </c>
      <c r="V64" s="16" t="s">
        <v>138</v>
      </c>
      <c r="W64" s="16" t="s">
        <v>166</v>
      </c>
      <c r="X64" s="16" t="s">
        <v>293</v>
      </c>
    </row>
    <row r="65" customFormat="false" ht="15" hidden="false" customHeight="false" outlineLevel="0" collapsed="false">
      <c r="A65" s="7" t="s">
        <v>294</v>
      </c>
      <c r="B65" s="7" t="s">
        <v>206</v>
      </c>
      <c r="C65" s="16" t="s">
        <v>32</v>
      </c>
      <c r="D65" s="16" t="s">
        <v>37</v>
      </c>
      <c r="E65" s="16" t="s">
        <v>46</v>
      </c>
      <c r="F65" s="16" t="s">
        <v>49</v>
      </c>
      <c r="G65" s="16" t="s">
        <v>49</v>
      </c>
      <c r="H65" s="16" t="s">
        <v>59</v>
      </c>
      <c r="I65" s="16" t="s">
        <v>65</v>
      </c>
      <c r="J65" s="16" t="s">
        <v>61</v>
      </c>
      <c r="K65" s="16" t="s">
        <v>76</v>
      </c>
      <c r="L65" s="16" t="s">
        <v>83</v>
      </c>
      <c r="M65" s="16" t="s">
        <v>87</v>
      </c>
      <c r="N65" s="16" t="s">
        <v>93</v>
      </c>
      <c r="O65" s="16" t="s">
        <v>97</v>
      </c>
      <c r="P65" s="16" t="s">
        <v>103</v>
      </c>
      <c r="Q65" s="16" t="s">
        <v>111</v>
      </c>
      <c r="R65" s="16" t="s">
        <v>115</v>
      </c>
      <c r="S65" s="16" t="s">
        <v>122</v>
      </c>
      <c r="T65" s="16" t="s">
        <v>128</v>
      </c>
      <c r="U65" s="16" t="s">
        <v>133</v>
      </c>
      <c r="V65" s="16" t="s">
        <v>138</v>
      </c>
      <c r="W65" s="16" t="s">
        <v>166</v>
      </c>
      <c r="X65" s="16" t="s">
        <v>295</v>
      </c>
    </row>
    <row r="66" customFormat="false" ht="15" hidden="false" customHeight="false" outlineLevel="0" collapsed="false">
      <c r="A66" s="7" t="s">
        <v>296</v>
      </c>
      <c r="B66" s="7" t="s">
        <v>165</v>
      </c>
      <c r="C66" s="16" t="s">
        <v>31</v>
      </c>
      <c r="D66" s="16" t="s">
        <v>37</v>
      </c>
      <c r="E66" s="16" t="s">
        <v>43</v>
      </c>
      <c r="F66" s="16" t="s">
        <v>49</v>
      </c>
      <c r="G66" s="16" t="s">
        <v>49</v>
      </c>
      <c r="H66" s="16" t="s">
        <v>59</v>
      </c>
      <c r="I66" s="16" t="s">
        <v>65</v>
      </c>
      <c r="J66" s="16" t="s">
        <v>70</v>
      </c>
      <c r="K66" s="16" t="s">
        <v>75</v>
      </c>
      <c r="L66" s="16" t="s">
        <v>81</v>
      </c>
      <c r="M66" s="16" t="s">
        <v>86</v>
      </c>
      <c r="N66" s="16" t="s">
        <v>92</v>
      </c>
      <c r="O66" s="16" t="s">
        <v>99</v>
      </c>
      <c r="P66" s="16" t="s">
        <v>105</v>
      </c>
      <c r="Q66" s="16" t="s">
        <v>109</v>
      </c>
      <c r="R66" s="16" t="s">
        <v>115</v>
      </c>
      <c r="S66" s="16" t="s">
        <v>122</v>
      </c>
      <c r="T66" s="16" t="s">
        <v>122</v>
      </c>
      <c r="U66" s="16" t="s">
        <v>132</v>
      </c>
      <c r="V66" s="16" t="s">
        <v>138</v>
      </c>
      <c r="W66" s="16" t="s">
        <v>166</v>
      </c>
      <c r="X66" s="16" t="s">
        <v>279</v>
      </c>
    </row>
    <row r="67" customFormat="false" ht="15" hidden="false" customHeight="false" outlineLevel="0" collapsed="false">
      <c r="A67" s="7" t="s">
        <v>297</v>
      </c>
      <c r="B67" s="7" t="s">
        <v>165</v>
      </c>
      <c r="C67" s="16" t="s">
        <v>31</v>
      </c>
      <c r="D67" s="16" t="s">
        <v>37</v>
      </c>
      <c r="E67" s="16" t="s">
        <v>45</v>
      </c>
      <c r="F67" s="16" t="s">
        <v>49</v>
      </c>
      <c r="G67" s="16" t="s">
        <v>49</v>
      </c>
      <c r="H67" s="16" t="s">
        <v>59</v>
      </c>
      <c r="I67" s="16" t="s">
        <v>65</v>
      </c>
      <c r="J67" s="16" t="s">
        <v>70</v>
      </c>
      <c r="K67" s="16" t="s">
        <v>74</v>
      </c>
      <c r="L67" s="16" t="s">
        <v>81</v>
      </c>
      <c r="M67" s="16" t="s">
        <v>86</v>
      </c>
      <c r="N67" s="16" t="s">
        <v>92</v>
      </c>
      <c r="O67" s="16" t="s">
        <v>99</v>
      </c>
      <c r="P67" s="16" t="s">
        <v>106</v>
      </c>
      <c r="Q67" s="16" t="s">
        <v>109</v>
      </c>
      <c r="R67" s="16" t="s">
        <v>116</v>
      </c>
      <c r="S67" s="16" t="s">
        <v>122</v>
      </c>
      <c r="T67" s="16" t="s">
        <v>122</v>
      </c>
      <c r="U67" s="16" t="s">
        <v>132</v>
      </c>
      <c r="V67" s="16" t="s">
        <v>138</v>
      </c>
      <c r="W67" s="16" t="s">
        <v>166</v>
      </c>
      <c r="X67" s="16" t="s">
        <v>298</v>
      </c>
    </row>
    <row r="68" customFormat="false" ht="15" hidden="false" customHeight="false" outlineLevel="0" collapsed="false">
      <c r="A68" s="7" t="s">
        <v>299</v>
      </c>
      <c r="B68" s="7" t="s">
        <v>206</v>
      </c>
      <c r="C68" s="16" t="s">
        <v>32</v>
      </c>
      <c r="D68" s="16" t="s">
        <v>37</v>
      </c>
      <c r="E68" s="16" t="s">
        <v>44</v>
      </c>
      <c r="F68" s="16" t="s">
        <v>49</v>
      </c>
      <c r="G68" s="16" t="s">
        <v>49</v>
      </c>
      <c r="H68" s="16" t="s">
        <v>59</v>
      </c>
      <c r="I68" s="16" t="s">
        <v>65</v>
      </c>
      <c r="J68" s="16" t="s">
        <v>71</v>
      </c>
      <c r="K68" s="16" t="s">
        <v>77</v>
      </c>
      <c r="L68" s="16" t="s">
        <v>82</v>
      </c>
      <c r="M68" s="16" t="s">
        <v>87</v>
      </c>
      <c r="N68" s="16" t="s">
        <v>92</v>
      </c>
      <c r="O68" s="16" t="s">
        <v>97</v>
      </c>
      <c r="P68" s="16" t="s">
        <v>106</v>
      </c>
      <c r="Q68" s="16" t="s">
        <v>109</v>
      </c>
      <c r="R68" s="16" t="s">
        <v>118</v>
      </c>
      <c r="S68" s="16" t="s">
        <v>124</v>
      </c>
      <c r="T68" s="16" t="s">
        <v>127</v>
      </c>
      <c r="U68" s="16" t="s">
        <v>134</v>
      </c>
      <c r="V68" s="16" t="s">
        <v>138</v>
      </c>
      <c r="W68" s="16" t="s">
        <v>166</v>
      </c>
      <c r="X68" s="16" t="s">
        <v>300</v>
      </c>
    </row>
    <row r="69" customFormat="false" ht="15" hidden="false" customHeight="false" outlineLevel="0" collapsed="false">
      <c r="A69" s="7" t="s">
        <v>301</v>
      </c>
      <c r="B69" s="7" t="s">
        <v>165</v>
      </c>
      <c r="C69" s="16" t="s">
        <v>32</v>
      </c>
      <c r="D69" s="16" t="s">
        <v>37</v>
      </c>
      <c r="E69" s="16" t="s">
        <v>45</v>
      </c>
      <c r="F69" s="16" t="s">
        <v>49</v>
      </c>
      <c r="G69" s="16" t="s">
        <v>49</v>
      </c>
      <c r="H69" s="16" t="s">
        <v>59</v>
      </c>
      <c r="I69" s="16" t="s">
        <v>65</v>
      </c>
      <c r="J69" s="16" t="s">
        <v>71</v>
      </c>
      <c r="K69" s="16" t="s">
        <v>75</v>
      </c>
      <c r="L69" s="16" t="s">
        <v>80</v>
      </c>
      <c r="M69" s="16" t="s">
        <v>85</v>
      </c>
      <c r="N69" s="16" t="s">
        <v>91</v>
      </c>
      <c r="O69" s="16" t="s">
        <v>99</v>
      </c>
      <c r="P69" s="16" t="s">
        <v>105</v>
      </c>
      <c r="Q69" s="16" t="s">
        <v>109</v>
      </c>
      <c r="R69" s="16" t="s">
        <v>116</v>
      </c>
      <c r="S69" s="16" t="s">
        <v>121</v>
      </c>
      <c r="T69" s="16" t="s">
        <v>127</v>
      </c>
      <c r="U69" s="16" t="s">
        <v>132</v>
      </c>
      <c r="V69" s="16" t="s">
        <v>138</v>
      </c>
      <c r="W69" s="16" t="s">
        <v>166</v>
      </c>
      <c r="X69" s="16" t="s">
        <v>302</v>
      </c>
    </row>
    <row r="70" customFormat="false" ht="15" hidden="false" customHeight="false" outlineLevel="0" collapsed="false">
      <c r="A70" s="7" t="s">
        <v>303</v>
      </c>
      <c r="B70" s="7" t="s">
        <v>165</v>
      </c>
      <c r="C70" s="16" t="s">
        <v>31</v>
      </c>
      <c r="D70" s="16" t="s">
        <v>37</v>
      </c>
      <c r="E70" s="16" t="s">
        <v>45</v>
      </c>
      <c r="F70" s="16" t="s">
        <v>51</v>
      </c>
      <c r="G70" s="16" t="s">
        <v>49</v>
      </c>
      <c r="H70" s="16" t="s">
        <v>59</v>
      </c>
      <c r="I70" s="16" t="s">
        <v>65</v>
      </c>
      <c r="J70" s="16" t="s">
        <v>70</v>
      </c>
      <c r="K70" s="16" t="s">
        <v>73</v>
      </c>
      <c r="L70" s="16" t="s">
        <v>81</v>
      </c>
      <c r="M70" s="16" t="s">
        <v>85</v>
      </c>
      <c r="N70" s="16" t="s">
        <v>91</v>
      </c>
      <c r="O70" s="16" t="s">
        <v>99</v>
      </c>
      <c r="P70" s="16" t="s">
        <v>106</v>
      </c>
      <c r="Q70" s="16" t="s">
        <v>109</v>
      </c>
      <c r="R70" s="16" t="s">
        <v>116</v>
      </c>
      <c r="S70" s="16" t="s">
        <v>122</v>
      </c>
      <c r="T70" s="16" t="s">
        <v>127</v>
      </c>
      <c r="U70" s="16" t="s">
        <v>132</v>
      </c>
      <c r="V70" s="16" t="s">
        <v>138</v>
      </c>
      <c r="W70" s="16" t="s">
        <v>166</v>
      </c>
      <c r="X70" s="16" t="s">
        <v>304</v>
      </c>
    </row>
    <row r="71" customFormat="false" ht="15" hidden="false" customHeight="false" outlineLevel="0" collapsed="false">
      <c r="A71" s="7" t="s">
        <v>305</v>
      </c>
      <c r="B71" s="7" t="s">
        <v>165</v>
      </c>
      <c r="C71" s="16" t="s">
        <v>32</v>
      </c>
      <c r="D71" s="16" t="s">
        <v>37</v>
      </c>
      <c r="E71" s="16" t="s">
        <v>43</v>
      </c>
      <c r="F71" s="16" t="s">
        <v>49</v>
      </c>
      <c r="G71" s="16" t="s">
        <v>49</v>
      </c>
      <c r="H71" s="16" t="s">
        <v>59</v>
      </c>
      <c r="I71" s="16" t="s">
        <v>65</v>
      </c>
      <c r="J71" s="16" t="s">
        <v>70</v>
      </c>
      <c r="K71" s="16" t="s">
        <v>75</v>
      </c>
      <c r="L71" s="16" t="s">
        <v>81</v>
      </c>
      <c r="M71" s="16" t="s">
        <v>87</v>
      </c>
      <c r="N71" s="16" t="s">
        <v>91</v>
      </c>
      <c r="O71" s="16" t="s">
        <v>99</v>
      </c>
      <c r="P71" s="16" t="s">
        <v>105</v>
      </c>
      <c r="Q71" s="16" t="s">
        <v>109</v>
      </c>
      <c r="R71" s="16" t="s">
        <v>117</v>
      </c>
      <c r="S71" s="16" t="s">
        <v>123</v>
      </c>
      <c r="T71" s="16" t="s">
        <v>122</v>
      </c>
      <c r="U71" s="16" t="s">
        <v>133</v>
      </c>
      <c r="V71" s="16" t="s">
        <v>138</v>
      </c>
      <c r="W71" s="16" t="s">
        <v>166</v>
      </c>
      <c r="X71" s="16" t="s">
        <v>306</v>
      </c>
    </row>
    <row r="72" customFormat="false" ht="15" hidden="false" customHeight="false" outlineLevel="0" collapsed="false">
      <c r="A72" s="7" t="s">
        <v>307</v>
      </c>
      <c r="B72" s="7" t="s">
        <v>206</v>
      </c>
      <c r="C72" s="16" t="s">
        <v>32</v>
      </c>
      <c r="D72" s="16" t="s">
        <v>37</v>
      </c>
      <c r="E72" s="16" t="s">
        <v>44</v>
      </c>
      <c r="F72" s="16" t="s">
        <v>49</v>
      </c>
      <c r="G72" s="16" t="s">
        <v>49</v>
      </c>
      <c r="H72" s="16" t="s">
        <v>59</v>
      </c>
      <c r="I72" s="16" t="s">
        <v>65</v>
      </c>
      <c r="J72" s="16" t="s">
        <v>70</v>
      </c>
      <c r="K72" s="16" t="s">
        <v>76</v>
      </c>
      <c r="L72" s="16" t="s">
        <v>82</v>
      </c>
      <c r="M72" s="16" t="s">
        <v>87</v>
      </c>
      <c r="N72" s="16" t="s">
        <v>94</v>
      </c>
      <c r="O72" s="16" t="s">
        <v>99</v>
      </c>
      <c r="P72" s="16" t="s">
        <v>105</v>
      </c>
      <c r="Q72" s="16" t="s">
        <v>109</v>
      </c>
      <c r="R72" s="16" t="s">
        <v>116</v>
      </c>
      <c r="S72" s="16" t="s">
        <v>124</v>
      </c>
      <c r="T72" s="16" t="s">
        <v>122</v>
      </c>
      <c r="U72" s="16" t="s">
        <v>133</v>
      </c>
      <c r="V72" s="16" t="s">
        <v>141</v>
      </c>
      <c r="W72" s="16" t="s">
        <v>166</v>
      </c>
      <c r="X72" s="16" t="s">
        <v>308</v>
      </c>
    </row>
    <row r="73" customFormat="false" ht="15" hidden="false" customHeight="false" outlineLevel="0" collapsed="false">
      <c r="A73" s="7" t="s">
        <v>309</v>
      </c>
      <c r="B73" s="7" t="s">
        <v>165</v>
      </c>
      <c r="C73" s="16" t="s">
        <v>31</v>
      </c>
      <c r="D73" s="16" t="s">
        <v>37</v>
      </c>
      <c r="E73" s="16" t="s">
        <v>43</v>
      </c>
      <c r="F73" s="16" t="s">
        <v>49</v>
      </c>
      <c r="G73" s="16" t="s">
        <v>49</v>
      </c>
      <c r="H73" s="16" t="s">
        <v>59</v>
      </c>
      <c r="I73" s="16" t="s">
        <v>65</v>
      </c>
      <c r="J73" s="16" t="s">
        <v>70</v>
      </c>
      <c r="K73" s="16" t="s">
        <v>74</v>
      </c>
      <c r="L73" s="16" t="s">
        <v>79</v>
      </c>
      <c r="M73" s="16" t="s">
        <v>86</v>
      </c>
      <c r="N73" s="16" t="s">
        <v>92</v>
      </c>
      <c r="O73" s="16" t="s">
        <v>99</v>
      </c>
      <c r="P73" s="16" t="s">
        <v>105</v>
      </c>
      <c r="Q73" s="16" t="s">
        <v>109</v>
      </c>
      <c r="R73" s="16" t="s">
        <v>115</v>
      </c>
      <c r="S73" s="16" t="s">
        <v>124</v>
      </c>
      <c r="T73" s="16" t="s">
        <v>122</v>
      </c>
      <c r="U73" s="16" t="s">
        <v>133</v>
      </c>
      <c r="V73" s="16" t="s">
        <v>138</v>
      </c>
      <c r="W73" s="16" t="s">
        <v>166</v>
      </c>
      <c r="X73" s="16" t="s">
        <v>310</v>
      </c>
    </row>
    <row r="74" customFormat="false" ht="15" hidden="false" customHeight="false" outlineLevel="0" collapsed="false">
      <c r="A74" s="7" t="s">
        <v>311</v>
      </c>
      <c r="B74" s="7" t="s">
        <v>206</v>
      </c>
      <c r="C74" s="16" t="s">
        <v>32</v>
      </c>
      <c r="D74" s="16" t="s">
        <v>37</v>
      </c>
      <c r="E74" s="16" t="s">
        <v>45</v>
      </c>
      <c r="F74" s="16" t="s">
        <v>49</v>
      </c>
      <c r="G74" s="16" t="s">
        <v>49</v>
      </c>
      <c r="H74" s="16" t="s">
        <v>59</v>
      </c>
      <c r="I74" s="16" t="s">
        <v>65</v>
      </c>
      <c r="J74" s="16" t="s">
        <v>70</v>
      </c>
      <c r="K74" s="16" t="s">
        <v>76</v>
      </c>
      <c r="L74" s="16" t="s">
        <v>83</v>
      </c>
      <c r="M74" s="16" t="s">
        <v>87</v>
      </c>
      <c r="N74" s="16" t="s">
        <v>91</v>
      </c>
      <c r="O74" s="16" t="s">
        <v>99</v>
      </c>
      <c r="P74" s="16" t="s">
        <v>106</v>
      </c>
      <c r="Q74" s="16" t="s">
        <v>109</v>
      </c>
      <c r="R74" s="16" t="s">
        <v>116</v>
      </c>
      <c r="S74" s="16" t="s">
        <v>123</v>
      </c>
      <c r="T74" s="16" t="s">
        <v>127</v>
      </c>
      <c r="U74" s="16" t="s">
        <v>133</v>
      </c>
      <c r="V74" s="16" t="s">
        <v>138</v>
      </c>
      <c r="W74" s="16" t="s">
        <v>166</v>
      </c>
      <c r="X74" s="16" t="s">
        <v>312</v>
      </c>
    </row>
    <row r="75" customFormat="false" ht="15" hidden="false" customHeight="false" outlineLevel="0" collapsed="false">
      <c r="A75" s="7" t="s">
        <v>313</v>
      </c>
      <c r="B75" s="7" t="s">
        <v>165</v>
      </c>
      <c r="C75" s="16" t="s">
        <v>31</v>
      </c>
      <c r="D75" s="16" t="s">
        <v>37</v>
      </c>
      <c r="E75" s="16" t="s">
        <v>43</v>
      </c>
      <c r="F75" s="16" t="s">
        <v>49</v>
      </c>
      <c r="G75" s="16" t="s">
        <v>49</v>
      </c>
      <c r="H75" s="16" t="s">
        <v>59</v>
      </c>
      <c r="I75" s="16" t="s">
        <v>65</v>
      </c>
      <c r="J75" s="16" t="s">
        <v>71</v>
      </c>
      <c r="K75" s="16" t="s">
        <v>74</v>
      </c>
      <c r="L75" s="16" t="s">
        <v>80</v>
      </c>
      <c r="M75" s="16" t="s">
        <v>87</v>
      </c>
      <c r="N75" s="16" t="s">
        <v>91</v>
      </c>
      <c r="O75" s="16" t="s">
        <v>100</v>
      </c>
      <c r="P75" s="16" t="s">
        <v>105</v>
      </c>
      <c r="Q75" s="16" t="s">
        <v>109</v>
      </c>
      <c r="R75" s="16" t="s">
        <v>115</v>
      </c>
      <c r="S75" s="16" t="s">
        <v>121</v>
      </c>
      <c r="T75" s="16" t="s">
        <v>122</v>
      </c>
      <c r="U75" s="16" t="s">
        <v>134</v>
      </c>
      <c r="V75" s="16" t="s">
        <v>138</v>
      </c>
      <c r="W75" s="16" t="s">
        <v>166</v>
      </c>
      <c r="X75" s="16" t="s">
        <v>314</v>
      </c>
    </row>
    <row r="76" customFormat="false" ht="15" hidden="false" customHeight="false" outlineLevel="0" collapsed="false">
      <c r="A76" s="7" t="s">
        <v>315</v>
      </c>
      <c r="B76" s="7" t="s">
        <v>165</v>
      </c>
      <c r="C76" s="16" t="s">
        <v>32</v>
      </c>
      <c r="D76" s="16" t="s">
        <v>37</v>
      </c>
      <c r="E76" s="16" t="s">
        <v>45</v>
      </c>
      <c r="F76" s="16" t="s">
        <v>49</v>
      </c>
      <c r="G76" s="16" t="s">
        <v>49</v>
      </c>
      <c r="H76" s="16" t="s">
        <v>59</v>
      </c>
      <c r="I76" s="16" t="s">
        <v>65</v>
      </c>
      <c r="J76" s="16" t="s">
        <v>70</v>
      </c>
      <c r="K76" s="16" t="s">
        <v>75</v>
      </c>
      <c r="L76" s="16" t="s">
        <v>80</v>
      </c>
      <c r="M76" s="16" t="s">
        <v>87</v>
      </c>
      <c r="N76" s="16" t="s">
        <v>91</v>
      </c>
      <c r="O76" s="16" t="s">
        <v>99</v>
      </c>
      <c r="P76" s="16" t="s">
        <v>105</v>
      </c>
      <c r="Q76" s="16" t="s">
        <v>111</v>
      </c>
      <c r="R76" s="16" t="s">
        <v>115</v>
      </c>
      <c r="S76" s="16" t="s">
        <v>122</v>
      </c>
      <c r="T76" s="16" t="s">
        <v>127</v>
      </c>
      <c r="U76" s="16" t="s">
        <v>133</v>
      </c>
      <c r="V76" s="16" t="s">
        <v>138</v>
      </c>
      <c r="W76" s="16" t="s">
        <v>166</v>
      </c>
      <c r="X76" s="16" t="s">
        <v>316</v>
      </c>
    </row>
    <row r="77" customFormat="false" ht="15" hidden="false" customHeight="false" outlineLevel="0" collapsed="false">
      <c r="A77" s="7" t="s">
        <v>317</v>
      </c>
      <c r="B77" s="7" t="s">
        <v>165</v>
      </c>
      <c r="C77" s="16" t="s">
        <v>31</v>
      </c>
      <c r="D77" s="16" t="s">
        <v>37</v>
      </c>
      <c r="E77" s="16" t="s">
        <v>43</v>
      </c>
      <c r="F77" s="16" t="s">
        <v>49</v>
      </c>
      <c r="G77" s="16" t="s">
        <v>49</v>
      </c>
      <c r="H77" s="16" t="s">
        <v>59</v>
      </c>
      <c r="I77" s="16" t="s">
        <v>65</v>
      </c>
      <c r="J77" s="16" t="s">
        <v>71</v>
      </c>
      <c r="K77" s="16" t="s">
        <v>73</v>
      </c>
      <c r="L77" s="16" t="s">
        <v>80</v>
      </c>
      <c r="M77" s="16" t="s">
        <v>85</v>
      </c>
      <c r="N77" s="16" t="s">
        <v>91</v>
      </c>
      <c r="O77" s="16" t="s">
        <v>100</v>
      </c>
      <c r="P77" s="16" t="s">
        <v>105</v>
      </c>
      <c r="Q77" s="16" t="s">
        <v>109</v>
      </c>
      <c r="R77" s="16" t="s">
        <v>115</v>
      </c>
      <c r="S77" s="16" t="s">
        <v>122</v>
      </c>
      <c r="T77" s="16" t="s">
        <v>127</v>
      </c>
      <c r="U77" s="16" t="s">
        <v>132</v>
      </c>
      <c r="V77" s="16" t="s">
        <v>138</v>
      </c>
      <c r="W77" s="16" t="s">
        <v>166</v>
      </c>
      <c r="X77" s="16" t="s">
        <v>318</v>
      </c>
    </row>
    <row r="78" customFormat="false" ht="15" hidden="false" customHeight="false" outlineLevel="0" collapsed="false">
      <c r="A78" s="7" t="s">
        <v>319</v>
      </c>
      <c r="B78" s="7" t="s">
        <v>193</v>
      </c>
      <c r="C78" s="16" t="s">
        <v>33</v>
      </c>
      <c r="D78" s="16" t="s">
        <v>39</v>
      </c>
      <c r="E78" s="16" t="s">
        <v>44</v>
      </c>
      <c r="F78" s="16" t="s">
        <v>49</v>
      </c>
      <c r="G78" s="16" t="s">
        <v>49</v>
      </c>
      <c r="H78" s="16" t="s">
        <v>59</v>
      </c>
      <c r="I78" s="16" t="s">
        <v>66</v>
      </c>
      <c r="J78" s="16" t="s">
        <v>71</v>
      </c>
      <c r="K78" s="16" t="s">
        <v>77</v>
      </c>
      <c r="L78" s="16" t="s">
        <v>81</v>
      </c>
      <c r="M78" s="16" t="s">
        <v>87</v>
      </c>
      <c r="N78" s="16" t="s">
        <v>93</v>
      </c>
      <c r="O78" s="16" t="s">
        <v>99</v>
      </c>
      <c r="P78" s="16" t="s">
        <v>105</v>
      </c>
      <c r="Q78" s="16" t="s">
        <v>109</v>
      </c>
      <c r="R78" s="16" t="s">
        <v>116</v>
      </c>
      <c r="S78" s="16" t="s">
        <v>121</v>
      </c>
      <c r="T78" s="16" t="s">
        <v>122</v>
      </c>
      <c r="U78" s="16" t="s">
        <v>134</v>
      </c>
      <c r="V78" s="16" t="s">
        <v>139</v>
      </c>
      <c r="W78" s="16" t="s">
        <v>166</v>
      </c>
      <c r="X78" s="16" t="s">
        <v>320</v>
      </c>
    </row>
    <row r="79" customFormat="false" ht="15" hidden="false" customHeight="false" outlineLevel="0" collapsed="false">
      <c r="A79" s="7" t="s">
        <v>321</v>
      </c>
      <c r="B79" s="7" t="s">
        <v>193</v>
      </c>
      <c r="C79" s="16" t="s">
        <v>34</v>
      </c>
      <c r="D79" s="16" t="s">
        <v>39</v>
      </c>
      <c r="E79" s="16" t="s">
        <v>45</v>
      </c>
      <c r="F79" s="16" t="s">
        <v>52</v>
      </c>
      <c r="G79" s="16" t="s">
        <v>49</v>
      </c>
      <c r="H79" s="16" t="s">
        <v>59</v>
      </c>
      <c r="I79" s="16" t="s">
        <v>65</v>
      </c>
      <c r="J79" s="16" t="s">
        <v>70</v>
      </c>
      <c r="K79" s="16" t="s">
        <v>76</v>
      </c>
      <c r="L79" s="16" t="s">
        <v>83</v>
      </c>
      <c r="M79" s="16" t="s">
        <v>86</v>
      </c>
      <c r="N79" s="16" t="s">
        <v>95</v>
      </c>
      <c r="O79" s="16" t="s">
        <v>98</v>
      </c>
      <c r="P79" s="16" t="s">
        <v>105</v>
      </c>
      <c r="Q79" s="16" t="s">
        <v>109</v>
      </c>
      <c r="R79" s="16" t="s">
        <v>117</v>
      </c>
      <c r="S79" s="16" t="s">
        <v>123</v>
      </c>
      <c r="T79" s="16" t="s">
        <v>127</v>
      </c>
      <c r="U79" s="16" t="s">
        <v>133</v>
      </c>
      <c r="V79" s="16" t="s">
        <v>138</v>
      </c>
      <c r="W79" s="16" t="s">
        <v>166</v>
      </c>
      <c r="X79" s="16" t="s">
        <v>322</v>
      </c>
    </row>
    <row r="80" customFormat="false" ht="15" hidden="false" customHeight="false" outlineLevel="0" collapsed="false">
      <c r="A80" s="7" t="s">
        <v>323</v>
      </c>
      <c r="B80" s="7" t="s">
        <v>165</v>
      </c>
      <c r="C80" s="16" t="s">
        <v>31</v>
      </c>
      <c r="D80" s="16" t="s">
        <v>37</v>
      </c>
      <c r="E80" s="16" t="s">
        <v>43</v>
      </c>
      <c r="F80" s="16" t="s">
        <v>49</v>
      </c>
      <c r="G80" s="16" t="s">
        <v>49</v>
      </c>
      <c r="H80" s="16" t="s">
        <v>59</v>
      </c>
      <c r="I80" s="16" t="s">
        <v>65</v>
      </c>
      <c r="J80" s="16" t="s">
        <v>70</v>
      </c>
      <c r="K80" s="16" t="s">
        <v>74</v>
      </c>
      <c r="L80" s="16" t="s">
        <v>81</v>
      </c>
      <c r="M80" s="16" t="s">
        <v>87</v>
      </c>
      <c r="N80" s="16" t="s">
        <v>92</v>
      </c>
      <c r="O80" s="16" t="s">
        <v>99</v>
      </c>
      <c r="P80" s="16" t="s">
        <v>105</v>
      </c>
      <c r="Q80" s="16" t="s">
        <v>110</v>
      </c>
      <c r="R80" s="16" t="s">
        <v>115</v>
      </c>
      <c r="S80" s="16" t="s">
        <v>122</v>
      </c>
      <c r="T80" s="16" t="s">
        <v>127</v>
      </c>
      <c r="U80" s="16" t="s">
        <v>136</v>
      </c>
      <c r="V80" s="16" t="s">
        <v>138</v>
      </c>
      <c r="W80" s="16" t="s">
        <v>166</v>
      </c>
      <c r="X80" s="16" t="s">
        <v>324</v>
      </c>
    </row>
    <row r="81" customFormat="false" ht="15" hidden="false" customHeight="false" outlineLevel="0" collapsed="false">
      <c r="A81" s="7" t="s">
        <v>325</v>
      </c>
      <c r="B81" s="7" t="s">
        <v>165</v>
      </c>
      <c r="C81" s="16" t="s">
        <v>31</v>
      </c>
      <c r="D81" s="16" t="s">
        <v>37</v>
      </c>
      <c r="E81" s="16" t="s">
        <v>43</v>
      </c>
      <c r="F81" s="16" t="s">
        <v>49</v>
      </c>
      <c r="G81" s="16" t="s">
        <v>49</v>
      </c>
      <c r="H81" s="16" t="s">
        <v>59</v>
      </c>
      <c r="I81" s="16" t="s">
        <v>66</v>
      </c>
      <c r="J81" s="16" t="s">
        <v>70</v>
      </c>
      <c r="K81" s="16" t="s">
        <v>73</v>
      </c>
      <c r="L81" s="16" t="s">
        <v>80</v>
      </c>
      <c r="M81" s="16" t="s">
        <v>86</v>
      </c>
      <c r="N81" s="16" t="s">
        <v>92</v>
      </c>
      <c r="O81" s="16" t="s">
        <v>100</v>
      </c>
      <c r="P81" s="16" t="s">
        <v>105</v>
      </c>
      <c r="Q81" s="16" t="s">
        <v>109</v>
      </c>
      <c r="R81" s="16" t="s">
        <v>115</v>
      </c>
      <c r="S81" s="16" t="s">
        <v>122</v>
      </c>
      <c r="T81" s="16" t="s">
        <v>129</v>
      </c>
      <c r="U81" s="16" t="s">
        <v>136</v>
      </c>
      <c r="V81" s="16" t="s">
        <v>138</v>
      </c>
      <c r="W81" s="16" t="s">
        <v>166</v>
      </c>
      <c r="X81" s="16" t="s">
        <v>251</v>
      </c>
    </row>
    <row r="82" customFormat="false" ht="15" hidden="false" customHeight="false" outlineLevel="0" collapsed="false">
      <c r="A82" s="7" t="s">
        <v>326</v>
      </c>
      <c r="B82" s="7" t="s">
        <v>165</v>
      </c>
      <c r="C82" s="16" t="s">
        <v>31</v>
      </c>
      <c r="D82" s="16" t="s">
        <v>37</v>
      </c>
      <c r="E82" s="16" t="s">
        <v>43</v>
      </c>
      <c r="F82" s="16" t="s">
        <v>49</v>
      </c>
      <c r="G82" s="16" t="s">
        <v>49</v>
      </c>
      <c r="H82" s="16" t="s">
        <v>59</v>
      </c>
      <c r="I82" s="16" t="s">
        <v>65</v>
      </c>
      <c r="J82" s="16" t="s">
        <v>71</v>
      </c>
      <c r="K82" s="16" t="s">
        <v>73</v>
      </c>
      <c r="L82" s="16" t="s">
        <v>81</v>
      </c>
      <c r="M82" s="16" t="s">
        <v>86</v>
      </c>
      <c r="N82" s="16" t="s">
        <v>91</v>
      </c>
      <c r="O82" s="16" t="s">
        <v>99</v>
      </c>
      <c r="P82" s="16" t="s">
        <v>105</v>
      </c>
      <c r="Q82" s="16" t="s">
        <v>109</v>
      </c>
      <c r="R82" s="16" t="s">
        <v>116</v>
      </c>
      <c r="S82" s="16" t="s">
        <v>122</v>
      </c>
      <c r="T82" s="16" t="s">
        <v>127</v>
      </c>
      <c r="U82" s="16" t="s">
        <v>132</v>
      </c>
      <c r="V82" s="16" t="s">
        <v>138</v>
      </c>
      <c r="W82" s="16" t="s">
        <v>166</v>
      </c>
      <c r="X82" s="16" t="s">
        <v>327</v>
      </c>
    </row>
    <row r="83" customFormat="false" ht="15" hidden="false" customHeight="false" outlineLevel="0" collapsed="false">
      <c r="A83" s="7" t="s">
        <v>328</v>
      </c>
      <c r="B83" s="7" t="s">
        <v>165</v>
      </c>
      <c r="C83" s="16" t="s">
        <v>32</v>
      </c>
      <c r="D83" s="16" t="s">
        <v>37</v>
      </c>
      <c r="E83" s="16" t="s">
        <v>43</v>
      </c>
      <c r="F83" s="16" t="s">
        <v>49</v>
      </c>
      <c r="G83" s="16" t="s">
        <v>49</v>
      </c>
      <c r="H83" s="16" t="s">
        <v>59</v>
      </c>
      <c r="I83" s="16" t="s">
        <v>65</v>
      </c>
      <c r="J83" s="16" t="s">
        <v>71</v>
      </c>
      <c r="K83" s="16" t="s">
        <v>73</v>
      </c>
      <c r="L83" s="16" t="s">
        <v>80</v>
      </c>
      <c r="M83" s="16" t="s">
        <v>86</v>
      </c>
      <c r="N83" s="16" t="s">
        <v>93</v>
      </c>
      <c r="O83" s="16" t="s">
        <v>100</v>
      </c>
      <c r="P83" s="16" t="s">
        <v>105</v>
      </c>
      <c r="Q83" s="16" t="s">
        <v>109</v>
      </c>
      <c r="R83" s="16" t="s">
        <v>115</v>
      </c>
      <c r="S83" s="16" t="s">
        <v>123</v>
      </c>
      <c r="T83" s="16" t="s">
        <v>127</v>
      </c>
      <c r="U83" s="16" t="s">
        <v>132</v>
      </c>
      <c r="V83" s="16" t="s">
        <v>141</v>
      </c>
      <c r="W83" s="16" t="s">
        <v>166</v>
      </c>
      <c r="X83" s="16" t="s">
        <v>329</v>
      </c>
    </row>
    <row r="84" customFormat="false" ht="15" hidden="false" customHeight="false" outlineLevel="0" collapsed="false">
      <c r="A84" s="7" t="s">
        <v>330</v>
      </c>
      <c r="B84" s="7" t="s">
        <v>165</v>
      </c>
      <c r="C84" s="16" t="s">
        <v>31</v>
      </c>
      <c r="D84" s="16" t="s">
        <v>37</v>
      </c>
      <c r="E84" s="16" t="s">
        <v>45</v>
      </c>
      <c r="F84" s="16" t="s">
        <v>49</v>
      </c>
      <c r="G84" s="16" t="s">
        <v>49</v>
      </c>
      <c r="H84" s="16" t="s">
        <v>59</v>
      </c>
      <c r="I84" s="16" t="s">
        <v>66</v>
      </c>
      <c r="J84" s="16" t="s">
        <v>70</v>
      </c>
      <c r="K84" s="16" t="s">
        <v>73</v>
      </c>
      <c r="L84" s="16" t="s">
        <v>80</v>
      </c>
      <c r="M84" s="16" t="s">
        <v>87</v>
      </c>
      <c r="N84" s="16" t="s">
        <v>91</v>
      </c>
      <c r="O84" s="16" t="s">
        <v>100</v>
      </c>
      <c r="P84" s="16" t="s">
        <v>106</v>
      </c>
      <c r="Q84" s="16" t="s">
        <v>109</v>
      </c>
      <c r="R84" s="16" t="s">
        <v>115</v>
      </c>
      <c r="S84" s="16" t="s">
        <v>122</v>
      </c>
      <c r="T84" s="16" t="s">
        <v>127</v>
      </c>
      <c r="U84" s="16" t="s">
        <v>132</v>
      </c>
      <c r="V84" s="16" t="s">
        <v>138</v>
      </c>
      <c r="W84" s="16" t="s">
        <v>166</v>
      </c>
      <c r="X84" s="16" t="s">
        <v>331</v>
      </c>
    </row>
    <row r="85" customFormat="false" ht="15" hidden="false" customHeight="false" outlineLevel="0" collapsed="false">
      <c r="A85" s="7" t="s">
        <v>332</v>
      </c>
      <c r="B85" s="7" t="s">
        <v>206</v>
      </c>
      <c r="C85" s="16" t="s">
        <v>32</v>
      </c>
      <c r="D85" s="16" t="s">
        <v>37</v>
      </c>
      <c r="E85" s="16" t="s">
        <v>45</v>
      </c>
      <c r="F85" s="16" t="s">
        <v>49</v>
      </c>
      <c r="G85" s="16" t="s">
        <v>49</v>
      </c>
      <c r="H85" s="16" t="s">
        <v>59</v>
      </c>
      <c r="I85" s="16" t="s">
        <v>65</v>
      </c>
      <c r="J85" s="16" t="s">
        <v>70</v>
      </c>
      <c r="K85" s="16" t="s">
        <v>76</v>
      </c>
      <c r="L85" s="16" t="s">
        <v>81</v>
      </c>
      <c r="M85" s="16" t="s">
        <v>85</v>
      </c>
      <c r="N85" s="16" t="s">
        <v>93</v>
      </c>
      <c r="O85" s="16" t="s">
        <v>97</v>
      </c>
      <c r="P85" s="16" t="s">
        <v>105</v>
      </c>
      <c r="Q85" s="16" t="s">
        <v>109</v>
      </c>
      <c r="R85" s="16" t="s">
        <v>116</v>
      </c>
      <c r="S85" s="16" t="s">
        <v>124</v>
      </c>
      <c r="T85" s="16" t="s">
        <v>127</v>
      </c>
      <c r="U85" s="16" t="s">
        <v>134</v>
      </c>
      <c r="V85" s="16" t="s">
        <v>138</v>
      </c>
      <c r="W85" s="16" t="s">
        <v>166</v>
      </c>
      <c r="X85" s="16" t="s">
        <v>333</v>
      </c>
    </row>
    <row r="86" customFormat="false" ht="15" hidden="false" customHeight="false" outlineLevel="0" collapsed="false">
      <c r="A86" s="7" t="s">
        <v>334</v>
      </c>
      <c r="B86" s="7" t="s">
        <v>165</v>
      </c>
      <c r="C86" s="16" t="s">
        <v>31</v>
      </c>
      <c r="D86" s="16" t="s">
        <v>37</v>
      </c>
      <c r="E86" s="16" t="s">
        <v>43</v>
      </c>
      <c r="F86" s="16" t="s">
        <v>49</v>
      </c>
      <c r="G86" s="16" t="s">
        <v>49</v>
      </c>
      <c r="H86" s="16" t="s">
        <v>59</v>
      </c>
      <c r="I86" s="16" t="s">
        <v>65</v>
      </c>
      <c r="J86" s="16" t="s">
        <v>70</v>
      </c>
      <c r="K86" s="16" t="s">
        <v>74</v>
      </c>
      <c r="L86" s="16" t="s">
        <v>80</v>
      </c>
      <c r="M86" s="16" t="s">
        <v>85</v>
      </c>
      <c r="N86" s="16" t="s">
        <v>92</v>
      </c>
      <c r="O86" s="16" t="s">
        <v>100</v>
      </c>
      <c r="P86" s="16" t="s">
        <v>106</v>
      </c>
      <c r="Q86" s="16" t="s">
        <v>111</v>
      </c>
      <c r="R86" s="16" t="s">
        <v>115</v>
      </c>
      <c r="S86" s="16" t="s">
        <v>122</v>
      </c>
      <c r="T86" s="16" t="s">
        <v>127</v>
      </c>
      <c r="U86" s="16" t="s">
        <v>132</v>
      </c>
      <c r="V86" s="16" t="s">
        <v>138</v>
      </c>
      <c r="W86" s="16" t="s">
        <v>166</v>
      </c>
      <c r="X86" s="16" t="s">
        <v>335</v>
      </c>
    </row>
    <row r="87" customFormat="false" ht="15" hidden="false" customHeight="false" outlineLevel="0" collapsed="false">
      <c r="A87" s="7" t="s">
        <v>336</v>
      </c>
      <c r="B87" s="7" t="s">
        <v>165</v>
      </c>
      <c r="C87" s="16" t="s">
        <v>31</v>
      </c>
      <c r="D87" s="16" t="s">
        <v>37</v>
      </c>
      <c r="E87" s="16" t="s">
        <v>45</v>
      </c>
      <c r="F87" s="16" t="s">
        <v>49</v>
      </c>
      <c r="G87" s="16" t="s">
        <v>49</v>
      </c>
      <c r="H87" s="16" t="s">
        <v>59</v>
      </c>
      <c r="I87" s="16" t="s">
        <v>66</v>
      </c>
      <c r="J87" s="16" t="s">
        <v>70</v>
      </c>
      <c r="K87" s="16" t="s">
        <v>74</v>
      </c>
      <c r="L87" s="16" t="s">
        <v>81</v>
      </c>
      <c r="M87" s="16" t="s">
        <v>87</v>
      </c>
      <c r="N87" s="16" t="s">
        <v>91</v>
      </c>
      <c r="O87" s="16" t="s">
        <v>99</v>
      </c>
      <c r="P87" s="16" t="s">
        <v>107</v>
      </c>
      <c r="Q87" s="16" t="s">
        <v>109</v>
      </c>
      <c r="R87" s="16" t="s">
        <v>116</v>
      </c>
      <c r="S87" s="16" t="s">
        <v>121</v>
      </c>
      <c r="T87" s="16" t="s">
        <v>122</v>
      </c>
      <c r="U87" s="16" t="s">
        <v>132</v>
      </c>
      <c r="V87" s="16" t="s">
        <v>139</v>
      </c>
      <c r="W87" s="16" t="s">
        <v>166</v>
      </c>
      <c r="X87" s="16" t="s">
        <v>337</v>
      </c>
    </row>
    <row r="88" customFormat="false" ht="15" hidden="false" customHeight="false" outlineLevel="0" collapsed="false">
      <c r="A88" s="7" t="s">
        <v>338</v>
      </c>
      <c r="B88" s="7" t="s">
        <v>165</v>
      </c>
      <c r="C88" s="16" t="s">
        <v>31</v>
      </c>
      <c r="D88" s="16" t="s">
        <v>37</v>
      </c>
      <c r="E88" s="16" t="s">
        <v>43</v>
      </c>
      <c r="F88" s="16" t="s">
        <v>49</v>
      </c>
      <c r="G88" s="16" t="s">
        <v>49</v>
      </c>
      <c r="H88" s="16" t="s">
        <v>59</v>
      </c>
      <c r="I88" s="16" t="s">
        <v>65</v>
      </c>
      <c r="J88" s="16" t="s">
        <v>70</v>
      </c>
      <c r="K88" s="16" t="s">
        <v>74</v>
      </c>
      <c r="L88" s="16" t="s">
        <v>81</v>
      </c>
      <c r="M88" s="16" t="s">
        <v>86</v>
      </c>
      <c r="N88" s="16" t="s">
        <v>91</v>
      </c>
      <c r="O88" s="16" t="s">
        <v>99</v>
      </c>
      <c r="P88" s="16" t="s">
        <v>105</v>
      </c>
      <c r="Q88" s="16" t="s">
        <v>109</v>
      </c>
      <c r="R88" s="16" t="s">
        <v>115</v>
      </c>
      <c r="S88" s="16" t="s">
        <v>123</v>
      </c>
      <c r="T88" s="16" t="s">
        <v>127</v>
      </c>
      <c r="U88" s="16" t="s">
        <v>133</v>
      </c>
      <c r="V88" s="16" t="s">
        <v>138</v>
      </c>
      <c r="W88" s="16" t="s">
        <v>166</v>
      </c>
      <c r="X88" s="16" t="s">
        <v>339</v>
      </c>
    </row>
    <row r="89" customFormat="false" ht="15" hidden="false" customHeight="false" outlineLevel="0" collapsed="false">
      <c r="A89" s="7" t="s">
        <v>340</v>
      </c>
      <c r="B89" s="7" t="s">
        <v>165</v>
      </c>
      <c r="C89" s="16" t="s">
        <v>31</v>
      </c>
      <c r="D89" s="16" t="s">
        <v>37</v>
      </c>
      <c r="E89" s="16" t="s">
        <v>43</v>
      </c>
      <c r="F89" s="16" t="s">
        <v>49</v>
      </c>
      <c r="G89" s="16" t="s">
        <v>49</v>
      </c>
      <c r="H89" s="16" t="s">
        <v>59</v>
      </c>
      <c r="I89" s="16" t="s">
        <v>65</v>
      </c>
      <c r="J89" s="16" t="s">
        <v>70</v>
      </c>
      <c r="K89" s="16" t="s">
        <v>74</v>
      </c>
      <c r="L89" s="16" t="s">
        <v>79</v>
      </c>
      <c r="M89" s="16" t="s">
        <v>88</v>
      </c>
      <c r="N89" s="16" t="s">
        <v>91</v>
      </c>
      <c r="O89" s="16" t="s">
        <v>99</v>
      </c>
      <c r="P89" s="16" t="s">
        <v>105</v>
      </c>
      <c r="Q89" s="16" t="s">
        <v>109</v>
      </c>
      <c r="R89" s="16" t="s">
        <v>115</v>
      </c>
      <c r="S89" s="16" t="s">
        <v>122</v>
      </c>
      <c r="T89" s="16" t="s">
        <v>127</v>
      </c>
      <c r="U89" s="16" t="s">
        <v>132</v>
      </c>
      <c r="V89" s="16" t="s">
        <v>138</v>
      </c>
      <c r="W89" s="16" t="s">
        <v>166</v>
      </c>
      <c r="X89" s="16" t="s">
        <v>341</v>
      </c>
    </row>
    <row r="90" customFormat="false" ht="15" hidden="false" customHeight="false" outlineLevel="0" collapsed="false">
      <c r="A90" s="7" t="s">
        <v>342</v>
      </c>
      <c r="B90" s="7" t="s">
        <v>165</v>
      </c>
      <c r="C90" s="16" t="s">
        <v>31</v>
      </c>
      <c r="D90" s="16" t="s">
        <v>37</v>
      </c>
      <c r="E90" s="16" t="s">
        <v>43</v>
      </c>
      <c r="F90" s="16" t="s">
        <v>49</v>
      </c>
      <c r="G90" s="16" t="s">
        <v>49</v>
      </c>
      <c r="H90" s="16" t="s">
        <v>59</v>
      </c>
      <c r="I90" s="16" t="s">
        <v>65</v>
      </c>
      <c r="J90" s="16" t="s">
        <v>71</v>
      </c>
      <c r="K90" s="16" t="s">
        <v>75</v>
      </c>
      <c r="L90" s="16" t="s">
        <v>81</v>
      </c>
      <c r="M90" s="16" t="s">
        <v>85</v>
      </c>
      <c r="N90" s="16" t="s">
        <v>91</v>
      </c>
      <c r="O90" s="16" t="s">
        <v>97</v>
      </c>
      <c r="P90" s="16" t="s">
        <v>103</v>
      </c>
      <c r="Q90" s="16" t="s">
        <v>111</v>
      </c>
      <c r="R90" s="16" t="s">
        <v>115</v>
      </c>
      <c r="S90" s="16" t="s">
        <v>121</v>
      </c>
      <c r="T90" s="16" t="s">
        <v>122</v>
      </c>
      <c r="U90" s="16" t="s">
        <v>132</v>
      </c>
      <c r="V90" s="16" t="s">
        <v>138</v>
      </c>
      <c r="W90" s="16" t="s">
        <v>166</v>
      </c>
      <c r="X90" s="16" t="s">
        <v>343</v>
      </c>
    </row>
    <row r="91" customFormat="false" ht="15" hidden="false" customHeight="false" outlineLevel="0" collapsed="false">
      <c r="A91" s="7" t="s">
        <v>344</v>
      </c>
      <c r="B91" s="7" t="s">
        <v>165</v>
      </c>
      <c r="C91" s="16" t="s">
        <v>32</v>
      </c>
      <c r="D91" s="16" t="s">
        <v>37</v>
      </c>
      <c r="E91" s="16" t="s">
        <v>45</v>
      </c>
      <c r="F91" s="16" t="s">
        <v>49</v>
      </c>
      <c r="G91" s="16" t="s">
        <v>49</v>
      </c>
      <c r="H91" s="16" t="s">
        <v>59</v>
      </c>
      <c r="I91" s="16" t="s">
        <v>65</v>
      </c>
      <c r="J91" s="16" t="s">
        <v>70</v>
      </c>
      <c r="K91" s="16" t="s">
        <v>73</v>
      </c>
      <c r="L91" s="16" t="s">
        <v>80</v>
      </c>
      <c r="M91" s="16" t="s">
        <v>85</v>
      </c>
      <c r="N91" s="16" t="s">
        <v>91</v>
      </c>
      <c r="O91" s="16" t="s">
        <v>99</v>
      </c>
      <c r="P91" s="16" t="s">
        <v>105</v>
      </c>
      <c r="Q91" s="16" t="s">
        <v>109</v>
      </c>
      <c r="R91" s="16" t="s">
        <v>118</v>
      </c>
      <c r="S91" s="16" t="s">
        <v>122</v>
      </c>
      <c r="T91" s="16" t="s">
        <v>127</v>
      </c>
      <c r="U91" s="16" t="s">
        <v>133</v>
      </c>
      <c r="V91" s="16" t="s">
        <v>138</v>
      </c>
      <c r="W91" s="16" t="s">
        <v>166</v>
      </c>
      <c r="X91" s="16" t="s">
        <v>345</v>
      </c>
    </row>
    <row r="92" customFormat="false" ht="15" hidden="false" customHeight="false" outlineLevel="0" collapsed="false">
      <c r="A92" s="7" t="s">
        <v>346</v>
      </c>
      <c r="B92" s="7" t="s">
        <v>165</v>
      </c>
      <c r="C92" s="16" t="s">
        <v>32</v>
      </c>
      <c r="D92" s="16" t="s">
        <v>37</v>
      </c>
      <c r="E92" s="16" t="s">
        <v>43</v>
      </c>
      <c r="F92" s="16" t="s">
        <v>49</v>
      </c>
      <c r="G92" s="16" t="s">
        <v>49</v>
      </c>
      <c r="H92" s="16" t="s">
        <v>59</v>
      </c>
      <c r="I92" s="16" t="s">
        <v>65</v>
      </c>
      <c r="J92" s="16" t="s">
        <v>70</v>
      </c>
      <c r="K92" s="16" t="s">
        <v>74</v>
      </c>
      <c r="L92" s="16" t="s">
        <v>80</v>
      </c>
      <c r="M92" s="16" t="s">
        <v>85</v>
      </c>
      <c r="N92" s="16" t="s">
        <v>93</v>
      </c>
      <c r="O92" s="16" t="s">
        <v>99</v>
      </c>
      <c r="P92" s="16" t="s">
        <v>106</v>
      </c>
      <c r="Q92" s="16" t="s">
        <v>111</v>
      </c>
      <c r="R92" s="16" t="s">
        <v>116</v>
      </c>
      <c r="S92" s="16" t="s">
        <v>122</v>
      </c>
      <c r="T92" s="16" t="s">
        <v>127</v>
      </c>
      <c r="U92" s="16" t="s">
        <v>132</v>
      </c>
      <c r="V92" s="16" t="s">
        <v>138</v>
      </c>
      <c r="W92" s="16" t="s">
        <v>166</v>
      </c>
      <c r="X92" s="16" t="s">
        <v>347</v>
      </c>
    </row>
    <row r="93" customFormat="false" ht="15" hidden="false" customHeight="false" outlineLevel="0" collapsed="false">
      <c r="A93" s="7" t="s">
        <v>348</v>
      </c>
      <c r="B93" s="7" t="s">
        <v>193</v>
      </c>
      <c r="C93" s="16" t="s">
        <v>33</v>
      </c>
      <c r="D93" s="16" t="s">
        <v>39</v>
      </c>
      <c r="E93" s="16" t="s">
        <v>47</v>
      </c>
      <c r="F93" s="16" t="s">
        <v>49</v>
      </c>
      <c r="G93" s="16" t="s">
        <v>49</v>
      </c>
      <c r="H93" s="16" t="s">
        <v>59</v>
      </c>
      <c r="I93" s="16" t="s">
        <v>65</v>
      </c>
      <c r="J93" s="16" t="s">
        <v>70</v>
      </c>
      <c r="K93" s="16" t="s">
        <v>76</v>
      </c>
      <c r="L93" s="16" t="s">
        <v>83</v>
      </c>
      <c r="M93" s="16" t="s">
        <v>88</v>
      </c>
      <c r="N93" s="16" t="s">
        <v>95</v>
      </c>
      <c r="O93" s="16" t="s">
        <v>100</v>
      </c>
      <c r="P93" s="16" t="s">
        <v>103</v>
      </c>
      <c r="Q93" s="16" t="s">
        <v>112</v>
      </c>
      <c r="R93" s="16" t="s">
        <v>117</v>
      </c>
      <c r="S93" s="16" t="s">
        <v>123</v>
      </c>
      <c r="T93" s="16" t="s">
        <v>127</v>
      </c>
      <c r="U93" s="16" t="s">
        <v>133</v>
      </c>
      <c r="V93" s="16" t="s">
        <v>138</v>
      </c>
      <c r="W93" s="16" t="s">
        <v>166</v>
      </c>
      <c r="X93" s="16" t="s">
        <v>349</v>
      </c>
    </row>
    <row r="94" customFormat="false" ht="15" hidden="false" customHeight="false" outlineLevel="0" collapsed="false">
      <c r="A94" s="7" t="s">
        <v>350</v>
      </c>
      <c r="B94" s="7" t="s">
        <v>165</v>
      </c>
      <c r="C94" s="16" t="s">
        <v>31</v>
      </c>
      <c r="D94" s="16" t="s">
        <v>37</v>
      </c>
      <c r="E94" s="16" t="s">
        <v>43</v>
      </c>
      <c r="F94" s="16" t="s">
        <v>49</v>
      </c>
      <c r="G94" s="16" t="s">
        <v>49</v>
      </c>
      <c r="H94" s="16" t="s">
        <v>59</v>
      </c>
      <c r="I94" s="16" t="s">
        <v>65</v>
      </c>
      <c r="J94" s="16" t="s">
        <v>71</v>
      </c>
      <c r="K94" s="16" t="s">
        <v>75</v>
      </c>
      <c r="L94" s="16" t="s">
        <v>81</v>
      </c>
      <c r="M94" s="16" t="s">
        <v>86</v>
      </c>
      <c r="N94" s="16" t="s">
        <v>91</v>
      </c>
      <c r="O94" s="16" t="s">
        <v>99</v>
      </c>
      <c r="P94" s="16" t="s">
        <v>106</v>
      </c>
      <c r="Q94" s="16" t="s">
        <v>109</v>
      </c>
      <c r="R94" s="16" t="s">
        <v>116</v>
      </c>
      <c r="S94" s="16" t="s">
        <v>121</v>
      </c>
      <c r="T94" s="16" t="s">
        <v>127</v>
      </c>
      <c r="U94" s="16" t="s">
        <v>133</v>
      </c>
      <c r="V94" s="16" t="s">
        <v>138</v>
      </c>
      <c r="W94" s="16" t="s">
        <v>211</v>
      </c>
      <c r="X94" s="16" t="s">
        <v>351</v>
      </c>
    </row>
    <row r="95" customFormat="false" ht="15" hidden="false" customHeight="false" outlineLevel="0" collapsed="false">
      <c r="A95" s="7" t="s">
        <v>352</v>
      </c>
      <c r="B95" s="7" t="s">
        <v>165</v>
      </c>
      <c r="C95" s="16" t="s">
        <v>31</v>
      </c>
      <c r="D95" s="16" t="s">
        <v>37</v>
      </c>
      <c r="E95" s="16" t="s">
        <v>44</v>
      </c>
      <c r="F95" s="16" t="s">
        <v>49</v>
      </c>
      <c r="G95" s="16" t="s">
        <v>49</v>
      </c>
      <c r="H95" s="16" t="s">
        <v>59</v>
      </c>
      <c r="I95" s="16" t="s">
        <v>65</v>
      </c>
      <c r="J95" s="16" t="s">
        <v>70</v>
      </c>
      <c r="K95" s="16" t="s">
        <v>74</v>
      </c>
      <c r="L95" s="16" t="s">
        <v>80</v>
      </c>
      <c r="M95" s="16" t="s">
        <v>86</v>
      </c>
      <c r="N95" s="16" t="s">
        <v>91</v>
      </c>
      <c r="O95" s="16" t="s">
        <v>100</v>
      </c>
      <c r="P95" s="16" t="s">
        <v>103</v>
      </c>
      <c r="Q95" s="16" t="s">
        <v>111</v>
      </c>
      <c r="R95" s="16" t="s">
        <v>115</v>
      </c>
      <c r="S95" s="16" t="s">
        <v>122</v>
      </c>
      <c r="T95" s="16" t="s">
        <v>122</v>
      </c>
      <c r="U95" s="16" t="s">
        <v>132</v>
      </c>
      <c r="V95" s="16" t="s">
        <v>138</v>
      </c>
      <c r="W95" s="16" t="s">
        <v>166</v>
      </c>
      <c r="X95" s="16" t="s">
        <v>353</v>
      </c>
    </row>
    <row r="96" customFormat="false" ht="15" hidden="false" customHeight="false" outlineLevel="0" collapsed="false">
      <c r="A96" s="7" t="s">
        <v>354</v>
      </c>
      <c r="B96" s="7" t="s">
        <v>165</v>
      </c>
      <c r="C96" s="16" t="s">
        <v>32</v>
      </c>
      <c r="D96" s="16" t="s">
        <v>37</v>
      </c>
      <c r="E96" s="16" t="s">
        <v>44</v>
      </c>
      <c r="F96" s="16" t="s">
        <v>49</v>
      </c>
      <c r="G96" s="16" t="s">
        <v>54</v>
      </c>
      <c r="H96" s="16" t="s">
        <v>59</v>
      </c>
      <c r="I96" s="16" t="s">
        <v>65</v>
      </c>
      <c r="J96" s="16" t="s">
        <v>71</v>
      </c>
      <c r="K96" s="16" t="s">
        <v>75</v>
      </c>
      <c r="L96" s="16" t="s">
        <v>80</v>
      </c>
      <c r="M96" s="16" t="s">
        <v>86</v>
      </c>
      <c r="N96" s="16" t="s">
        <v>91</v>
      </c>
      <c r="O96" s="16" t="s">
        <v>99</v>
      </c>
      <c r="P96" s="16" t="s">
        <v>106</v>
      </c>
      <c r="Q96" s="16" t="s">
        <v>113</v>
      </c>
      <c r="R96" s="16" t="s">
        <v>115</v>
      </c>
      <c r="S96" s="16" t="s">
        <v>122</v>
      </c>
      <c r="T96" s="16" t="s">
        <v>122</v>
      </c>
      <c r="U96" s="16" t="s">
        <v>132</v>
      </c>
      <c r="V96" s="16" t="s">
        <v>140</v>
      </c>
      <c r="W96" s="16" t="s">
        <v>166</v>
      </c>
      <c r="X96" s="16" t="s">
        <v>355</v>
      </c>
    </row>
    <row r="97" customFormat="false" ht="15" hidden="false" customHeight="false" outlineLevel="0" collapsed="false">
      <c r="A97" s="7" t="s">
        <v>356</v>
      </c>
      <c r="B97" s="7" t="s">
        <v>165</v>
      </c>
      <c r="C97" s="16" t="s">
        <v>31</v>
      </c>
      <c r="D97" s="16" t="s">
        <v>37</v>
      </c>
      <c r="E97" s="16" t="s">
        <v>43</v>
      </c>
      <c r="F97" s="16" t="s">
        <v>49</v>
      </c>
      <c r="G97" s="16" t="s">
        <v>49</v>
      </c>
      <c r="H97" s="16" t="s">
        <v>59</v>
      </c>
      <c r="I97" s="16" t="s">
        <v>65</v>
      </c>
      <c r="J97" s="16" t="s">
        <v>70</v>
      </c>
      <c r="K97" s="16" t="s">
        <v>75</v>
      </c>
      <c r="L97" s="16" t="s">
        <v>81</v>
      </c>
      <c r="M97" s="16" t="s">
        <v>85</v>
      </c>
      <c r="N97" s="16" t="s">
        <v>92</v>
      </c>
      <c r="O97" s="16" t="s">
        <v>99</v>
      </c>
      <c r="P97" s="16" t="s">
        <v>105</v>
      </c>
      <c r="Q97" s="16" t="s">
        <v>109</v>
      </c>
      <c r="R97" s="16" t="s">
        <v>116</v>
      </c>
      <c r="S97" s="16" t="s">
        <v>121</v>
      </c>
      <c r="T97" s="16" t="s">
        <v>127</v>
      </c>
      <c r="U97" s="16" t="s">
        <v>132</v>
      </c>
      <c r="V97" s="16" t="s">
        <v>138</v>
      </c>
      <c r="W97" s="16" t="s">
        <v>166</v>
      </c>
      <c r="X97" s="16" t="s">
        <v>357</v>
      </c>
    </row>
    <row r="98" customFormat="false" ht="15" hidden="false" customHeight="false" outlineLevel="0" collapsed="false">
      <c r="A98" s="7" t="s">
        <v>358</v>
      </c>
      <c r="B98" s="7" t="s">
        <v>165</v>
      </c>
      <c r="C98" s="16" t="s">
        <v>31</v>
      </c>
      <c r="D98" s="16" t="s">
        <v>37</v>
      </c>
      <c r="E98" s="16" t="s">
        <v>43</v>
      </c>
      <c r="F98" s="16" t="s">
        <v>49</v>
      </c>
      <c r="G98" s="16" t="s">
        <v>49</v>
      </c>
      <c r="H98" s="16" t="s">
        <v>59</v>
      </c>
      <c r="I98" s="16" t="s">
        <v>65</v>
      </c>
      <c r="J98" s="16" t="s">
        <v>70</v>
      </c>
      <c r="K98" s="16" t="s">
        <v>74</v>
      </c>
      <c r="L98" s="16" t="s">
        <v>80</v>
      </c>
      <c r="M98" s="16" t="s">
        <v>87</v>
      </c>
      <c r="N98" s="16" t="s">
        <v>91</v>
      </c>
      <c r="O98" s="16" t="s">
        <v>99</v>
      </c>
      <c r="P98" s="16" t="s">
        <v>105</v>
      </c>
      <c r="Q98" s="16" t="s">
        <v>109</v>
      </c>
      <c r="R98" s="16" t="s">
        <v>116</v>
      </c>
      <c r="S98" s="16" t="s">
        <v>121</v>
      </c>
      <c r="T98" s="16" t="s">
        <v>127</v>
      </c>
      <c r="U98" s="16" t="s">
        <v>133</v>
      </c>
      <c r="V98" s="16" t="s">
        <v>138</v>
      </c>
      <c r="W98" s="16" t="s">
        <v>166</v>
      </c>
      <c r="X98" s="16" t="s">
        <v>359</v>
      </c>
    </row>
    <row r="99" customFormat="false" ht="15" hidden="false" customHeight="false" outlineLevel="0" collapsed="false">
      <c r="A99" s="7" t="s">
        <v>360</v>
      </c>
      <c r="B99" s="7" t="s">
        <v>165</v>
      </c>
      <c r="C99" s="16" t="s">
        <v>31</v>
      </c>
      <c r="D99" s="16" t="s">
        <v>37</v>
      </c>
      <c r="E99" s="16" t="s">
        <v>45</v>
      </c>
      <c r="F99" s="16" t="s">
        <v>49</v>
      </c>
      <c r="G99" s="16" t="s">
        <v>49</v>
      </c>
      <c r="H99" s="16" t="s">
        <v>59</v>
      </c>
      <c r="I99" s="16" t="s">
        <v>65</v>
      </c>
      <c r="J99" s="16" t="s">
        <v>70</v>
      </c>
      <c r="K99" s="16" t="s">
        <v>74</v>
      </c>
      <c r="L99" s="16" t="s">
        <v>79</v>
      </c>
      <c r="M99" s="16" t="s">
        <v>87</v>
      </c>
      <c r="N99" s="16" t="s">
        <v>92</v>
      </c>
      <c r="O99" s="16" t="s">
        <v>99</v>
      </c>
      <c r="P99" s="16" t="s">
        <v>106</v>
      </c>
      <c r="Q99" s="16" t="s">
        <v>111</v>
      </c>
      <c r="R99" s="16" t="s">
        <v>115</v>
      </c>
      <c r="S99" s="16" t="s">
        <v>121</v>
      </c>
      <c r="T99" s="16" t="s">
        <v>127</v>
      </c>
      <c r="U99" s="16" t="s">
        <v>134</v>
      </c>
      <c r="V99" s="16" t="s">
        <v>138</v>
      </c>
      <c r="W99" s="16" t="s">
        <v>166</v>
      </c>
      <c r="X99" s="16" t="s">
        <v>263</v>
      </c>
    </row>
    <row r="100" customFormat="false" ht="15" hidden="false" customHeight="false" outlineLevel="0" collapsed="false">
      <c r="A100" s="7" t="s">
        <v>361</v>
      </c>
      <c r="B100" s="7" t="s">
        <v>165</v>
      </c>
      <c r="C100" s="16" t="s">
        <v>31</v>
      </c>
      <c r="D100" s="16" t="s">
        <v>37</v>
      </c>
      <c r="E100" s="16" t="s">
        <v>43</v>
      </c>
      <c r="F100" s="16" t="s">
        <v>49</v>
      </c>
      <c r="G100" s="16" t="s">
        <v>56</v>
      </c>
      <c r="H100" s="16" t="s">
        <v>59</v>
      </c>
      <c r="I100" s="16" t="s">
        <v>65</v>
      </c>
      <c r="J100" s="16" t="s">
        <v>70</v>
      </c>
      <c r="K100" s="16" t="s">
        <v>75</v>
      </c>
      <c r="L100" s="16" t="s">
        <v>82</v>
      </c>
      <c r="M100" s="16" t="s">
        <v>86</v>
      </c>
      <c r="N100" s="16" t="s">
        <v>91</v>
      </c>
      <c r="O100" s="16" t="s">
        <v>99</v>
      </c>
      <c r="P100" s="16" t="s">
        <v>106</v>
      </c>
      <c r="Q100" s="16" t="s">
        <v>109</v>
      </c>
      <c r="R100" s="16" t="s">
        <v>115</v>
      </c>
      <c r="S100" s="16" t="s">
        <v>122</v>
      </c>
      <c r="T100" s="16" t="s">
        <v>127</v>
      </c>
      <c r="U100" s="16" t="s">
        <v>132</v>
      </c>
      <c r="V100" s="16" t="s">
        <v>139</v>
      </c>
      <c r="W100" s="16" t="s">
        <v>166</v>
      </c>
      <c r="X100" s="16" t="s">
        <v>362</v>
      </c>
    </row>
    <row r="101" customFormat="false" ht="15" hidden="false" customHeight="false" outlineLevel="0" collapsed="false">
      <c r="A101" s="7" t="s">
        <v>363</v>
      </c>
      <c r="B101" s="7" t="s">
        <v>165</v>
      </c>
      <c r="C101" s="16" t="s">
        <v>32</v>
      </c>
      <c r="D101" s="16" t="s">
        <v>37</v>
      </c>
      <c r="E101" s="16" t="s">
        <v>45</v>
      </c>
      <c r="F101" s="16" t="s">
        <v>49</v>
      </c>
      <c r="G101" s="16" t="s">
        <v>49</v>
      </c>
      <c r="H101" s="16" t="s">
        <v>59</v>
      </c>
      <c r="I101" s="16" t="s">
        <v>65</v>
      </c>
      <c r="J101" s="16" t="s">
        <v>70</v>
      </c>
      <c r="K101" s="16" t="s">
        <v>75</v>
      </c>
      <c r="L101" s="16" t="s">
        <v>80</v>
      </c>
      <c r="M101" s="16" t="s">
        <v>85</v>
      </c>
      <c r="N101" s="16" t="s">
        <v>91</v>
      </c>
      <c r="O101" s="16" t="s">
        <v>99</v>
      </c>
      <c r="P101" s="16" t="s">
        <v>105</v>
      </c>
      <c r="Q101" s="16" t="s">
        <v>109</v>
      </c>
      <c r="R101" s="16" t="s">
        <v>115</v>
      </c>
      <c r="S101" s="16" t="s">
        <v>122</v>
      </c>
      <c r="T101" s="16" t="s">
        <v>122</v>
      </c>
      <c r="U101" s="16" t="s">
        <v>132</v>
      </c>
      <c r="V101" s="16" t="s">
        <v>138</v>
      </c>
      <c r="W101" s="16" t="s">
        <v>166</v>
      </c>
      <c r="X101" s="16" t="s">
        <v>364</v>
      </c>
    </row>
    <row r="102" customFormat="false" ht="15" hidden="false" customHeight="false" outlineLevel="0" collapsed="false">
      <c r="A102" s="7" t="s">
        <v>365</v>
      </c>
      <c r="B102" s="7" t="s">
        <v>165</v>
      </c>
      <c r="C102" s="16" t="s">
        <v>32</v>
      </c>
      <c r="D102" s="16" t="s">
        <v>37</v>
      </c>
      <c r="E102" s="16" t="s">
        <v>43</v>
      </c>
      <c r="F102" s="16" t="s">
        <v>49</v>
      </c>
      <c r="G102" s="16" t="s">
        <v>49</v>
      </c>
      <c r="H102" s="16" t="s">
        <v>59</v>
      </c>
      <c r="I102" s="16" t="s">
        <v>65</v>
      </c>
      <c r="J102" s="16" t="s">
        <v>70</v>
      </c>
      <c r="K102" s="16" t="s">
        <v>74</v>
      </c>
      <c r="L102" s="16" t="s">
        <v>80</v>
      </c>
      <c r="M102" s="16" t="s">
        <v>86</v>
      </c>
      <c r="N102" s="16" t="s">
        <v>91</v>
      </c>
      <c r="O102" s="16" t="s">
        <v>99</v>
      </c>
      <c r="P102" s="16" t="s">
        <v>105</v>
      </c>
      <c r="Q102" s="16" t="s">
        <v>109</v>
      </c>
      <c r="R102" s="16" t="s">
        <v>115</v>
      </c>
      <c r="S102" s="16" t="s">
        <v>121</v>
      </c>
      <c r="T102" s="16" t="s">
        <v>122</v>
      </c>
      <c r="U102" s="16" t="s">
        <v>132</v>
      </c>
      <c r="V102" s="16" t="s">
        <v>140</v>
      </c>
      <c r="W102" s="16" t="s">
        <v>166</v>
      </c>
      <c r="X102" s="16" t="s">
        <v>366</v>
      </c>
    </row>
    <row r="103" customFormat="false" ht="15" hidden="false" customHeight="false" outlineLevel="0" collapsed="false">
      <c r="A103" s="7" t="s">
        <v>367</v>
      </c>
      <c r="B103" s="7" t="s">
        <v>165</v>
      </c>
      <c r="C103" s="16" t="s">
        <v>31</v>
      </c>
      <c r="D103" s="16" t="s">
        <v>37</v>
      </c>
      <c r="E103" s="16" t="s">
        <v>43</v>
      </c>
      <c r="F103" s="16" t="s">
        <v>49</v>
      </c>
      <c r="G103" s="16" t="s">
        <v>49</v>
      </c>
      <c r="H103" s="16" t="s">
        <v>59</v>
      </c>
      <c r="I103" s="16" t="s">
        <v>67</v>
      </c>
      <c r="J103" s="16" t="s">
        <v>70</v>
      </c>
      <c r="K103" s="16" t="s">
        <v>73</v>
      </c>
      <c r="L103" s="16" t="s">
        <v>80</v>
      </c>
      <c r="M103" s="16" t="s">
        <v>85</v>
      </c>
      <c r="N103" s="16" t="s">
        <v>91</v>
      </c>
      <c r="O103" s="16" t="s">
        <v>99</v>
      </c>
      <c r="P103" s="16" t="s">
        <v>105</v>
      </c>
      <c r="Q103" s="16" t="s">
        <v>111</v>
      </c>
      <c r="R103" s="16" t="s">
        <v>115</v>
      </c>
      <c r="S103" s="16" t="s">
        <v>122</v>
      </c>
      <c r="T103" s="16" t="s">
        <v>122</v>
      </c>
      <c r="U103" s="16" t="s">
        <v>135</v>
      </c>
      <c r="V103" s="16" t="s">
        <v>138</v>
      </c>
      <c r="W103" s="16" t="s">
        <v>166</v>
      </c>
      <c r="X103" s="16" t="s">
        <v>368</v>
      </c>
    </row>
    <row r="104" customFormat="false" ht="15" hidden="false" customHeight="false" outlineLevel="0" collapsed="false">
      <c r="A104" s="7" t="s">
        <v>369</v>
      </c>
      <c r="B104" s="7" t="s">
        <v>165</v>
      </c>
      <c r="C104" s="16" t="s">
        <v>31</v>
      </c>
      <c r="D104" s="16" t="s">
        <v>37</v>
      </c>
      <c r="E104" s="16" t="s">
        <v>45</v>
      </c>
      <c r="F104" s="16" t="s">
        <v>49</v>
      </c>
      <c r="G104" s="16" t="s">
        <v>49</v>
      </c>
      <c r="H104" s="16" t="s">
        <v>59</v>
      </c>
      <c r="I104" s="16" t="s">
        <v>65</v>
      </c>
      <c r="J104" s="16" t="s">
        <v>70</v>
      </c>
      <c r="K104" s="16" t="s">
        <v>75</v>
      </c>
      <c r="L104" s="16" t="s">
        <v>81</v>
      </c>
      <c r="M104" s="16" t="s">
        <v>88</v>
      </c>
      <c r="N104" s="16" t="s">
        <v>92</v>
      </c>
      <c r="O104" s="16" t="s">
        <v>99</v>
      </c>
      <c r="P104" s="16" t="s">
        <v>105</v>
      </c>
      <c r="Q104" s="16" t="s">
        <v>109</v>
      </c>
      <c r="R104" s="16" t="s">
        <v>116</v>
      </c>
      <c r="S104" s="16" t="s">
        <v>123</v>
      </c>
      <c r="T104" s="16" t="s">
        <v>127</v>
      </c>
      <c r="U104" s="16" t="s">
        <v>132</v>
      </c>
      <c r="V104" s="16" t="s">
        <v>138</v>
      </c>
      <c r="W104" s="16" t="s">
        <v>166</v>
      </c>
      <c r="X104" s="16" t="s">
        <v>327</v>
      </c>
    </row>
    <row r="105" customFormat="false" ht="15" hidden="false" customHeight="false" outlineLevel="0" collapsed="false">
      <c r="A105" s="7" t="s">
        <v>370</v>
      </c>
      <c r="B105" s="7" t="s">
        <v>165</v>
      </c>
      <c r="C105" s="16" t="s">
        <v>31</v>
      </c>
      <c r="D105" s="16" t="s">
        <v>37</v>
      </c>
      <c r="E105" s="16" t="s">
        <v>43</v>
      </c>
      <c r="F105" s="16" t="s">
        <v>49</v>
      </c>
      <c r="G105" s="16" t="s">
        <v>49</v>
      </c>
      <c r="H105" s="16" t="s">
        <v>59</v>
      </c>
      <c r="I105" s="16" t="s">
        <v>65</v>
      </c>
      <c r="J105" s="16" t="s">
        <v>70</v>
      </c>
      <c r="K105" s="16" t="s">
        <v>74</v>
      </c>
      <c r="L105" s="16" t="s">
        <v>80</v>
      </c>
      <c r="M105" s="16" t="s">
        <v>85</v>
      </c>
      <c r="N105" s="16" t="s">
        <v>91</v>
      </c>
      <c r="O105" s="16" t="s">
        <v>98</v>
      </c>
      <c r="P105" s="16" t="s">
        <v>106</v>
      </c>
      <c r="Q105" s="16" t="s">
        <v>109</v>
      </c>
      <c r="R105" s="16" t="s">
        <v>115</v>
      </c>
      <c r="S105" s="16" t="s">
        <v>122</v>
      </c>
      <c r="T105" s="16" t="s">
        <v>127</v>
      </c>
      <c r="U105" s="16" t="s">
        <v>132</v>
      </c>
      <c r="V105" s="16" t="s">
        <v>138</v>
      </c>
      <c r="W105" s="16" t="s">
        <v>166</v>
      </c>
      <c r="X105" s="16" t="s">
        <v>169</v>
      </c>
    </row>
    <row r="106" customFormat="false" ht="15" hidden="false" customHeight="false" outlineLevel="0" collapsed="false">
      <c r="A106" s="7" t="s">
        <v>371</v>
      </c>
      <c r="B106" s="7" t="s">
        <v>165</v>
      </c>
      <c r="C106" s="16" t="s">
        <v>32</v>
      </c>
      <c r="D106" s="16" t="s">
        <v>37</v>
      </c>
      <c r="E106" s="16" t="s">
        <v>44</v>
      </c>
      <c r="F106" s="16" t="s">
        <v>49</v>
      </c>
      <c r="G106" s="16" t="s">
        <v>49</v>
      </c>
      <c r="H106" s="16" t="s">
        <v>59</v>
      </c>
      <c r="I106" s="16" t="s">
        <v>65</v>
      </c>
      <c r="J106" s="16" t="s">
        <v>70</v>
      </c>
      <c r="K106" s="16" t="s">
        <v>74</v>
      </c>
      <c r="L106" s="16" t="s">
        <v>80</v>
      </c>
      <c r="M106" s="16" t="s">
        <v>87</v>
      </c>
      <c r="N106" s="16" t="s">
        <v>91</v>
      </c>
      <c r="O106" s="16" t="s">
        <v>99</v>
      </c>
      <c r="P106" s="16" t="s">
        <v>105</v>
      </c>
      <c r="Q106" s="16" t="s">
        <v>109</v>
      </c>
      <c r="R106" s="16" t="s">
        <v>115</v>
      </c>
      <c r="S106" s="16" t="s">
        <v>122</v>
      </c>
      <c r="T106" s="16" t="s">
        <v>122</v>
      </c>
      <c r="U106" s="16" t="s">
        <v>132</v>
      </c>
      <c r="V106" s="16" t="s">
        <v>138</v>
      </c>
      <c r="W106" s="16" t="s">
        <v>166</v>
      </c>
      <c r="X106" s="16" t="s">
        <v>372</v>
      </c>
    </row>
    <row r="107" customFormat="false" ht="15" hidden="false" customHeight="false" outlineLevel="0" collapsed="false">
      <c r="A107" s="7" t="s">
        <v>373</v>
      </c>
      <c r="B107" s="7" t="s">
        <v>165</v>
      </c>
      <c r="C107" s="16" t="s">
        <v>31</v>
      </c>
      <c r="D107" s="16" t="s">
        <v>37</v>
      </c>
      <c r="E107" s="16" t="s">
        <v>45</v>
      </c>
      <c r="F107" s="16" t="s">
        <v>49</v>
      </c>
      <c r="G107" s="16" t="s">
        <v>49</v>
      </c>
      <c r="H107" s="16" t="s">
        <v>59</v>
      </c>
      <c r="I107" s="16" t="s">
        <v>66</v>
      </c>
      <c r="J107" s="16" t="s">
        <v>71</v>
      </c>
      <c r="K107" s="16" t="s">
        <v>75</v>
      </c>
      <c r="L107" s="16" t="s">
        <v>80</v>
      </c>
      <c r="M107" s="16" t="s">
        <v>86</v>
      </c>
      <c r="N107" s="16" t="s">
        <v>91</v>
      </c>
      <c r="O107" s="16" t="s">
        <v>100</v>
      </c>
      <c r="P107" s="16" t="s">
        <v>106</v>
      </c>
      <c r="Q107" s="16" t="s">
        <v>111</v>
      </c>
      <c r="R107" s="16" t="s">
        <v>116</v>
      </c>
      <c r="S107" s="16" t="s">
        <v>122</v>
      </c>
      <c r="T107" s="16" t="s">
        <v>122</v>
      </c>
      <c r="U107" s="16" t="s">
        <v>135</v>
      </c>
      <c r="V107" s="16" t="s">
        <v>138</v>
      </c>
      <c r="W107" s="16" t="s">
        <v>166</v>
      </c>
      <c r="X107" s="16" t="s">
        <v>374</v>
      </c>
    </row>
    <row r="108" customFormat="false" ht="15" hidden="false" customHeight="false" outlineLevel="0" collapsed="false">
      <c r="A108" s="7" t="s">
        <v>375</v>
      </c>
      <c r="B108" s="7" t="s">
        <v>206</v>
      </c>
      <c r="C108" s="16" t="s">
        <v>32</v>
      </c>
      <c r="D108" s="16" t="s">
        <v>37</v>
      </c>
      <c r="E108" s="16" t="s">
        <v>46</v>
      </c>
      <c r="F108" s="16" t="s">
        <v>49</v>
      </c>
      <c r="G108" s="16" t="s">
        <v>49</v>
      </c>
      <c r="H108" s="16" t="s">
        <v>59</v>
      </c>
      <c r="I108" s="16" t="s">
        <v>65</v>
      </c>
      <c r="J108" s="16" t="s">
        <v>70</v>
      </c>
      <c r="K108" s="16" t="s">
        <v>76</v>
      </c>
      <c r="L108" s="16" t="s">
        <v>82</v>
      </c>
      <c r="M108" s="16" t="s">
        <v>85</v>
      </c>
      <c r="N108" s="16" t="s">
        <v>91</v>
      </c>
      <c r="O108" s="16" t="s">
        <v>99</v>
      </c>
      <c r="P108" s="16" t="s">
        <v>105</v>
      </c>
      <c r="Q108" s="16" t="s">
        <v>109</v>
      </c>
      <c r="R108" s="16" t="s">
        <v>116</v>
      </c>
      <c r="S108" s="16" t="s">
        <v>122</v>
      </c>
      <c r="T108" s="16" t="s">
        <v>127</v>
      </c>
      <c r="U108" s="16" t="s">
        <v>133</v>
      </c>
      <c r="V108" s="16" t="s">
        <v>139</v>
      </c>
      <c r="W108" s="16" t="s">
        <v>166</v>
      </c>
      <c r="X108" s="16" t="s">
        <v>376</v>
      </c>
    </row>
    <row r="109" customFormat="false" ht="15" hidden="false" customHeight="false" outlineLevel="0" collapsed="false">
      <c r="A109" s="7" t="s">
        <v>377</v>
      </c>
      <c r="B109" s="7" t="s">
        <v>206</v>
      </c>
      <c r="C109" s="16" t="s">
        <v>32</v>
      </c>
      <c r="D109" s="16" t="s">
        <v>37</v>
      </c>
      <c r="E109" s="16" t="s">
        <v>46</v>
      </c>
      <c r="F109" s="16" t="s">
        <v>49</v>
      </c>
      <c r="G109" s="16" t="s">
        <v>49</v>
      </c>
      <c r="H109" s="16" t="s">
        <v>59</v>
      </c>
      <c r="I109" s="16" t="s">
        <v>65</v>
      </c>
      <c r="J109" s="16" t="s">
        <v>70</v>
      </c>
      <c r="K109" s="16" t="s">
        <v>77</v>
      </c>
      <c r="L109" s="16" t="s">
        <v>81</v>
      </c>
      <c r="M109" s="16" t="s">
        <v>88</v>
      </c>
      <c r="N109" s="16" t="s">
        <v>91</v>
      </c>
      <c r="O109" s="16" t="s">
        <v>99</v>
      </c>
      <c r="P109" s="16" t="s">
        <v>104</v>
      </c>
      <c r="Q109" s="16" t="s">
        <v>109</v>
      </c>
      <c r="R109" s="16" t="s">
        <v>116</v>
      </c>
      <c r="S109" s="16" t="s">
        <v>124</v>
      </c>
      <c r="T109" s="16" t="s">
        <v>127</v>
      </c>
      <c r="U109" s="16" t="s">
        <v>134</v>
      </c>
      <c r="V109" s="16" t="s">
        <v>138</v>
      </c>
      <c r="W109" s="16" t="s">
        <v>166</v>
      </c>
      <c r="X109" s="16" t="s">
        <v>378</v>
      </c>
    </row>
    <row r="110" customFormat="false" ht="15" hidden="false" customHeight="false" outlineLevel="0" collapsed="false">
      <c r="A110" s="7" t="s">
        <v>379</v>
      </c>
      <c r="B110" s="7" t="s">
        <v>193</v>
      </c>
      <c r="C110" s="16" t="s">
        <v>34</v>
      </c>
      <c r="D110" s="16" t="s">
        <v>40</v>
      </c>
      <c r="E110" s="16" t="s">
        <v>45</v>
      </c>
      <c r="F110" s="16" t="s">
        <v>49</v>
      </c>
      <c r="G110" s="16" t="s">
        <v>49</v>
      </c>
      <c r="H110" s="16" t="s">
        <v>59</v>
      </c>
      <c r="I110" s="16" t="s">
        <v>65</v>
      </c>
      <c r="J110" s="16" t="s">
        <v>61</v>
      </c>
      <c r="K110" s="16" t="s">
        <v>76</v>
      </c>
      <c r="L110" s="16" t="s">
        <v>81</v>
      </c>
      <c r="M110" s="16" t="s">
        <v>87</v>
      </c>
      <c r="N110" s="16" t="s">
        <v>94</v>
      </c>
      <c r="O110" s="16" t="s">
        <v>97</v>
      </c>
      <c r="P110" s="16" t="s">
        <v>105</v>
      </c>
      <c r="Q110" s="16" t="s">
        <v>109</v>
      </c>
      <c r="R110" s="16" t="s">
        <v>118</v>
      </c>
      <c r="S110" s="16" t="s">
        <v>123</v>
      </c>
      <c r="T110" s="16" t="s">
        <v>122</v>
      </c>
      <c r="U110" s="16" t="s">
        <v>134</v>
      </c>
      <c r="V110" s="16" t="s">
        <v>138</v>
      </c>
      <c r="W110" s="16" t="s">
        <v>166</v>
      </c>
      <c r="X110" s="16" t="s">
        <v>380</v>
      </c>
    </row>
    <row r="111" customFormat="false" ht="15" hidden="false" customHeight="false" outlineLevel="0" collapsed="false">
      <c r="A111" s="7" t="s">
        <v>381</v>
      </c>
      <c r="B111" s="7" t="s">
        <v>165</v>
      </c>
      <c r="C111" s="16" t="s">
        <v>32</v>
      </c>
      <c r="D111" s="16" t="s">
        <v>37</v>
      </c>
      <c r="E111" s="16" t="s">
        <v>45</v>
      </c>
      <c r="F111" s="16" t="s">
        <v>49</v>
      </c>
      <c r="G111" s="16" t="s">
        <v>49</v>
      </c>
      <c r="H111" s="16" t="s">
        <v>59</v>
      </c>
      <c r="I111" s="16" t="s">
        <v>65</v>
      </c>
      <c r="J111" s="16" t="s">
        <v>70</v>
      </c>
      <c r="K111" s="16" t="s">
        <v>74</v>
      </c>
      <c r="L111" s="16" t="s">
        <v>80</v>
      </c>
      <c r="M111" s="16" t="s">
        <v>86</v>
      </c>
      <c r="N111" s="16" t="s">
        <v>92</v>
      </c>
      <c r="O111" s="16" t="s">
        <v>99</v>
      </c>
      <c r="P111" s="16" t="s">
        <v>105</v>
      </c>
      <c r="Q111" s="16" t="s">
        <v>109</v>
      </c>
      <c r="R111" s="16" t="s">
        <v>115</v>
      </c>
      <c r="S111" s="16" t="s">
        <v>121</v>
      </c>
      <c r="T111" s="16" t="s">
        <v>127</v>
      </c>
      <c r="U111" s="16" t="s">
        <v>132</v>
      </c>
      <c r="V111" s="16" t="s">
        <v>138</v>
      </c>
      <c r="W111" s="16" t="s">
        <v>166</v>
      </c>
      <c r="X111" s="16" t="s">
        <v>382</v>
      </c>
    </row>
    <row r="112" customFormat="false" ht="15" hidden="false" customHeight="false" outlineLevel="0" collapsed="false">
      <c r="A112" s="7" t="s">
        <v>383</v>
      </c>
      <c r="B112" s="7" t="s">
        <v>165</v>
      </c>
      <c r="C112" s="16" t="s">
        <v>31</v>
      </c>
      <c r="D112" s="16" t="s">
        <v>37</v>
      </c>
      <c r="E112" s="16" t="s">
        <v>45</v>
      </c>
      <c r="F112" s="16" t="s">
        <v>49</v>
      </c>
      <c r="G112" s="16" t="s">
        <v>49</v>
      </c>
      <c r="H112" s="16" t="s">
        <v>59</v>
      </c>
      <c r="I112" s="16" t="s">
        <v>65</v>
      </c>
      <c r="J112" s="16" t="s">
        <v>70</v>
      </c>
      <c r="K112" s="16" t="s">
        <v>74</v>
      </c>
      <c r="L112" s="16" t="s">
        <v>79</v>
      </c>
      <c r="M112" s="16" t="s">
        <v>85</v>
      </c>
      <c r="N112" s="16" t="s">
        <v>91</v>
      </c>
      <c r="O112" s="16" t="s">
        <v>99</v>
      </c>
      <c r="P112" s="16" t="s">
        <v>105</v>
      </c>
      <c r="Q112" s="16" t="s">
        <v>109</v>
      </c>
      <c r="R112" s="16" t="s">
        <v>116</v>
      </c>
      <c r="S112" s="16" t="s">
        <v>123</v>
      </c>
      <c r="T112" s="16" t="s">
        <v>127</v>
      </c>
      <c r="U112" s="16" t="s">
        <v>132</v>
      </c>
      <c r="V112" s="16" t="s">
        <v>138</v>
      </c>
      <c r="W112" s="16" t="s">
        <v>166</v>
      </c>
      <c r="X112" s="16" t="s">
        <v>384</v>
      </c>
    </row>
    <row r="113" customFormat="false" ht="15" hidden="false" customHeight="false" outlineLevel="0" collapsed="false">
      <c r="A113" s="7" t="s">
        <v>385</v>
      </c>
      <c r="B113" s="7" t="s">
        <v>165</v>
      </c>
      <c r="C113" s="16" t="s">
        <v>31</v>
      </c>
      <c r="D113" s="16" t="s">
        <v>37</v>
      </c>
      <c r="E113" s="16" t="s">
        <v>45</v>
      </c>
      <c r="F113" s="16" t="s">
        <v>49</v>
      </c>
      <c r="G113" s="16" t="s">
        <v>49</v>
      </c>
      <c r="H113" s="16" t="s">
        <v>59</v>
      </c>
      <c r="I113" s="16" t="s">
        <v>65</v>
      </c>
      <c r="J113" s="16" t="s">
        <v>70</v>
      </c>
      <c r="K113" s="16" t="s">
        <v>74</v>
      </c>
      <c r="L113" s="16" t="s">
        <v>81</v>
      </c>
      <c r="M113" s="16" t="s">
        <v>87</v>
      </c>
      <c r="N113" s="16" t="s">
        <v>91</v>
      </c>
      <c r="O113" s="16" t="s">
        <v>99</v>
      </c>
      <c r="P113" s="16" t="s">
        <v>105</v>
      </c>
      <c r="Q113" s="16" t="s">
        <v>111</v>
      </c>
      <c r="R113" s="16" t="s">
        <v>115</v>
      </c>
      <c r="S113" s="16" t="s">
        <v>122</v>
      </c>
      <c r="T113" s="16" t="s">
        <v>128</v>
      </c>
      <c r="U113" s="16" t="s">
        <v>132</v>
      </c>
      <c r="V113" s="16" t="s">
        <v>138</v>
      </c>
      <c r="W113" s="16" t="s">
        <v>166</v>
      </c>
      <c r="X113" s="16" t="s">
        <v>386</v>
      </c>
    </row>
    <row r="114" customFormat="false" ht="15" hidden="false" customHeight="false" outlineLevel="0" collapsed="false">
      <c r="A114" s="7" t="s">
        <v>387</v>
      </c>
      <c r="B114" s="7" t="s">
        <v>165</v>
      </c>
      <c r="C114" s="16" t="s">
        <v>31</v>
      </c>
      <c r="D114" s="16" t="s">
        <v>37</v>
      </c>
      <c r="E114" s="16" t="s">
        <v>45</v>
      </c>
      <c r="F114" s="16" t="s">
        <v>49</v>
      </c>
      <c r="G114" s="16" t="s">
        <v>49</v>
      </c>
      <c r="H114" s="16" t="s">
        <v>59</v>
      </c>
      <c r="I114" s="16" t="s">
        <v>65</v>
      </c>
      <c r="J114" s="16" t="s">
        <v>70</v>
      </c>
      <c r="K114" s="16" t="s">
        <v>75</v>
      </c>
      <c r="L114" s="16" t="s">
        <v>81</v>
      </c>
      <c r="M114" s="16" t="s">
        <v>85</v>
      </c>
      <c r="N114" s="16" t="s">
        <v>91</v>
      </c>
      <c r="O114" s="16" t="s">
        <v>99</v>
      </c>
      <c r="P114" s="16" t="s">
        <v>105</v>
      </c>
      <c r="Q114" s="16" t="s">
        <v>109</v>
      </c>
      <c r="R114" s="16" t="s">
        <v>115</v>
      </c>
      <c r="S114" s="16" t="s">
        <v>123</v>
      </c>
      <c r="T114" s="16" t="s">
        <v>127</v>
      </c>
      <c r="U114" s="16" t="s">
        <v>132</v>
      </c>
      <c r="V114" s="16" t="s">
        <v>138</v>
      </c>
      <c r="W114" s="16" t="s">
        <v>166</v>
      </c>
      <c r="X114" s="16" t="s">
        <v>263</v>
      </c>
    </row>
    <row r="115" customFormat="false" ht="15" hidden="false" customHeight="false" outlineLevel="0" collapsed="false">
      <c r="A115" s="7" t="s">
        <v>388</v>
      </c>
      <c r="B115" s="7" t="s">
        <v>165</v>
      </c>
      <c r="C115" s="16" t="s">
        <v>31</v>
      </c>
      <c r="D115" s="16" t="s">
        <v>37</v>
      </c>
      <c r="E115" s="16" t="s">
        <v>43</v>
      </c>
      <c r="F115" s="16" t="s">
        <v>49</v>
      </c>
      <c r="G115" s="16" t="s">
        <v>49</v>
      </c>
      <c r="H115" s="16" t="s">
        <v>59</v>
      </c>
      <c r="I115" s="16" t="s">
        <v>66</v>
      </c>
      <c r="J115" s="16" t="s">
        <v>70</v>
      </c>
      <c r="K115" s="16" t="s">
        <v>74</v>
      </c>
      <c r="L115" s="16" t="s">
        <v>79</v>
      </c>
      <c r="M115" s="16" t="s">
        <v>86</v>
      </c>
      <c r="N115" s="16" t="s">
        <v>92</v>
      </c>
      <c r="O115" s="16" t="s">
        <v>99</v>
      </c>
      <c r="P115" s="16" t="s">
        <v>105</v>
      </c>
      <c r="Q115" s="16" t="s">
        <v>110</v>
      </c>
      <c r="R115" s="16" t="s">
        <v>115</v>
      </c>
      <c r="S115" s="16" t="s">
        <v>121</v>
      </c>
      <c r="T115" s="16" t="s">
        <v>129</v>
      </c>
      <c r="U115" s="16" t="s">
        <v>134</v>
      </c>
      <c r="V115" s="16" t="s">
        <v>138</v>
      </c>
      <c r="W115" s="16" t="s">
        <v>166</v>
      </c>
      <c r="X115" s="16" t="s">
        <v>167</v>
      </c>
    </row>
    <row r="116" customFormat="false" ht="15" hidden="false" customHeight="false" outlineLevel="0" collapsed="false">
      <c r="A116" s="7" t="s">
        <v>389</v>
      </c>
      <c r="B116" s="7" t="s">
        <v>165</v>
      </c>
      <c r="C116" s="16" t="s">
        <v>31</v>
      </c>
      <c r="D116" s="16" t="s">
        <v>37</v>
      </c>
      <c r="E116" s="16" t="s">
        <v>44</v>
      </c>
      <c r="F116" s="16" t="s">
        <v>50</v>
      </c>
      <c r="G116" s="16" t="s">
        <v>54</v>
      </c>
      <c r="H116" s="16" t="s">
        <v>59</v>
      </c>
      <c r="I116" s="16" t="s">
        <v>65</v>
      </c>
      <c r="J116" s="16" t="s">
        <v>70</v>
      </c>
      <c r="K116" s="16" t="s">
        <v>74</v>
      </c>
      <c r="L116" s="16" t="s">
        <v>81</v>
      </c>
      <c r="M116" s="16" t="s">
        <v>86</v>
      </c>
      <c r="N116" s="16" t="s">
        <v>91</v>
      </c>
      <c r="O116" s="16" t="s">
        <v>99</v>
      </c>
      <c r="P116" s="16" t="s">
        <v>104</v>
      </c>
      <c r="Q116" s="16" t="s">
        <v>109</v>
      </c>
      <c r="R116" s="16" t="s">
        <v>116</v>
      </c>
      <c r="S116" s="16" t="s">
        <v>122</v>
      </c>
      <c r="T116" s="16" t="s">
        <v>127</v>
      </c>
      <c r="U116" s="16" t="s">
        <v>132</v>
      </c>
      <c r="V116" s="16" t="s">
        <v>138</v>
      </c>
      <c r="W116" s="16" t="s">
        <v>166</v>
      </c>
      <c r="X116" s="16" t="s">
        <v>390</v>
      </c>
    </row>
    <row r="117" customFormat="false" ht="15" hidden="false" customHeight="false" outlineLevel="0" collapsed="false">
      <c r="A117" s="7" t="s">
        <v>391</v>
      </c>
      <c r="B117" s="7" t="s">
        <v>165</v>
      </c>
      <c r="C117" s="16" t="s">
        <v>32</v>
      </c>
      <c r="D117" s="16" t="s">
        <v>37</v>
      </c>
      <c r="E117" s="16" t="s">
        <v>43</v>
      </c>
      <c r="F117" s="16" t="s">
        <v>49</v>
      </c>
      <c r="G117" s="16" t="s">
        <v>49</v>
      </c>
      <c r="H117" s="16" t="s">
        <v>59</v>
      </c>
      <c r="I117" s="16" t="s">
        <v>65</v>
      </c>
      <c r="J117" s="16" t="s">
        <v>70</v>
      </c>
      <c r="K117" s="16" t="s">
        <v>75</v>
      </c>
      <c r="L117" s="16" t="s">
        <v>79</v>
      </c>
      <c r="M117" s="16" t="s">
        <v>87</v>
      </c>
      <c r="N117" s="16" t="s">
        <v>91</v>
      </c>
      <c r="O117" s="16" t="s">
        <v>97</v>
      </c>
      <c r="P117" s="16" t="s">
        <v>105</v>
      </c>
      <c r="Q117" s="16" t="s">
        <v>109</v>
      </c>
      <c r="R117" s="16" t="s">
        <v>116</v>
      </c>
      <c r="S117" s="16" t="s">
        <v>122</v>
      </c>
      <c r="T117" s="16" t="s">
        <v>122</v>
      </c>
      <c r="U117" s="16" t="s">
        <v>132</v>
      </c>
      <c r="V117" s="16" t="s">
        <v>138</v>
      </c>
      <c r="W117" s="16" t="s">
        <v>166</v>
      </c>
      <c r="X117" s="16" t="s">
        <v>392</v>
      </c>
    </row>
    <row r="118" customFormat="false" ht="15" hidden="false" customHeight="false" outlineLevel="0" collapsed="false">
      <c r="A118" s="7" t="s">
        <v>393</v>
      </c>
      <c r="B118" s="7" t="s">
        <v>165</v>
      </c>
      <c r="C118" s="16" t="s">
        <v>31</v>
      </c>
      <c r="D118" s="16" t="s">
        <v>37</v>
      </c>
      <c r="E118" s="16" t="s">
        <v>43</v>
      </c>
      <c r="F118" s="16" t="s">
        <v>49</v>
      </c>
      <c r="G118" s="16" t="s">
        <v>49</v>
      </c>
      <c r="H118" s="16" t="s">
        <v>59</v>
      </c>
      <c r="I118" s="16" t="s">
        <v>65</v>
      </c>
      <c r="J118" s="16" t="s">
        <v>70</v>
      </c>
      <c r="K118" s="16" t="s">
        <v>74</v>
      </c>
      <c r="L118" s="16" t="s">
        <v>80</v>
      </c>
      <c r="M118" s="16" t="s">
        <v>85</v>
      </c>
      <c r="N118" s="16" t="s">
        <v>92</v>
      </c>
      <c r="O118" s="16" t="s">
        <v>99</v>
      </c>
      <c r="P118" s="16" t="s">
        <v>105</v>
      </c>
      <c r="Q118" s="16" t="s">
        <v>110</v>
      </c>
      <c r="R118" s="16" t="s">
        <v>115</v>
      </c>
      <c r="S118" s="16" t="s">
        <v>121</v>
      </c>
      <c r="T118" s="16" t="s">
        <v>127</v>
      </c>
      <c r="U118" s="16" t="s">
        <v>133</v>
      </c>
      <c r="V118" s="16" t="s">
        <v>138</v>
      </c>
      <c r="W118" s="16" t="s">
        <v>166</v>
      </c>
      <c r="X118" s="16" t="s">
        <v>394</v>
      </c>
    </row>
    <row r="119" customFormat="false" ht="15" hidden="false" customHeight="false" outlineLevel="0" collapsed="false">
      <c r="A119" s="7" t="s">
        <v>395</v>
      </c>
      <c r="B119" s="7" t="s">
        <v>165</v>
      </c>
      <c r="C119" s="16" t="s">
        <v>31</v>
      </c>
      <c r="D119" s="16" t="s">
        <v>37</v>
      </c>
      <c r="E119" s="16" t="s">
        <v>43</v>
      </c>
      <c r="F119" s="16" t="s">
        <v>49</v>
      </c>
      <c r="G119" s="16" t="s">
        <v>49</v>
      </c>
      <c r="H119" s="16" t="s">
        <v>59</v>
      </c>
      <c r="I119" s="16" t="s">
        <v>65</v>
      </c>
      <c r="J119" s="16" t="s">
        <v>70</v>
      </c>
      <c r="K119" s="16" t="s">
        <v>73</v>
      </c>
      <c r="L119" s="16" t="s">
        <v>80</v>
      </c>
      <c r="M119" s="16" t="s">
        <v>86</v>
      </c>
      <c r="N119" s="16" t="s">
        <v>91</v>
      </c>
      <c r="O119" s="16" t="s">
        <v>99</v>
      </c>
      <c r="P119" s="16" t="s">
        <v>106</v>
      </c>
      <c r="Q119" s="16" t="s">
        <v>109</v>
      </c>
      <c r="R119" s="16" t="s">
        <v>115</v>
      </c>
      <c r="S119" s="16" t="s">
        <v>121</v>
      </c>
      <c r="T119" s="16" t="s">
        <v>127</v>
      </c>
      <c r="U119" s="16" t="s">
        <v>132</v>
      </c>
      <c r="V119" s="16" t="s">
        <v>138</v>
      </c>
      <c r="W119" s="16" t="s">
        <v>166</v>
      </c>
      <c r="X119" s="16" t="s">
        <v>396</v>
      </c>
    </row>
    <row r="120" customFormat="false" ht="15" hidden="false" customHeight="false" outlineLevel="0" collapsed="false">
      <c r="A120" s="7" t="s">
        <v>397</v>
      </c>
      <c r="B120" s="7" t="s">
        <v>165</v>
      </c>
      <c r="C120" s="16" t="s">
        <v>31</v>
      </c>
      <c r="D120" s="16" t="s">
        <v>37</v>
      </c>
      <c r="E120" s="16" t="s">
        <v>43</v>
      </c>
      <c r="F120" s="16" t="s">
        <v>49</v>
      </c>
      <c r="G120" s="16" t="s">
        <v>49</v>
      </c>
      <c r="H120" s="16" t="s">
        <v>59</v>
      </c>
      <c r="I120" s="16" t="s">
        <v>65</v>
      </c>
      <c r="J120" s="16" t="s">
        <v>70</v>
      </c>
      <c r="K120" s="16" t="s">
        <v>74</v>
      </c>
      <c r="L120" s="16" t="s">
        <v>81</v>
      </c>
      <c r="M120" s="16" t="s">
        <v>86</v>
      </c>
      <c r="N120" s="16" t="s">
        <v>91</v>
      </c>
      <c r="O120" s="16" t="s">
        <v>97</v>
      </c>
      <c r="P120" s="16" t="s">
        <v>106</v>
      </c>
      <c r="Q120" s="16" t="s">
        <v>109</v>
      </c>
      <c r="R120" s="16" t="s">
        <v>118</v>
      </c>
      <c r="S120" s="16" t="s">
        <v>122</v>
      </c>
      <c r="T120" s="16" t="s">
        <v>122</v>
      </c>
      <c r="U120" s="16" t="s">
        <v>132</v>
      </c>
      <c r="V120" s="16" t="s">
        <v>138</v>
      </c>
      <c r="W120" s="16" t="s">
        <v>166</v>
      </c>
      <c r="X120" s="16" t="s">
        <v>398</v>
      </c>
    </row>
    <row r="121" customFormat="false" ht="15" hidden="false" customHeight="false" outlineLevel="0" collapsed="false">
      <c r="A121" s="7" t="s">
        <v>399</v>
      </c>
      <c r="B121" s="7" t="s">
        <v>165</v>
      </c>
      <c r="C121" s="16" t="s">
        <v>32</v>
      </c>
      <c r="D121" s="16" t="s">
        <v>37</v>
      </c>
      <c r="E121" s="16" t="s">
        <v>43</v>
      </c>
      <c r="F121" s="16" t="s">
        <v>49</v>
      </c>
      <c r="G121" s="16" t="s">
        <v>49</v>
      </c>
      <c r="H121" s="16" t="s">
        <v>59</v>
      </c>
      <c r="I121" s="16" t="s">
        <v>65</v>
      </c>
      <c r="J121" s="16" t="s">
        <v>71</v>
      </c>
      <c r="K121" s="16" t="s">
        <v>74</v>
      </c>
      <c r="L121" s="16" t="s">
        <v>79</v>
      </c>
      <c r="M121" s="16" t="s">
        <v>85</v>
      </c>
      <c r="N121" s="16" t="s">
        <v>91</v>
      </c>
      <c r="O121" s="16" t="s">
        <v>99</v>
      </c>
      <c r="P121" s="16" t="s">
        <v>106</v>
      </c>
      <c r="Q121" s="16" t="s">
        <v>109</v>
      </c>
      <c r="R121" s="16" t="s">
        <v>115</v>
      </c>
      <c r="S121" s="16" t="s">
        <v>122</v>
      </c>
      <c r="T121" s="16" t="s">
        <v>127</v>
      </c>
      <c r="U121" s="16" t="s">
        <v>132</v>
      </c>
      <c r="V121" s="16" t="s">
        <v>138</v>
      </c>
      <c r="W121" s="16" t="s">
        <v>166</v>
      </c>
      <c r="X121" s="16" t="s">
        <v>400</v>
      </c>
    </row>
    <row r="122" customFormat="false" ht="15" hidden="false" customHeight="false" outlineLevel="0" collapsed="false">
      <c r="A122" s="7" t="s">
        <v>401</v>
      </c>
      <c r="B122" s="7" t="s">
        <v>165</v>
      </c>
      <c r="C122" s="16" t="s">
        <v>31</v>
      </c>
      <c r="D122" s="16" t="s">
        <v>37</v>
      </c>
      <c r="E122" s="16" t="s">
        <v>46</v>
      </c>
      <c r="F122" s="16" t="s">
        <v>49</v>
      </c>
      <c r="G122" s="16" t="s">
        <v>54</v>
      </c>
      <c r="H122" s="16" t="s">
        <v>59</v>
      </c>
      <c r="I122" s="16" t="s">
        <v>65</v>
      </c>
      <c r="J122" s="16" t="s">
        <v>70</v>
      </c>
      <c r="K122" s="16" t="s">
        <v>75</v>
      </c>
      <c r="L122" s="16" t="s">
        <v>80</v>
      </c>
      <c r="M122" s="16" t="s">
        <v>86</v>
      </c>
      <c r="N122" s="16" t="s">
        <v>91</v>
      </c>
      <c r="O122" s="16" t="s">
        <v>99</v>
      </c>
      <c r="P122" s="16" t="s">
        <v>105</v>
      </c>
      <c r="Q122" s="16" t="s">
        <v>109</v>
      </c>
      <c r="R122" s="16" t="s">
        <v>116</v>
      </c>
      <c r="S122" s="16" t="s">
        <v>123</v>
      </c>
      <c r="T122" s="16" t="s">
        <v>122</v>
      </c>
      <c r="U122" s="16" t="s">
        <v>132</v>
      </c>
      <c r="V122" s="16" t="s">
        <v>138</v>
      </c>
      <c r="W122" s="16" t="s">
        <v>166</v>
      </c>
      <c r="X122" s="16" t="s">
        <v>402</v>
      </c>
    </row>
    <row r="123" customFormat="false" ht="15" hidden="false" customHeight="false" outlineLevel="0" collapsed="false">
      <c r="A123" s="7" t="s">
        <v>403</v>
      </c>
      <c r="B123" s="7" t="s">
        <v>206</v>
      </c>
      <c r="C123" s="16" t="s">
        <v>32</v>
      </c>
      <c r="D123" s="16" t="s">
        <v>37</v>
      </c>
      <c r="E123" s="16" t="s">
        <v>45</v>
      </c>
      <c r="F123" s="16" t="s">
        <v>49</v>
      </c>
      <c r="G123" s="16" t="s">
        <v>49</v>
      </c>
      <c r="H123" s="16" t="s">
        <v>59</v>
      </c>
      <c r="I123" s="16" t="s">
        <v>65</v>
      </c>
      <c r="J123" s="16" t="s">
        <v>70</v>
      </c>
      <c r="K123" s="16" t="s">
        <v>76</v>
      </c>
      <c r="L123" s="16" t="s">
        <v>81</v>
      </c>
      <c r="M123" s="16" t="s">
        <v>85</v>
      </c>
      <c r="N123" s="16" t="s">
        <v>91</v>
      </c>
      <c r="O123" s="16" t="s">
        <v>99</v>
      </c>
      <c r="P123" s="16" t="s">
        <v>105</v>
      </c>
      <c r="Q123" s="16" t="s">
        <v>109</v>
      </c>
      <c r="R123" s="16" t="s">
        <v>116</v>
      </c>
      <c r="S123" s="16" t="s">
        <v>124</v>
      </c>
      <c r="T123" s="16" t="s">
        <v>129</v>
      </c>
      <c r="U123" s="16" t="s">
        <v>134</v>
      </c>
      <c r="V123" s="16" t="s">
        <v>138</v>
      </c>
      <c r="W123" s="16" t="s">
        <v>166</v>
      </c>
      <c r="X123" s="16" t="s">
        <v>216</v>
      </c>
    </row>
    <row r="124" customFormat="false" ht="15" hidden="false" customHeight="false" outlineLevel="0" collapsed="false">
      <c r="A124" s="7" t="s">
        <v>404</v>
      </c>
      <c r="B124" s="7" t="s">
        <v>165</v>
      </c>
      <c r="C124" s="16" t="s">
        <v>31</v>
      </c>
      <c r="D124" s="16" t="s">
        <v>37</v>
      </c>
      <c r="E124" s="16" t="s">
        <v>43</v>
      </c>
      <c r="F124" s="16" t="s">
        <v>49</v>
      </c>
      <c r="G124" s="16" t="s">
        <v>49</v>
      </c>
      <c r="H124" s="16" t="s">
        <v>59</v>
      </c>
      <c r="I124" s="16" t="s">
        <v>65</v>
      </c>
      <c r="J124" s="16" t="s">
        <v>70</v>
      </c>
      <c r="K124" s="16" t="s">
        <v>75</v>
      </c>
      <c r="L124" s="16" t="s">
        <v>80</v>
      </c>
      <c r="M124" s="16" t="s">
        <v>87</v>
      </c>
      <c r="N124" s="16" t="s">
        <v>92</v>
      </c>
      <c r="O124" s="16" t="s">
        <v>99</v>
      </c>
      <c r="P124" s="16" t="s">
        <v>105</v>
      </c>
      <c r="Q124" s="16" t="s">
        <v>109</v>
      </c>
      <c r="R124" s="16" t="s">
        <v>115</v>
      </c>
      <c r="S124" s="16" t="s">
        <v>123</v>
      </c>
      <c r="T124" s="16" t="s">
        <v>129</v>
      </c>
      <c r="U124" s="16" t="s">
        <v>132</v>
      </c>
      <c r="V124" s="16" t="s">
        <v>139</v>
      </c>
      <c r="W124" s="16" t="s">
        <v>166</v>
      </c>
      <c r="X124" s="16" t="s">
        <v>405</v>
      </c>
    </row>
    <row r="125" customFormat="false" ht="15" hidden="false" customHeight="false" outlineLevel="0" collapsed="false">
      <c r="A125" s="7" t="s">
        <v>406</v>
      </c>
      <c r="B125" s="7" t="s">
        <v>165</v>
      </c>
      <c r="C125" s="16" t="s">
        <v>31</v>
      </c>
      <c r="D125" s="16" t="s">
        <v>37</v>
      </c>
      <c r="E125" s="16" t="s">
        <v>43</v>
      </c>
      <c r="F125" s="16" t="s">
        <v>49</v>
      </c>
      <c r="G125" s="16" t="s">
        <v>54</v>
      </c>
      <c r="H125" s="16" t="s">
        <v>59</v>
      </c>
      <c r="I125" s="16" t="s">
        <v>65</v>
      </c>
      <c r="J125" s="16" t="s">
        <v>70</v>
      </c>
      <c r="K125" s="16" t="s">
        <v>74</v>
      </c>
      <c r="L125" s="16" t="s">
        <v>82</v>
      </c>
      <c r="M125" s="16" t="s">
        <v>87</v>
      </c>
      <c r="N125" s="16" t="s">
        <v>91</v>
      </c>
      <c r="O125" s="16" t="s">
        <v>100</v>
      </c>
      <c r="P125" s="16" t="s">
        <v>106</v>
      </c>
      <c r="Q125" s="16" t="s">
        <v>109</v>
      </c>
      <c r="R125" s="16" t="s">
        <v>115</v>
      </c>
      <c r="S125" s="16" t="s">
        <v>121</v>
      </c>
      <c r="T125" s="16" t="s">
        <v>128</v>
      </c>
      <c r="U125" s="16" t="s">
        <v>132</v>
      </c>
      <c r="V125" s="16" t="s">
        <v>138</v>
      </c>
      <c r="W125" s="16" t="s">
        <v>166</v>
      </c>
      <c r="X125" s="16" t="s">
        <v>407</v>
      </c>
    </row>
    <row r="126" customFormat="false" ht="15" hidden="false" customHeight="false" outlineLevel="0" collapsed="false">
      <c r="A126" s="7" t="s">
        <v>408</v>
      </c>
      <c r="B126" s="7" t="s">
        <v>165</v>
      </c>
      <c r="C126" s="16" t="s">
        <v>31</v>
      </c>
      <c r="D126" s="16" t="s">
        <v>37</v>
      </c>
      <c r="E126" s="16" t="s">
        <v>43</v>
      </c>
      <c r="F126" s="16" t="s">
        <v>49</v>
      </c>
      <c r="G126" s="16" t="s">
        <v>49</v>
      </c>
      <c r="H126" s="16" t="s">
        <v>59</v>
      </c>
      <c r="I126" s="16" t="s">
        <v>65</v>
      </c>
      <c r="J126" s="16" t="s">
        <v>70</v>
      </c>
      <c r="K126" s="16" t="s">
        <v>73</v>
      </c>
      <c r="L126" s="16" t="s">
        <v>80</v>
      </c>
      <c r="M126" s="16" t="s">
        <v>86</v>
      </c>
      <c r="N126" s="16" t="s">
        <v>91</v>
      </c>
      <c r="O126" s="16" t="s">
        <v>99</v>
      </c>
      <c r="P126" s="16" t="s">
        <v>105</v>
      </c>
      <c r="Q126" s="16" t="s">
        <v>109</v>
      </c>
      <c r="R126" s="16" t="s">
        <v>116</v>
      </c>
      <c r="S126" s="16" t="s">
        <v>121</v>
      </c>
      <c r="T126" s="16" t="s">
        <v>127</v>
      </c>
      <c r="U126" s="16" t="s">
        <v>132</v>
      </c>
      <c r="V126" s="16" t="s">
        <v>138</v>
      </c>
      <c r="W126" s="16" t="s">
        <v>211</v>
      </c>
      <c r="X126" s="16" t="s">
        <v>409</v>
      </c>
    </row>
    <row r="127" customFormat="false" ht="15" hidden="false" customHeight="false" outlineLevel="0" collapsed="false">
      <c r="A127" s="7" t="s">
        <v>410</v>
      </c>
      <c r="B127" s="7" t="s">
        <v>206</v>
      </c>
      <c r="C127" s="16" t="s">
        <v>32</v>
      </c>
      <c r="D127" s="16" t="s">
        <v>37</v>
      </c>
      <c r="E127" s="16" t="s">
        <v>46</v>
      </c>
      <c r="F127" s="16" t="s">
        <v>49</v>
      </c>
      <c r="G127" s="16" t="s">
        <v>49</v>
      </c>
      <c r="H127" s="16" t="s">
        <v>59</v>
      </c>
      <c r="I127" s="16" t="s">
        <v>65</v>
      </c>
      <c r="J127" s="16" t="s">
        <v>70</v>
      </c>
      <c r="K127" s="16" t="s">
        <v>76</v>
      </c>
      <c r="L127" s="16" t="s">
        <v>82</v>
      </c>
      <c r="M127" s="16" t="s">
        <v>87</v>
      </c>
      <c r="N127" s="16" t="s">
        <v>92</v>
      </c>
      <c r="O127" s="16" t="s">
        <v>99</v>
      </c>
      <c r="P127" s="16" t="s">
        <v>105</v>
      </c>
      <c r="Q127" s="16" t="s">
        <v>109</v>
      </c>
      <c r="R127" s="16" t="s">
        <v>115</v>
      </c>
      <c r="S127" s="16" t="s">
        <v>123</v>
      </c>
      <c r="T127" s="16" t="s">
        <v>127</v>
      </c>
      <c r="U127" s="16" t="s">
        <v>133</v>
      </c>
      <c r="V127" s="16" t="s">
        <v>138</v>
      </c>
      <c r="W127" s="16" t="s">
        <v>166</v>
      </c>
      <c r="X127" s="16" t="s">
        <v>411</v>
      </c>
    </row>
    <row r="128" customFormat="false" ht="15" hidden="false" customHeight="false" outlineLevel="0" collapsed="false">
      <c r="A128" s="7" t="s">
        <v>412</v>
      </c>
      <c r="B128" s="7" t="s">
        <v>206</v>
      </c>
      <c r="C128" s="16" t="s">
        <v>32</v>
      </c>
      <c r="D128" s="16" t="s">
        <v>37</v>
      </c>
      <c r="E128" s="16" t="s">
        <v>46</v>
      </c>
      <c r="F128" s="16" t="s">
        <v>49</v>
      </c>
      <c r="G128" s="16" t="s">
        <v>49</v>
      </c>
      <c r="H128" s="16" t="s">
        <v>59</v>
      </c>
      <c r="I128" s="16" t="s">
        <v>65</v>
      </c>
      <c r="J128" s="16" t="s">
        <v>70</v>
      </c>
      <c r="K128" s="16" t="s">
        <v>76</v>
      </c>
      <c r="L128" s="16" t="s">
        <v>79</v>
      </c>
      <c r="M128" s="16" t="s">
        <v>86</v>
      </c>
      <c r="N128" s="16" t="s">
        <v>91</v>
      </c>
      <c r="O128" s="16" t="s">
        <v>99</v>
      </c>
      <c r="P128" s="16" t="s">
        <v>105</v>
      </c>
      <c r="Q128" s="16" t="s">
        <v>109</v>
      </c>
      <c r="R128" s="16" t="s">
        <v>116</v>
      </c>
      <c r="S128" s="16" t="s">
        <v>121</v>
      </c>
      <c r="T128" s="16" t="s">
        <v>127</v>
      </c>
      <c r="U128" s="16" t="s">
        <v>134</v>
      </c>
      <c r="V128" s="16" t="s">
        <v>138</v>
      </c>
      <c r="W128" s="16" t="s">
        <v>166</v>
      </c>
      <c r="X128" s="16" t="s">
        <v>413</v>
      </c>
    </row>
    <row r="129" customFormat="false" ht="15" hidden="false" customHeight="false" outlineLevel="0" collapsed="false">
      <c r="A129" s="7" t="s">
        <v>414</v>
      </c>
      <c r="B129" s="7" t="s">
        <v>165</v>
      </c>
      <c r="C129" s="16" t="s">
        <v>31</v>
      </c>
      <c r="D129" s="16" t="s">
        <v>37</v>
      </c>
      <c r="E129" s="16" t="s">
        <v>43</v>
      </c>
      <c r="F129" s="16" t="s">
        <v>49</v>
      </c>
      <c r="G129" s="16" t="s">
        <v>49</v>
      </c>
      <c r="H129" s="16" t="s">
        <v>59</v>
      </c>
      <c r="I129" s="16" t="s">
        <v>65</v>
      </c>
      <c r="J129" s="16" t="s">
        <v>70</v>
      </c>
      <c r="K129" s="16" t="s">
        <v>75</v>
      </c>
      <c r="L129" s="16" t="s">
        <v>81</v>
      </c>
      <c r="M129" s="16" t="s">
        <v>87</v>
      </c>
      <c r="N129" s="16" t="s">
        <v>93</v>
      </c>
      <c r="O129" s="16" t="s">
        <v>99</v>
      </c>
      <c r="P129" s="16" t="s">
        <v>105</v>
      </c>
      <c r="Q129" s="16" t="s">
        <v>109</v>
      </c>
      <c r="R129" s="16" t="s">
        <v>115</v>
      </c>
      <c r="S129" s="16" t="s">
        <v>122</v>
      </c>
      <c r="T129" s="16" t="s">
        <v>127</v>
      </c>
      <c r="U129" s="16" t="s">
        <v>132</v>
      </c>
      <c r="V129" s="16" t="s">
        <v>138</v>
      </c>
      <c r="W129" s="16" t="s">
        <v>166</v>
      </c>
      <c r="X129" s="16" t="s">
        <v>415</v>
      </c>
    </row>
    <row r="130" customFormat="false" ht="15" hidden="false" customHeight="false" outlineLevel="0" collapsed="false">
      <c r="A130" s="7" t="s">
        <v>416</v>
      </c>
      <c r="B130" s="7" t="s">
        <v>165</v>
      </c>
      <c r="C130" s="16" t="s">
        <v>32</v>
      </c>
      <c r="D130" s="16" t="s">
        <v>37</v>
      </c>
      <c r="E130" s="16" t="s">
        <v>43</v>
      </c>
      <c r="F130" s="16" t="s">
        <v>49</v>
      </c>
      <c r="G130" s="16" t="s">
        <v>49</v>
      </c>
      <c r="H130" s="16" t="s">
        <v>59</v>
      </c>
      <c r="I130" s="16" t="s">
        <v>65</v>
      </c>
      <c r="J130" s="16" t="s">
        <v>71</v>
      </c>
      <c r="K130" s="16" t="s">
        <v>74</v>
      </c>
      <c r="L130" s="16" t="s">
        <v>80</v>
      </c>
      <c r="M130" s="16" t="s">
        <v>85</v>
      </c>
      <c r="N130" s="16" t="s">
        <v>92</v>
      </c>
      <c r="O130" s="16" t="s">
        <v>99</v>
      </c>
      <c r="P130" s="16" t="s">
        <v>105</v>
      </c>
      <c r="Q130" s="16" t="s">
        <v>111</v>
      </c>
      <c r="R130" s="16" t="s">
        <v>115</v>
      </c>
      <c r="S130" s="16" t="s">
        <v>122</v>
      </c>
      <c r="T130" s="16" t="s">
        <v>127</v>
      </c>
      <c r="U130" s="16" t="s">
        <v>132</v>
      </c>
      <c r="V130" s="16" t="s">
        <v>138</v>
      </c>
      <c r="W130" s="16" t="s">
        <v>166</v>
      </c>
      <c r="X130" s="16" t="s">
        <v>417</v>
      </c>
    </row>
    <row r="131" customFormat="false" ht="15" hidden="false" customHeight="false" outlineLevel="0" collapsed="false">
      <c r="A131" s="7" t="s">
        <v>418</v>
      </c>
      <c r="B131" s="7" t="s">
        <v>165</v>
      </c>
      <c r="C131" s="16" t="s">
        <v>31</v>
      </c>
      <c r="D131" s="16" t="s">
        <v>37</v>
      </c>
      <c r="E131" s="16" t="s">
        <v>43</v>
      </c>
      <c r="F131" s="16" t="s">
        <v>50</v>
      </c>
      <c r="G131" s="16" t="s">
        <v>49</v>
      </c>
      <c r="H131" s="16" t="s">
        <v>59</v>
      </c>
      <c r="I131" s="16" t="s">
        <v>65</v>
      </c>
      <c r="J131" s="16" t="s">
        <v>70</v>
      </c>
      <c r="K131" s="16" t="s">
        <v>74</v>
      </c>
      <c r="L131" s="16" t="s">
        <v>80</v>
      </c>
      <c r="M131" s="16" t="s">
        <v>88</v>
      </c>
      <c r="N131" s="16" t="s">
        <v>92</v>
      </c>
      <c r="O131" s="16" t="s">
        <v>100</v>
      </c>
      <c r="P131" s="16" t="s">
        <v>105</v>
      </c>
      <c r="Q131" s="16" t="s">
        <v>109</v>
      </c>
      <c r="R131" s="16" t="s">
        <v>115</v>
      </c>
      <c r="S131" s="16" t="s">
        <v>124</v>
      </c>
      <c r="T131" s="16" t="s">
        <v>127</v>
      </c>
      <c r="U131" s="16" t="s">
        <v>132</v>
      </c>
      <c r="V131" s="16" t="s">
        <v>138</v>
      </c>
      <c r="W131" s="16" t="s">
        <v>166</v>
      </c>
      <c r="X131" s="16" t="s">
        <v>226</v>
      </c>
    </row>
    <row r="132" customFormat="false" ht="15" hidden="false" customHeight="false" outlineLevel="0" collapsed="false">
      <c r="A132" s="7" t="s">
        <v>419</v>
      </c>
      <c r="B132" s="7" t="s">
        <v>206</v>
      </c>
      <c r="C132" s="16" t="s">
        <v>32</v>
      </c>
      <c r="D132" s="16" t="s">
        <v>37</v>
      </c>
      <c r="E132" s="16" t="s">
        <v>46</v>
      </c>
      <c r="F132" s="16" t="s">
        <v>49</v>
      </c>
      <c r="G132" s="16" t="s">
        <v>49</v>
      </c>
      <c r="H132" s="16" t="s">
        <v>59</v>
      </c>
      <c r="I132" s="16" t="s">
        <v>65</v>
      </c>
      <c r="J132" s="16" t="s">
        <v>61</v>
      </c>
      <c r="K132" s="16" t="s">
        <v>76</v>
      </c>
      <c r="L132" s="16" t="s">
        <v>83</v>
      </c>
      <c r="M132" s="16" t="s">
        <v>87</v>
      </c>
      <c r="N132" s="16" t="s">
        <v>91</v>
      </c>
      <c r="O132" s="16" t="s">
        <v>100</v>
      </c>
      <c r="P132" s="16" t="s">
        <v>103</v>
      </c>
      <c r="Q132" s="16" t="s">
        <v>111</v>
      </c>
      <c r="R132" s="16" t="s">
        <v>115</v>
      </c>
      <c r="S132" s="16" t="s">
        <v>122</v>
      </c>
      <c r="T132" s="16" t="s">
        <v>128</v>
      </c>
      <c r="U132" s="16" t="s">
        <v>134</v>
      </c>
      <c r="V132" s="16" t="s">
        <v>138</v>
      </c>
      <c r="W132" s="16" t="s">
        <v>166</v>
      </c>
      <c r="X132" s="16" t="s">
        <v>420</v>
      </c>
    </row>
    <row r="133" customFormat="false" ht="15" hidden="false" customHeight="false" outlineLevel="0" collapsed="false">
      <c r="A133" s="7" t="s">
        <v>421</v>
      </c>
      <c r="B133" s="7" t="s">
        <v>165</v>
      </c>
      <c r="C133" s="16" t="s">
        <v>31</v>
      </c>
      <c r="D133" s="16" t="s">
        <v>37</v>
      </c>
      <c r="E133" s="16" t="s">
        <v>44</v>
      </c>
      <c r="F133" s="16" t="s">
        <v>49</v>
      </c>
      <c r="G133" s="16" t="s">
        <v>49</v>
      </c>
      <c r="H133" s="16" t="s">
        <v>59</v>
      </c>
      <c r="I133" s="16" t="s">
        <v>65</v>
      </c>
      <c r="J133" s="16" t="s">
        <v>70</v>
      </c>
      <c r="K133" s="16" t="s">
        <v>74</v>
      </c>
      <c r="L133" s="16" t="s">
        <v>80</v>
      </c>
      <c r="M133" s="16" t="s">
        <v>88</v>
      </c>
      <c r="N133" s="16" t="s">
        <v>91</v>
      </c>
      <c r="O133" s="16" t="s">
        <v>99</v>
      </c>
      <c r="P133" s="16" t="s">
        <v>105</v>
      </c>
      <c r="Q133" s="16" t="s">
        <v>112</v>
      </c>
      <c r="R133" s="16" t="s">
        <v>116</v>
      </c>
      <c r="S133" s="16" t="s">
        <v>122</v>
      </c>
      <c r="T133" s="16" t="s">
        <v>127</v>
      </c>
      <c r="U133" s="16" t="s">
        <v>132</v>
      </c>
      <c r="V133" s="16" t="s">
        <v>138</v>
      </c>
      <c r="W133" s="16" t="s">
        <v>166</v>
      </c>
      <c r="X133" s="16" t="s">
        <v>422</v>
      </c>
    </row>
    <row r="134" customFormat="false" ht="15" hidden="false" customHeight="false" outlineLevel="0" collapsed="false">
      <c r="A134" s="7" t="s">
        <v>423</v>
      </c>
      <c r="B134" s="7" t="s">
        <v>165</v>
      </c>
      <c r="C134" s="16" t="s">
        <v>32</v>
      </c>
      <c r="D134" s="16" t="s">
        <v>37</v>
      </c>
      <c r="E134" s="16" t="s">
        <v>43</v>
      </c>
      <c r="F134" s="16" t="s">
        <v>49</v>
      </c>
      <c r="G134" s="16" t="s">
        <v>49</v>
      </c>
      <c r="H134" s="16" t="s">
        <v>59</v>
      </c>
      <c r="I134" s="16" t="s">
        <v>67</v>
      </c>
      <c r="J134" s="16" t="s">
        <v>70</v>
      </c>
      <c r="K134" s="16" t="s">
        <v>73</v>
      </c>
      <c r="L134" s="16" t="s">
        <v>80</v>
      </c>
      <c r="M134" s="16" t="s">
        <v>87</v>
      </c>
      <c r="N134" s="16" t="s">
        <v>91</v>
      </c>
      <c r="O134" s="16" t="s">
        <v>99</v>
      </c>
      <c r="P134" s="16" t="s">
        <v>106</v>
      </c>
      <c r="Q134" s="16" t="s">
        <v>110</v>
      </c>
      <c r="R134" s="16" t="s">
        <v>116</v>
      </c>
      <c r="S134" s="16" t="s">
        <v>121</v>
      </c>
      <c r="T134" s="16" t="s">
        <v>127</v>
      </c>
      <c r="U134" s="16" t="s">
        <v>132</v>
      </c>
      <c r="V134" s="16" t="s">
        <v>139</v>
      </c>
      <c r="W134" s="16" t="s">
        <v>166</v>
      </c>
      <c r="X134" s="16" t="s">
        <v>424</v>
      </c>
    </row>
    <row r="135" customFormat="false" ht="15" hidden="false" customHeight="false" outlineLevel="0" collapsed="false">
      <c r="A135" s="7" t="s">
        <v>425</v>
      </c>
      <c r="B135" s="7" t="s">
        <v>165</v>
      </c>
      <c r="C135" s="16" t="s">
        <v>31</v>
      </c>
      <c r="D135" s="16" t="s">
        <v>37</v>
      </c>
      <c r="E135" s="16" t="s">
        <v>43</v>
      </c>
      <c r="F135" s="16" t="s">
        <v>49</v>
      </c>
      <c r="G135" s="16" t="s">
        <v>49</v>
      </c>
      <c r="H135" s="16" t="s">
        <v>59</v>
      </c>
      <c r="I135" s="16" t="s">
        <v>65</v>
      </c>
      <c r="J135" s="16" t="s">
        <v>70</v>
      </c>
      <c r="K135" s="16" t="s">
        <v>73</v>
      </c>
      <c r="L135" s="16" t="s">
        <v>80</v>
      </c>
      <c r="M135" s="16" t="s">
        <v>87</v>
      </c>
      <c r="N135" s="16" t="s">
        <v>91</v>
      </c>
      <c r="O135" s="16" t="s">
        <v>99</v>
      </c>
      <c r="P135" s="16" t="s">
        <v>105</v>
      </c>
      <c r="Q135" s="16" t="s">
        <v>109</v>
      </c>
      <c r="R135" s="16" t="s">
        <v>116</v>
      </c>
      <c r="S135" s="16" t="s">
        <v>121</v>
      </c>
      <c r="T135" s="16" t="s">
        <v>127</v>
      </c>
      <c r="U135" s="16" t="s">
        <v>132</v>
      </c>
      <c r="V135" s="16" t="s">
        <v>138</v>
      </c>
      <c r="W135" s="16" t="s">
        <v>211</v>
      </c>
      <c r="X135" s="16" t="s">
        <v>426</v>
      </c>
    </row>
    <row r="136" customFormat="false" ht="15" hidden="false" customHeight="false" outlineLevel="0" collapsed="false">
      <c r="A136" s="7" t="s">
        <v>427</v>
      </c>
      <c r="B136" s="7" t="s">
        <v>165</v>
      </c>
      <c r="C136" s="16" t="s">
        <v>31</v>
      </c>
      <c r="D136" s="16" t="s">
        <v>37</v>
      </c>
      <c r="E136" s="16" t="s">
        <v>43</v>
      </c>
      <c r="F136" s="16" t="s">
        <v>49</v>
      </c>
      <c r="G136" s="16" t="s">
        <v>49</v>
      </c>
      <c r="H136" s="16" t="s">
        <v>59</v>
      </c>
      <c r="I136" s="16" t="s">
        <v>65</v>
      </c>
      <c r="J136" s="16" t="s">
        <v>70</v>
      </c>
      <c r="K136" s="16" t="s">
        <v>75</v>
      </c>
      <c r="L136" s="16" t="s">
        <v>81</v>
      </c>
      <c r="M136" s="16" t="s">
        <v>88</v>
      </c>
      <c r="N136" s="16" t="s">
        <v>92</v>
      </c>
      <c r="O136" s="16" t="s">
        <v>99</v>
      </c>
      <c r="P136" s="16" t="s">
        <v>105</v>
      </c>
      <c r="Q136" s="16" t="s">
        <v>109</v>
      </c>
      <c r="R136" s="16" t="s">
        <v>115</v>
      </c>
      <c r="S136" s="16" t="s">
        <v>122</v>
      </c>
      <c r="T136" s="16" t="s">
        <v>128</v>
      </c>
      <c r="U136" s="16" t="s">
        <v>132</v>
      </c>
      <c r="V136" s="16" t="s">
        <v>138</v>
      </c>
      <c r="W136" s="16" t="s">
        <v>166</v>
      </c>
      <c r="X136" s="16" t="s">
        <v>287</v>
      </c>
    </row>
    <row r="137" customFormat="false" ht="15" hidden="false" customHeight="false" outlineLevel="0" collapsed="false">
      <c r="A137" s="7" t="s">
        <v>428</v>
      </c>
      <c r="B137" s="7" t="s">
        <v>165</v>
      </c>
      <c r="C137" s="16" t="s">
        <v>31</v>
      </c>
      <c r="D137" s="16" t="s">
        <v>37</v>
      </c>
      <c r="E137" s="16" t="s">
        <v>43</v>
      </c>
      <c r="F137" s="16" t="s">
        <v>49</v>
      </c>
      <c r="G137" s="16" t="s">
        <v>49</v>
      </c>
      <c r="H137" s="16" t="s">
        <v>59</v>
      </c>
      <c r="I137" s="16" t="s">
        <v>66</v>
      </c>
      <c r="J137" s="16" t="s">
        <v>70</v>
      </c>
      <c r="K137" s="16" t="s">
        <v>75</v>
      </c>
      <c r="L137" s="16" t="s">
        <v>80</v>
      </c>
      <c r="M137" s="16" t="s">
        <v>85</v>
      </c>
      <c r="N137" s="16" t="s">
        <v>93</v>
      </c>
      <c r="O137" s="16" t="s">
        <v>99</v>
      </c>
      <c r="P137" s="16" t="s">
        <v>103</v>
      </c>
      <c r="Q137" s="16" t="s">
        <v>109</v>
      </c>
      <c r="R137" s="16" t="s">
        <v>116</v>
      </c>
      <c r="S137" s="16" t="s">
        <v>121</v>
      </c>
      <c r="T137" s="16" t="s">
        <v>127</v>
      </c>
      <c r="U137" s="16" t="s">
        <v>132</v>
      </c>
      <c r="V137" s="16" t="s">
        <v>138</v>
      </c>
      <c r="W137" s="16" t="s">
        <v>166</v>
      </c>
      <c r="X137" s="16" t="s">
        <v>429</v>
      </c>
    </row>
    <row r="138" customFormat="false" ht="15" hidden="false" customHeight="false" outlineLevel="0" collapsed="false">
      <c r="A138" s="7" t="s">
        <v>430</v>
      </c>
      <c r="B138" s="7" t="s">
        <v>165</v>
      </c>
      <c r="C138" s="16" t="s">
        <v>31</v>
      </c>
      <c r="D138" s="16" t="s">
        <v>37</v>
      </c>
      <c r="E138" s="16" t="s">
        <v>46</v>
      </c>
      <c r="F138" s="16" t="s">
        <v>49</v>
      </c>
      <c r="G138" s="16" t="s">
        <v>49</v>
      </c>
      <c r="H138" s="16" t="s">
        <v>59</v>
      </c>
      <c r="I138" s="16" t="s">
        <v>65</v>
      </c>
      <c r="J138" s="16" t="s">
        <v>70</v>
      </c>
      <c r="K138" s="16" t="s">
        <v>74</v>
      </c>
      <c r="L138" s="16" t="s">
        <v>81</v>
      </c>
      <c r="M138" s="16" t="s">
        <v>86</v>
      </c>
      <c r="N138" s="16" t="s">
        <v>91</v>
      </c>
      <c r="O138" s="16" t="s">
        <v>99</v>
      </c>
      <c r="P138" s="16" t="s">
        <v>103</v>
      </c>
      <c r="Q138" s="16" t="s">
        <v>110</v>
      </c>
      <c r="R138" s="16" t="s">
        <v>115</v>
      </c>
      <c r="S138" s="16" t="s">
        <v>123</v>
      </c>
      <c r="T138" s="16" t="s">
        <v>127</v>
      </c>
      <c r="U138" s="16" t="s">
        <v>132</v>
      </c>
      <c r="V138" s="16" t="s">
        <v>138</v>
      </c>
      <c r="W138" s="16" t="s">
        <v>166</v>
      </c>
      <c r="X138" s="16" t="s">
        <v>431</v>
      </c>
    </row>
    <row r="139" customFormat="false" ht="15" hidden="false" customHeight="false" outlineLevel="0" collapsed="false">
      <c r="A139" s="7" t="s">
        <v>432</v>
      </c>
      <c r="B139" s="7" t="s">
        <v>165</v>
      </c>
      <c r="C139" s="16" t="s">
        <v>31</v>
      </c>
      <c r="D139" s="16" t="s">
        <v>37</v>
      </c>
      <c r="E139" s="16" t="s">
        <v>43</v>
      </c>
      <c r="F139" s="16" t="s">
        <v>49</v>
      </c>
      <c r="G139" s="16" t="s">
        <v>49</v>
      </c>
      <c r="H139" s="16" t="s">
        <v>59</v>
      </c>
      <c r="I139" s="16" t="s">
        <v>65</v>
      </c>
      <c r="J139" s="16" t="s">
        <v>71</v>
      </c>
      <c r="K139" s="16" t="s">
        <v>74</v>
      </c>
      <c r="L139" s="16" t="s">
        <v>80</v>
      </c>
      <c r="M139" s="16" t="s">
        <v>89</v>
      </c>
      <c r="N139" s="16" t="s">
        <v>91</v>
      </c>
      <c r="O139" s="16" t="s">
        <v>99</v>
      </c>
      <c r="P139" s="16" t="s">
        <v>105</v>
      </c>
      <c r="Q139" s="16" t="s">
        <v>110</v>
      </c>
      <c r="R139" s="16" t="s">
        <v>116</v>
      </c>
      <c r="S139" s="16" t="s">
        <v>122</v>
      </c>
      <c r="T139" s="16" t="s">
        <v>127</v>
      </c>
      <c r="U139" s="16" t="s">
        <v>132</v>
      </c>
      <c r="V139" s="16" t="s">
        <v>138</v>
      </c>
      <c r="W139" s="16" t="s">
        <v>166</v>
      </c>
      <c r="X139" s="16" t="s">
        <v>433</v>
      </c>
    </row>
    <row r="140" customFormat="false" ht="15" hidden="false" customHeight="false" outlineLevel="0" collapsed="false">
      <c r="A140" s="7" t="s">
        <v>434</v>
      </c>
      <c r="B140" s="7" t="s">
        <v>165</v>
      </c>
      <c r="C140" s="16" t="s">
        <v>32</v>
      </c>
      <c r="D140" s="16" t="s">
        <v>37</v>
      </c>
      <c r="E140" s="16" t="s">
        <v>46</v>
      </c>
      <c r="F140" s="16" t="s">
        <v>49</v>
      </c>
      <c r="G140" s="16" t="s">
        <v>49</v>
      </c>
      <c r="H140" s="16" t="s">
        <v>59</v>
      </c>
      <c r="I140" s="16" t="s">
        <v>65</v>
      </c>
      <c r="J140" s="16" t="s">
        <v>61</v>
      </c>
      <c r="K140" s="16" t="s">
        <v>75</v>
      </c>
      <c r="L140" s="16" t="s">
        <v>80</v>
      </c>
      <c r="M140" s="16" t="s">
        <v>85</v>
      </c>
      <c r="N140" s="16" t="s">
        <v>91</v>
      </c>
      <c r="O140" s="16" t="s">
        <v>99</v>
      </c>
      <c r="P140" s="16" t="s">
        <v>105</v>
      </c>
      <c r="Q140" s="16" t="s">
        <v>109</v>
      </c>
      <c r="R140" s="16" t="s">
        <v>117</v>
      </c>
      <c r="S140" s="16" t="s">
        <v>121</v>
      </c>
      <c r="T140" s="16" t="s">
        <v>127</v>
      </c>
      <c r="U140" s="16" t="s">
        <v>132</v>
      </c>
      <c r="V140" s="16" t="s">
        <v>138</v>
      </c>
      <c r="W140" s="16" t="s">
        <v>166</v>
      </c>
      <c r="X140" s="16" t="s">
        <v>435</v>
      </c>
    </row>
    <row r="141" customFormat="false" ht="15" hidden="false" customHeight="false" outlineLevel="0" collapsed="false">
      <c r="A141" s="7" t="s">
        <v>436</v>
      </c>
      <c r="B141" s="7" t="s">
        <v>165</v>
      </c>
      <c r="C141" s="16" t="s">
        <v>32</v>
      </c>
      <c r="D141" s="16" t="s">
        <v>37</v>
      </c>
      <c r="E141" s="16" t="s">
        <v>43</v>
      </c>
      <c r="F141" s="16" t="s">
        <v>49</v>
      </c>
      <c r="G141" s="16" t="s">
        <v>49</v>
      </c>
      <c r="H141" s="16" t="s">
        <v>59</v>
      </c>
      <c r="I141" s="16" t="s">
        <v>65</v>
      </c>
      <c r="J141" s="16" t="s">
        <v>70</v>
      </c>
      <c r="K141" s="16" t="s">
        <v>75</v>
      </c>
      <c r="L141" s="16" t="s">
        <v>80</v>
      </c>
      <c r="M141" s="16" t="s">
        <v>87</v>
      </c>
      <c r="N141" s="16" t="s">
        <v>92</v>
      </c>
      <c r="O141" s="16" t="s">
        <v>101</v>
      </c>
      <c r="P141" s="16" t="s">
        <v>103</v>
      </c>
      <c r="Q141" s="16" t="s">
        <v>109</v>
      </c>
      <c r="R141" s="16" t="s">
        <v>115</v>
      </c>
      <c r="S141" s="16" t="s">
        <v>121</v>
      </c>
      <c r="T141" s="16" t="s">
        <v>127</v>
      </c>
      <c r="U141" s="16" t="s">
        <v>132</v>
      </c>
      <c r="V141" s="16" t="s">
        <v>138</v>
      </c>
      <c r="W141" s="16" t="s">
        <v>166</v>
      </c>
      <c r="X141" s="16" t="s">
        <v>364</v>
      </c>
    </row>
    <row r="142" customFormat="false" ht="15" hidden="false" customHeight="false" outlineLevel="0" collapsed="false">
      <c r="A142" s="7" t="s">
        <v>437</v>
      </c>
      <c r="B142" s="7" t="s">
        <v>165</v>
      </c>
      <c r="C142" s="16" t="s">
        <v>31</v>
      </c>
      <c r="D142" s="16" t="s">
        <v>37</v>
      </c>
      <c r="E142" s="16" t="s">
        <v>43</v>
      </c>
      <c r="F142" s="16" t="s">
        <v>49</v>
      </c>
      <c r="G142" s="16" t="s">
        <v>49</v>
      </c>
      <c r="H142" s="16" t="s">
        <v>59</v>
      </c>
      <c r="I142" s="16" t="s">
        <v>65</v>
      </c>
      <c r="J142" s="16" t="s">
        <v>70</v>
      </c>
      <c r="K142" s="16" t="s">
        <v>74</v>
      </c>
      <c r="L142" s="16" t="s">
        <v>82</v>
      </c>
      <c r="M142" s="16" t="s">
        <v>85</v>
      </c>
      <c r="N142" s="16" t="s">
        <v>91</v>
      </c>
      <c r="O142" s="16" t="s">
        <v>99</v>
      </c>
      <c r="P142" s="16" t="s">
        <v>105</v>
      </c>
      <c r="Q142" s="16" t="s">
        <v>109</v>
      </c>
      <c r="R142" s="16" t="s">
        <v>116</v>
      </c>
      <c r="S142" s="16" t="s">
        <v>122</v>
      </c>
      <c r="T142" s="16" t="s">
        <v>122</v>
      </c>
      <c r="U142" s="16" t="s">
        <v>134</v>
      </c>
      <c r="V142" s="16" t="s">
        <v>138</v>
      </c>
      <c r="W142" s="16" t="s">
        <v>166</v>
      </c>
      <c r="X142" s="16" t="s">
        <v>438</v>
      </c>
    </row>
    <row r="143" customFormat="false" ht="15" hidden="false" customHeight="false" outlineLevel="0" collapsed="false">
      <c r="A143" s="7" t="s">
        <v>439</v>
      </c>
      <c r="B143" s="7" t="s">
        <v>165</v>
      </c>
      <c r="C143" s="16" t="s">
        <v>31</v>
      </c>
      <c r="D143" s="16" t="s">
        <v>37</v>
      </c>
      <c r="E143" s="16" t="s">
        <v>44</v>
      </c>
      <c r="F143" s="16" t="s">
        <v>49</v>
      </c>
      <c r="G143" s="16" t="s">
        <v>49</v>
      </c>
      <c r="H143" s="16" t="s">
        <v>59</v>
      </c>
      <c r="I143" s="16" t="s">
        <v>65</v>
      </c>
      <c r="J143" s="16" t="s">
        <v>70</v>
      </c>
      <c r="K143" s="16" t="s">
        <v>75</v>
      </c>
      <c r="L143" s="16" t="s">
        <v>80</v>
      </c>
      <c r="M143" s="16" t="s">
        <v>85</v>
      </c>
      <c r="N143" s="16" t="s">
        <v>92</v>
      </c>
      <c r="O143" s="16" t="s">
        <v>99</v>
      </c>
      <c r="P143" s="16" t="s">
        <v>105</v>
      </c>
      <c r="Q143" s="16" t="s">
        <v>109</v>
      </c>
      <c r="R143" s="16" t="s">
        <v>116</v>
      </c>
      <c r="S143" s="16" t="s">
        <v>122</v>
      </c>
      <c r="T143" s="16" t="s">
        <v>127</v>
      </c>
      <c r="U143" s="16" t="s">
        <v>132</v>
      </c>
      <c r="V143" s="16" t="s">
        <v>138</v>
      </c>
      <c r="W143" s="16" t="s">
        <v>211</v>
      </c>
      <c r="X143" s="16" t="s">
        <v>440</v>
      </c>
    </row>
    <row r="144" customFormat="false" ht="15" hidden="false" customHeight="false" outlineLevel="0" collapsed="false">
      <c r="A144" s="7" t="s">
        <v>441</v>
      </c>
      <c r="B144" s="7" t="s">
        <v>193</v>
      </c>
      <c r="C144" s="16" t="s">
        <v>34</v>
      </c>
      <c r="D144" s="16" t="s">
        <v>38</v>
      </c>
      <c r="E144" s="16" t="s">
        <v>45</v>
      </c>
      <c r="F144" s="16" t="s">
        <v>49</v>
      </c>
      <c r="G144" s="16" t="s">
        <v>49</v>
      </c>
      <c r="H144" s="16" t="s">
        <v>59</v>
      </c>
      <c r="I144" s="16" t="s">
        <v>65</v>
      </c>
      <c r="J144" s="16" t="s">
        <v>61</v>
      </c>
      <c r="K144" s="16" t="s">
        <v>77</v>
      </c>
      <c r="L144" s="16" t="s">
        <v>83</v>
      </c>
      <c r="M144" s="16" t="s">
        <v>88</v>
      </c>
      <c r="N144" s="16" t="s">
        <v>93</v>
      </c>
      <c r="O144" s="16" t="s">
        <v>99</v>
      </c>
      <c r="P144" s="16" t="s">
        <v>105</v>
      </c>
      <c r="Q144" s="16" t="s">
        <v>112</v>
      </c>
      <c r="R144" s="16" t="s">
        <v>117</v>
      </c>
      <c r="S144" s="16" t="s">
        <v>121</v>
      </c>
      <c r="T144" s="16" t="s">
        <v>127</v>
      </c>
      <c r="U144" s="16" t="s">
        <v>133</v>
      </c>
      <c r="V144" s="16" t="s">
        <v>138</v>
      </c>
      <c r="W144" s="16" t="s">
        <v>166</v>
      </c>
      <c r="X144" s="16" t="s">
        <v>442</v>
      </c>
    </row>
    <row r="145" customFormat="false" ht="15" hidden="false" customHeight="false" outlineLevel="0" collapsed="false">
      <c r="A145" s="7" t="s">
        <v>443</v>
      </c>
      <c r="B145" s="7" t="s">
        <v>206</v>
      </c>
      <c r="C145" s="16" t="s">
        <v>32</v>
      </c>
      <c r="D145" s="16" t="s">
        <v>37</v>
      </c>
      <c r="E145" s="16" t="s">
        <v>46</v>
      </c>
      <c r="F145" s="16" t="s">
        <v>49</v>
      </c>
      <c r="G145" s="16" t="s">
        <v>49</v>
      </c>
      <c r="H145" s="16" t="s">
        <v>59</v>
      </c>
      <c r="I145" s="16" t="s">
        <v>65</v>
      </c>
      <c r="J145" s="16" t="s">
        <v>71</v>
      </c>
      <c r="K145" s="16" t="s">
        <v>76</v>
      </c>
      <c r="L145" s="16" t="s">
        <v>82</v>
      </c>
      <c r="M145" s="16" t="s">
        <v>86</v>
      </c>
      <c r="N145" s="16" t="s">
        <v>91</v>
      </c>
      <c r="O145" s="16" t="s">
        <v>97</v>
      </c>
      <c r="P145" s="16" t="s">
        <v>103</v>
      </c>
      <c r="Q145" s="16" t="s">
        <v>109</v>
      </c>
      <c r="R145" s="16" t="s">
        <v>116</v>
      </c>
      <c r="S145" s="16" t="s">
        <v>124</v>
      </c>
      <c r="T145" s="16" t="s">
        <v>128</v>
      </c>
      <c r="U145" s="16" t="s">
        <v>134</v>
      </c>
      <c r="V145" s="16" t="s">
        <v>139</v>
      </c>
      <c r="W145" s="16" t="s">
        <v>166</v>
      </c>
      <c r="X145" s="16" t="s">
        <v>444</v>
      </c>
    </row>
    <row r="146" customFormat="false" ht="15" hidden="false" customHeight="false" outlineLevel="0" collapsed="false">
      <c r="A146" s="7" t="s">
        <v>445</v>
      </c>
      <c r="B146" s="7" t="s">
        <v>193</v>
      </c>
      <c r="C146" s="16" t="s">
        <v>33</v>
      </c>
      <c r="D146" s="16" t="s">
        <v>40</v>
      </c>
      <c r="E146" s="16" t="s">
        <v>45</v>
      </c>
      <c r="F146" s="16" t="s">
        <v>49</v>
      </c>
      <c r="G146" s="16" t="s">
        <v>49</v>
      </c>
      <c r="H146" s="16" t="s">
        <v>59</v>
      </c>
      <c r="I146" s="16" t="s">
        <v>65</v>
      </c>
      <c r="J146" s="16" t="s">
        <v>61</v>
      </c>
      <c r="K146" s="16" t="s">
        <v>76</v>
      </c>
      <c r="L146" s="16" t="s">
        <v>80</v>
      </c>
      <c r="M146" s="16" t="s">
        <v>87</v>
      </c>
      <c r="N146" s="16" t="s">
        <v>93</v>
      </c>
      <c r="O146" s="16" t="s">
        <v>99</v>
      </c>
      <c r="P146" s="16" t="s">
        <v>104</v>
      </c>
      <c r="Q146" s="16" t="s">
        <v>109</v>
      </c>
      <c r="R146" s="16" t="s">
        <v>117</v>
      </c>
      <c r="S146" s="16" t="s">
        <v>125</v>
      </c>
      <c r="T146" s="16" t="s">
        <v>127</v>
      </c>
      <c r="U146" s="16" t="s">
        <v>133</v>
      </c>
      <c r="V146" s="16" t="s">
        <v>138</v>
      </c>
      <c r="W146" s="16" t="s">
        <v>166</v>
      </c>
      <c r="X146" s="16" t="s">
        <v>308</v>
      </c>
    </row>
    <row r="147" customFormat="false" ht="15" hidden="false" customHeight="false" outlineLevel="0" collapsed="false">
      <c r="A147" s="7" t="s">
        <v>446</v>
      </c>
      <c r="B147" s="7" t="s">
        <v>165</v>
      </c>
      <c r="C147" s="16" t="s">
        <v>31</v>
      </c>
      <c r="D147" s="16" t="s">
        <v>37</v>
      </c>
      <c r="E147" s="16" t="s">
        <v>43</v>
      </c>
      <c r="F147" s="16" t="s">
        <v>49</v>
      </c>
      <c r="G147" s="16" t="s">
        <v>49</v>
      </c>
      <c r="H147" s="16" t="s">
        <v>59</v>
      </c>
      <c r="I147" s="16" t="s">
        <v>65</v>
      </c>
      <c r="J147" s="16" t="s">
        <v>70</v>
      </c>
      <c r="K147" s="16" t="s">
        <v>75</v>
      </c>
      <c r="L147" s="16" t="s">
        <v>80</v>
      </c>
      <c r="M147" s="16" t="s">
        <v>87</v>
      </c>
      <c r="N147" s="16" t="s">
        <v>92</v>
      </c>
      <c r="O147" s="16" t="s">
        <v>100</v>
      </c>
      <c r="P147" s="16" t="s">
        <v>106</v>
      </c>
      <c r="Q147" s="16" t="s">
        <v>110</v>
      </c>
      <c r="R147" s="16" t="s">
        <v>115</v>
      </c>
      <c r="S147" s="16" t="s">
        <v>122</v>
      </c>
      <c r="T147" s="16" t="s">
        <v>127</v>
      </c>
      <c r="U147" s="16" t="s">
        <v>132</v>
      </c>
      <c r="V147" s="16" t="s">
        <v>138</v>
      </c>
      <c r="W147" s="16" t="s">
        <v>166</v>
      </c>
      <c r="X147" s="16" t="s">
        <v>447</v>
      </c>
    </row>
    <row r="148" customFormat="false" ht="15" hidden="false" customHeight="false" outlineLevel="0" collapsed="false">
      <c r="A148" s="7" t="s">
        <v>448</v>
      </c>
      <c r="B148" s="7" t="s">
        <v>165</v>
      </c>
      <c r="C148" s="16" t="s">
        <v>31</v>
      </c>
      <c r="D148" s="16" t="s">
        <v>37</v>
      </c>
      <c r="E148" s="16" t="s">
        <v>43</v>
      </c>
      <c r="F148" s="16" t="s">
        <v>49</v>
      </c>
      <c r="G148" s="16" t="s">
        <v>49</v>
      </c>
      <c r="H148" s="16" t="s">
        <v>59</v>
      </c>
      <c r="I148" s="16" t="s">
        <v>65</v>
      </c>
      <c r="J148" s="16" t="s">
        <v>70</v>
      </c>
      <c r="K148" s="16" t="s">
        <v>74</v>
      </c>
      <c r="L148" s="16" t="s">
        <v>81</v>
      </c>
      <c r="M148" s="16" t="s">
        <v>87</v>
      </c>
      <c r="N148" s="16" t="s">
        <v>92</v>
      </c>
      <c r="O148" s="16" t="s">
        <v>99</v>
      </c>
      <c r="P148" s="16" t="s">
        <v>106</v>
      </c>
      <c r="Q148" s="16" t="s">
        <v>109</v>
      </c>
      <c r="R148" s="16" t="s">
        <v>115</v>
      </c>
      <c r="S148" s="16" t="s">
        <v>122</v>
      </c>
      <c r="T148" s="16" t="s">
        <v>127</v>
      </c>
      <c r="U148" s="16" t="s">
        <v>132</v>
      </c>
      <c r="V148" s="16" t="s">
        <v>138</v>
      </c>
      <c r="W148" s="16" t="s">
        <v>166</v>
      </c>
      <c r="X148" s="16" t="s">
        <v>449</v>
      </c>
    </row>
    <row r="149" customFormat="false" ht="15" hidden="false" customHeight="false" outlineLevel="0" collapsed="false">
      <c r="A149" s="7" t="s">
        <v>450</v>
      </c>
      <c r="B149" s="7" t="s">
        <v>165</v>
      </c>
      <c r="C149" s="16" t="s">
        <v>31</v>
      </c>
      <c r="D149" s="16" t="s">
        <v>37</v>
      </c>
      <c r="E149" s="16" t="s">
        <v>44</v>
      </c>
      <c r="F149" s="16" t="s">
        <v>49</v>
      </c>
      <c r="G149" s="16" t="s">
        <v>49</v>
      </c>
      <c r="H149" s="16" t="s">
        <v>59</v>
      </c>
      <c r="I149" s="16" t="s">
        <v>65</v>
      </c>
      <c r="J149" s="16" t="s">
        <v>71</v>
      </c>
      <c r="K149" s="16" t="s">
        <v>75</v>
      </c>
      <c r="L149" s="16" t="s">
        <v>79</v>
      </c>
      <c r="M149" s="16" t="s">
        <v>88</v>
      </c>
      <c r="N149" s="16" t="s">
        <v>93</v>
      </c>
      <c r="O149" s="16" t="s">
        <v>100</v>
      </c>
      <c r="P149" s="16" t="s">
        <v>105</v>
      </c>
      <c r="Q149" s="16" t="s">
        <v>109</v>
      </c>
      <c r="R149" s="16" t="s">
        <v>116</v>
      </c>
      <c r="S149" s="16" t="s">
        <v>122</v>
      </c>
      <c r="T149" s="16" t="s">
        <v>130</v>
      </c>
      <c r="U149" s="16" t="s">
        <v>132</v>
      </c>
      <c r="V149" s="16" t="s">
        <v>138</v>
      </c>
      <c r="W149" s="16" t="s">
        <v>166</v>
      </c>
      <c r="X149" s="16" t="s">
        <v>353</v>
      </c>
    </row>
    <row r="150" customFormat="false" ht="15" hidden="false" customHeight="false" outlineLevel="0" collapsed="false">
      <c r="A150" s="7" t="s">
        <v>451</v>
      </c>
      <c r="B150" s="7" t="s">
        <v>165</v>
      </c>
      <c r="C150" s="16" t="s">
        <v>31</v>
      </c>
      <c r="D150" s="16" t="s">
        <v>37</v>
      </c>
      <c r="E150" s="16" t="s">
        <v>46</v>
      </c>
      <c r="F150" s="16" t="s">
        <v>49</v>
      </c>
      <c r="G150" s="16" t="s">
        <v>49</v>
      </c>
      <c r="H150" s="16" t="s">
        <v>59</v>
      </c>
      <c r="I150" s="16" t="s">
        <v>65</v>
      </c>
      <c r="J150" s="16" t="s">
        <v>70</v>
      </c>
      <c r="K150" s="16" t="s">
        <v>75</v>
      </c>
      <c r="L150" s="16" t="s">
        <v>80</v>
      </c>
      <c r="M150" s="16" t="s">
        <v>86</v>
      </c>
      <c r="N150" s="16" t="s">
        <v>91</v>
      </c>
      <c r="O150" s="16" t="s">
        <v>97</v>
      </c>
      <c r="P150" s="16" t="s">
        <v>105</v>
      </c>
      <c r="Q150" s="16" t="s">
        <v>109</v>
      </c>
      <c r="R150" s="16" t="s">
        <v>115</v>
      </c>
      <c r="S150" s="16" t="s">
        <v>122</v>
      </c>
      <c r="T150" s="16" t="s">
        <v>122</v>
      </c>
      <c r="U150" s="16" t="s">
        <v>132</v>
      </c>
      <c r="V150" s="16" t="s">
        <v>138</v>
      </c>
      <c r="W150" s="16" t="s">
        <v>166</v>
      </c>
      <c r="X150" s="16" t="s">
        <v>452</v>
      </c>
    </row>
    <row r="151" customFormat="false" ht="15" hidden="false" customHeight="false" outlineLevel="0" collapsed="false">
      <c r="A151" s="7" t="s">
        <v>453</v>
      </c>
      <c r="B151" s="7" t="s">
        <v>165</v>
      </c>
      <c r="C151" s="16" t="s">
        <v>32</v>
      </c>
      <c r="D151" s="16" t="s">
        <v>37</v>
      </c>
      <c r="E151" s="16" t="s">
        <v>45</v>
      </c>
      <c r="F151" s="16" t="s">
        <v>49</v>
      </c>
      <c r="G151" s="16" t="s">
        <v>49</v>
      </c>
      <c r="H151" s="16" t="s">
        <v>59</v>
      </c>
      <c r="I151" s="16" t="s">
        <v>65</v>
      </c>
      <c r="J151" s="16" t="s">
        <v>70</v>
      </c>
      <c r="K151" s="16" t="s">
        <v>74</v>
      </c>
      <c r="L151" s="16" t="s">
        <v>80</v>
      </c>
      <c r="M151" s="16" t="s">
        <v>85</v>
      </c>
      <c r="N151" s="16" t="s">
        <v>91</v>
      </c>
      <c r="O151" s="16" t="s">
        <v>99</v>
      </c>
      <c r="P151" s="16" t="s">
        <v>106</v>
      </c>
      <c r="Q151" s="16" t="s">
        <v>109</v>
      </c>
      <c r="R151" s="16" t="s">
        <v>115</v>
      </c>
      <c r="S151" s="16" t="s">
        <v>122</v>
      </c>
      <c r="T151" s="16" t="s">
        <v>127</v>
      </c>
      <c r="U151" s="16" t="s">
        <v>132</v>
      </c>
      <c r="V151" s="16" t="s">
        <v>138</v>
      </c>
      <c r="W151" s="16" t="s">
        <v>166</v>
      </c>
      <c r="X151" s="16" t="s">
        <v>454</v>
      </c>
    </row>
    <row r="152" customFormat="false" ht="15" hidden="false" customHeight="false" outlineLevel="0" collapsed="false">
      <c r="A152" s="7" t="s">
        <v>455</v>
      </c>
      <c r="B152" s="7" t="s">
        <v>165</v>
      </c>
      <c r="C152" s="16" t="s">
        <v>31</v>
      </c>
      <c r="D152" s="16" t="s">
        <v>37</v>
      </c>
      <c r="E152" s="16" t="s">
        <v>44</v>
      </c>
      <c r="F152" s="16" t="s">
        <v>49</v>
      </c>
      <c r="G152" s="16" t="s">
        <v>49</v>
      </c>
      <c r="H152" s="16" t="s">
        <v>59</v>
      </c>
      <c r="I152" s="16" t="s">
        <v>65</v>
      </c>
      <c r="J152" s="16" t="s">
        <v>70</v>
      </c>
      <c r="K152" s="16" t="s">
        <v>75</v>
      </c>
      <c r="L152" s="16" t="s">
        <v>81</v>
      </c>
      <c r="M152" s="16" t="s">
        <v>87</v>
      </c>
      <c r="N152" s="16" t="s">
        <v>91</v>
      </c>
      <c r="O152" s="16" t="s">
        <v>99</v>
      </c>
      <c r="P152" s="16" t="s">
        <v>105</v>
      </c>
      <c r="Q152" s="16" t="s">
        <v>109</v>
      </c>
      <c r="R152" s="16" t="s">
        <v>116</v>
      </c>
      <c r="S152" s="16" t="s">
        <v>121</v>
      </c>
      <c r="T152" s="16" t="s">
        <v>122</v>
      </c>
      <c r="U152" s="16" t="s">
        <v>132</v>
      </c>
      <c r="V152" s="16" t="s">
        <v>138</v>
      </c>
      <c r="W152" s="16" t="s">
        <v>166</v>
      </c>
      <c r="X152" s="16" t="s">
        <v>456</v>
      </c>
    </row>
    <row r="153" customFormat="false" ht="15" hidden="false" customHeight="false" outlineLevel="0" collapsed="false">
      <c r="A153" s="7" t="s">
        <v>457</v>
      </c>
      <c r="B153" s="7" t="s">
        <v>165</v>
      </c>
      <c r="C153" s="16" t="s">
        <v>31</v>
      </c>
      <c r="D153" s="16" t="s">
        <v>37</v>
      </c>
      <c r="E153" s="16" t="s">
        <v>45</v>
      </c>
      <c r="F153" s="16" t="s">
        <v>49</v>
      </c>
      <c r="G153" s="16" t="s">
        <v>49</v>
      </c>
      <c r="H153" s="16" t="s">
        <v>59</v>
      </c>
      <c r="I153" s="16" t="s">
        <v>66</v>
      </c>
      <c r="J153" s="16" t="s">
        <v>70</v>
      </c>
      <c r="K153" s="16" t="s">
        <v>74</v>
      </c>
      <c r="L153" s="16" t="s">
        <v>80</v>
      </c>
      <c r="M153" s="16" t="s">
        <v>85</v>
      </c>
      <c r="N153" s="16" t="s">
        <v>91</v>
      </c>
      <c r="O153" s="16" t="s">
        <v>99</v>
      </c>
      <c r="P153" s="16" t="s">
        <v>105</v>
      </c>
      <c r="Q153" s="16" t="s">
        <v>111</v>
      </c>
      <c r="R153" s="16" t="s">
        <v>115</v>
      </c>
      <c r="S153" s="16" t="s">
        <v>123</v>
      </c>
      <c r="T153" s="16" t="s">
        <v>127</v>
      </c>
      <c r="U153" s="16" t="s">
        <v>132</v>
      </c>
      <c r="V153" s="16" t="s">
        <v>138</v>
      </c>
      <c r="W153" s="16" t="s">
        <v>166</v>
      </c>
      <c r="X153" s="16" t="s">
        <v>458</v>
      </c>
    </row>
    <row r="154" customFormat="false" ht="15" hidden="false" customHeight="false" outlineLevel="0" collapsed="false">
      <c r="A154" s="7" t="s">
        <v>459</v>
      </c>
      <c r="B154" s="7" t="s">
        <v>193</v>
      </c>
      <c r="C154" s="16" t="s">
        <v>33</v>
      </c>
      <c r="D154" s="16" t="s">
        <v>41</v>
      </c>
      <c r="E154" s="16" t="s">
        <v>45</v>
      </c>
      <c r="F154" s="16" t="s">
        <v>49</v>
      </c>
      <c r="G154" s="16" t="s">
        <v>49</v>
      </c>
      <c r="H154" s="16" t="s">
        <v>59</v>
      </c>
      <c r="I154" s="16" t="s">
        <v>65</v>
      </c>
      <c r="J154" s="16" t="s">
        <v>63</v>
      </c>
      <c r="K154" s="16" t="s">
        <v>76</v>
      </c>
      <c r="L154" s="16" t="s">
        <v>81</v>
      </c>
      <c r="M154" s="16" t="s">
        <v>85</v>
      </c>
      <c r="N154" s="16" t="s">
        <v>93</v>
      </c>
      <c r="O154" s="16" t="s">
        <v>100</v>
      </c>
      <c r="P154" s="16" t="s">
        <v>103</v>
      </c>
      <c r="Q154" s="16" t="s">
        <v>109</v>
      </c>
      <c r="R154" s="16" t="s">
        <v>116</v>
      </c>
      <c r="S154" s="16" t="s">
        <v>123</v>
      </c>
      <c r="T154" s="16" t="s">
        <v>122</v>
      </c>
      <c r="U154" s="16" t="s">
        <v>133</v>
      </c>
      <c r="V154" s="16" t="s">
        <v>140</v>
      </c>
      <c r="W154" s="16" t="s">
        <v>166</v>
      </c>
      <c r="X154" s="16" t="s">
        <v>460</v>
      </c>
    </row>
    <row r="155" customFormat="false" ht="15" hidden="false" customHeight="false" outlineLevel="0" collapsed="false">
      <c r="A155" s="7" t="s">
        <v>461</v>
      </c>
      <c r="B155" s="7" t="s">
        <v>165</v>
      </c>
      <c r="C155" s="16" t="s">
        <v>32</v>
      </c>
      <c r="D155" s="16" t="s">
        <v>37</v>
      </c>
      <c r="E155" s="16" t="s">
        <v>43</v>
      </c>
      <c r="F155" s="16" t="s">
        <v>49</v>
      </c>
      <c r="G155" s="16" t="s">
        <v>49</v>
      </c>
      <c r="H155" s="16" t="s">
        <v>59</v>
      </c>
      <c r="I155" s="16" t="s">
        <v>65</v>
      </c>
      <c r="J155" s="16" t="s">
        <v>70</v>
      </c>
      <c r="K155" s="16" t="s">
        <v>75</v>
      </c>
      <c r="L155" s="16" t="s">
        <v>81</v>
      </c>
      <c r="M155" s="16" t="s">
        <v>87</v>
      </c>
      <c r="N155" s="16" t="s">
        <v>91</v>
      </c>
      <c r="O155" s="16" t="s">
        <v>99</v>
      </c>
      <c r="P155" s="16" t="s">
        <v>106</v>
      </c>
      <c r="Q155" s="16" t="s">
        <v>109</v>
      </c>
      <c r="R155" s="16" t="s">
        <v>115</v>
      </c>
      <c r="S155" s="16" t="s">
        <v>122</v>
      </c>
      <c r="T155" s="16" t="s">
        <v>127</v>
      </c>
      <c r="U155" s="16" t="s">
        <v>133</v>
      </c>
      <c r="V155" s="16" t="s">
        <v>138</v>
      </c>
      <c r="W155" s="16" t="s">
        <v>166</v>
      </c>
      <c r="X155" s="16" t="s">
        <v>462</v>
      </c>
    </row>
    <row r="156" customFormat="false" ht="15" hidden="false" customHeight="false" outlineLevel="0" collapsed="false">
      <c r="A156" s="7" t="s">
        <v>463</v>
      </c>
      <c r="B156" s="7" t="s">
        <v>165</v>
      </c>
      <c r="C156" s="16" t="s">
        <v>31</v>
      </c>
      <c r="D156" s="16" t="s">
        <v>37</v>
      </c>
      <c r="E156" s="16" t="s">
        <v>43</v>
      </c>
      <c r="F156" s="16" t="s">
        <v>49</v>
      </c>
      <c r="G156" s="16" t="s">
        <v>49</v>
      </c>
      <c r="H156" s="16" t="s">
        <v>59</v>
      </c>
      <c r="I156" s="16" t="s">
        <v>65</v>
      </c>
      <c r="J156" s="16" t="s">
        <v>70</v>
      </c>
      <c r="K156" s="16" t="s">
        <v>75</v>
      </c>
      <c r="L156" s="16" t="s">
        <v>81</v>
      </c>
      <c r="M156" s="16" t="s">
        <v>85</v>
      </c>
      <c r="N156" s="16" t="s">
        <v>91</v>
      </c>
      <c r="O156" s="16" t="s">
        <v>100</v>
      </c>
      <c r="P156" s="16" t="s">
        <v>106</v>
      </c>
      <c r="Q156" s="16" t="s">
        <v>109</v>
      </c>
      <c r="R156" s="16" t="s">
        <v>115</v>
      </c>
      <c r="S156" s="16" t="s">
        <v>123</v>
      </c>
      <c r="T156" s="16" t="s">
        <v>122</v>
      </c>
      <c r="U156" s="16" t="s">
        <v>132</v>
      </c>
      <c r="V156" s="16" t="s">
        <v>138</v>
      </c>
      <c r="W156" s="16" t="s">
        <v>166</v>
      </c>
      <c r="X156" s="16" t="s">
        <v>464</v>
      </c>
    </row>
    <row r="157" customFormat="false" ht="15" hidden="false" customHeight="false" outlineLevel="0" collapsed="false">
      <c r="A157" s="7" t="s">
        <v>465</v>
      </c>
      <c r="B157" s="7" t="s">
        <v>165</v>
      </c>
      <c r="C157" s="16" t="s">
        <v>32</v>
      </c>
      <c r="D157" s="16" t="s">
        <v>37</v>
      </c>
      <c r="E157" s="16" t="s">
        <v>44</v>
      </c>
      <c r="F157" s="16" t="s">
        <v>49</v>
      </c>
      <c r="G157" s="16" t="s">
        <v>49</v>
      </c>
      <c r="H157" s="16" t="s">
        <v>59</v>
      </c>
      <c r="I157" s="16" t="s">
        <v>65</v>
      </c>
      <c r="J157" s="16" t="s">
        <v>70</v>
      </c>
      <c r="K157" s="16" t="s">
        <v>74</v>
      </c>
      <c r="L157" s="16" t="s">
        <v>80</v>
      </c>
      <c r="M157" s="16" t="s">
        <v>88</v>
      </c>
      <c r="N157" s="16" t="s">
        <v>91</v>
      </c>
      <c r="O157" s="16" t="s">
        <v>99</v>
      </c>
      <c r="P157" s="16" t="s">
        <v>107</v>
      </c>
      <c r="Q157" s="16" t="s">
        <v>109</v>
      </c>
      <c r="R157" s="16" t="s">
        <v>116</v>
      </c>
      <c r="S157" s="16" t="s">
        <v>122</v>
      </c>
      <c r="T157" s="16" t="s">
        <v>127</v>
      </c>
      <c r="U157" s="16" t="s">
        <v>132</v>
      </c>
      <c r="V157" s="16" t="s">
        <v>138</v>
      </c>
      <c r="W157" s="16" t="s">
        <v>166</v>
      </c>
      <c r="X157" s="16" t="s">
        <v>466</v>
      </c>
    </row>
    <row r="158" customFormat="false" ht="15" hidden="false" customHeight="false" outlineLevel="0" collapsed="false">
      <c r="A158" s="7" t="s">
        <v>467</v>
      </c>
      <c r="B158" s="7" t="s">
        <v>206</v>
      </c>
      <c r="C158" s="16" t="s">
        <v>32</v>
      </c>
      <c r="D158" s="16" t="s">
        <v>37</v>
      </c>
      <c r="E158" s="16" t="s">
        <v>46</v>
      </c>
      <c r="F158" s="16" t="s">
        <v>49</v>
      </c>
      <c r="G158" s="16" t="s">
        <v>49</v>
      </c>
      <c r="H158" s="16" t="s">
        <v>59</v>
      </c>
      <c r="I158" s="16" t="s">
        <v>66</v>
      </c>
      <c r="J158" s="16" t="s">
        <v>70</v>
      </c>
      <c r="K158" s="16" t="s">
        <v>76</v>
      </c>
      <c r="L158" s="16" t="s">
        <v>82</v>
      </c>
      <c r="M158" s="16" t="s">
        <v>85</v>
      </c>
      <c r="N158" s="16" t="s">
        <v>92</v>
      </c>
      <c r="O158" s="16" t="s">
        <v>99</v>
      </c>
      <c r="P158" s="16" t="s">
        <v>105</v>
      </c>
      <c r="Q158" s="16" t="s">
        <v>109</v>
      </c>
      <c r="R158" s="16" t="s">
        <v>116</v>
      </c>
      <c r="S158" s="16" t="s">
        <v>125</v>
      </c>
      <c r="T158" s="16" t="s">
        <v>122</v>
      </c>
      <c r="U158" s="16" t="s">
        <v>134</v>
      </c>
      <c r="V158" s="16" t="s">
        <v>138</v>
      </c>
      <c r="W158" s="16" t="s">
        <v>166</v>
      </c>
      <c r="X158" s="16" t="s">
        <v>468</v>
      </c>
    </row>
    <row r="159" customFormat="false" ht="15" hidden="false" customHeight="false" outlineLevel="0" collapsed="false">
      <c r="A159" s="7" t="s">
        <v>469</v>
      </c>
      <c r="B159" s="7" t="s">
        <v>206</v>
      </c>
      <c r="C159" s="16" t="s">
        <v>32</v>
      </c>
      <c r="D159" s="16" t="s">
        <v>37</v>
      </c>
      <c r="E159" s="16" t="s">
        <v>44</v>
      </c>
      <c r="F159" s="16" t="s">
        <v>49</v>
      </c>
      <c r="G159" s="16" t="s">
        <v>49</v>
      </c>
      <c r="H159" s="16" t="s">
        <v>59</v>
      </c>
      <c r="I159" s="16" t="s">
        <v>65</v>
      </c>
      <c r="J159" s="16" t="s">
        <v>70</v>
      </c>
      <c r="K159" s="16" t="s">
        <v>76</v>
      </c>
      <c r="L159" s="16" t="s">
        <v>81</v>
      </c>
      <c r="M159" s="16" t="s">
        <v>86</v>
      </c>
      <c r="N159" s="16" t="s">
        <v>91</v>
      </c>
      <c r="O159" s="16" t="s">
        <v>99</v>
      </c>
      <c r="P159" s="16" t="s">
        <v>103</v>
      </c>
      <c r="Q159" s="16" t="s">
        <v>109</v>
      </c>
      <c r="R159" s="16" t="s">
        <v>116</v>
      </c>
      <c r="S159" s="16" t="s">
        <v>121</v>
      </c>
      <c r="T159" s="16" t="s">
        <v>127</v>
      </c>
      <c r="U159" s="16" t="s">
        <v>134</v>
      </c>
      <c r="V159" s="16" t="s">
        <v>139</v>
      </c>
      <c r="W159" s="16" t="s">
        <v>166</v>
      </c>
      <c r="X159" s="16" t="s">
        <v>470</v>
      </c>
    </row>
    <row r="160" customFormat="false" ht="15" hidden="false" customHeight="false" outlineLevel="0" collapsed="false">
      <c r="A160" s="7" t="s">
        <v>471</v>
      </c>
      <c r="B160" s="7" t="s">
        <v>165</v>
      </c>
      <c r="C160" s="16" t="s">
        <v>32</v>
      </c>
      <c r="D160" s="16" t="s">
        <v>37</v>
      </c>
      <c r="E160" s="16" t="s">
        <v>45</v>
      </c>
      <c r="F160" s="16" t="s">
        <v>49</v>
      </c>
      <c r="G160" s="16" t="s">
        <v>49</v>
      </c>
      <c r="H160" s="16" t="s">
        <v>59</v>
      </c>
      <c r="I160" s="16" t="s">
        <v>65</v>
      </c>
      <c r="J160" s="16" t="s">
        <v>70</v>
      </c>
      <c r="K160" s="16" t="s">
        <v>75</v>
      </c>
      <c r="L160" s="16" t="s">
        <v>81</v>
      </c>
      <c r="M160" s="16" t="s">
        <v>87</v>
      </c>
      <c r="N160" s="16" t="s">
        <v>92</v>
      </c>
      <c r="O160" s="16" t="s">
        <v>99</v>
      </c>
      <c r="P160" s="16" t="s">
        <v>103</v>
      </c>
      <c r="Q160" s="16" t="s">
        <v>109</v>
      </c>
      <c r="R160" s="16" t="s">
        <v>115</v>
      </c>
      <c r="S160" s="16" t="s">
        <v>121</v>
      </c>
      <c r="T160" s="16" t="s">
        <v>127</v>
      </c>
      <c r="U160" s="16" t="s">
        <v>133</v>
      </c>
      <c r="V160" s="16" t="s">
        <v>138</v>
      </c>
      <c r="W160" s="16" t="s">
        <v>166</v>
      </c>
      <c r="X160" s="16" t="s">
        <v>472</v>
      </c>
    </row>
    <row r="161" customFormat="false" ht="15" hidden="false" customHeight="false" outlineLevel="0" collapsed="false">
      <c r="A161" s="7" t="s">
        <v>473</v>
      </c>
      <c r="B161" s="7" t="s">
        <v>206</v>
      </c>
      <c r="C161" s="16" t="s">
        <v>32</v>
      </c>
      <c r="D161" s="16" t="s">
        <v>37</v>
      </c>
      <c r="E161" s="16" t="s">
        <v>46</v>
      </c>
      <c r="F161" s="16" t="s">
        <v>49</v>
      </c>
      <c r="G161" s="16" t="s">
        <v>49</v>
      </c>
      <c r="H161" s="16" t="s">
        <v>59</v>
      </c>
      <c r="I161" s="16" t="s">
        <v>65</v>
      </c>
      <c r="J161" s="16" t="s">
        <v>71</v>
      </c>
      <c r="K161" s="16" t="s">
        <v>76</v>
      </c>
      <c r="L161" s="16" t="s">
        <v>82</v>
      </c>
      <c r="M161" s="16" t="s">
        <v>87</v>
      </c>
      <c r="N161" s="16" t="s">
        <v>91</v>
      </c>
      <c r="O161" s="16" t="s">
        <v>97</v>
      </c>
      <c r="P161" s="16" t="s">
        <v>105</v>
      </c>
      <c r="Q161" s="16" t="s">
        <v>109</v>
      </c>
      <c r="R161" s="16" t="s">
        <v>116</v>
      </c>
      <c r="S161" s="16" t="s">
        <v>124</v>
      </c>
      <c r="T161" s="16" t="s">
        <v>127</v>
      </c>
      <c r="U161" s="16" t="s">
        <v>133</v>
      </c>
      <c r="V161" s="16" t="s">
        <v>138</v>
      </c>
      <c r="W161" s="16" t="s">
        <v>166</v>
      </c>
      <c r="X161" s="16" t="s">
        <v>474</v>
      </c>
    </row>
    <row r="162" customFormat="false" ht="15" hidden="false" customHeight="false" outlineLevel="0" collapsed="false">
      <c r="A162" s="7" t="s">
        <v>475</v>
      </c>
      <c r="B162" s="7" t="s">
        <v>165</v>
      </c>
      <c r="C162" s="16" t="s">
        <v>31</v>
      </c>
      <c r="D162" s="16" t="s">
        <v>37</v>
      </c>
      <c r="E162" s="16" t="s">
        <v>43</v>
      </c>
      <c r="F162" s="16" t="s">
        <v>49</v>
      </c>
      <c r="G162" s="16" t="s">
        <v>49</v>
      </c>
      <c r="H162" s="16" t="s">
        <v>59</v>
      </c>
      <c r="I162" s="16" t="s">
        <v>66</v>
      </c>
      <c r="J162" s="16" t="s">
        <v>70</v>
      </c>
      <c r="K162" s="16" t="s">
        <v>75</v>
      </c>
      <c r="L162" s="16" t="s">
        <v>81</v>
      </c>
      <c r="M162" s="16" t="s">
        <v>86</v>
      </c>
      <c r="N162" s="16" t="s">
        <v>91</v>
      </c>
      <c r="O162" s="16" t="s">
        <v>99</v>
      </c>
      <c r="P162" s="16" t="s">
        <v>105</v>
      </c>
      <c r="Q162" s="16" t="s">
        <v>109</v>
      </c>
      <c r="R162" s="16" t="s">
        <v>117</v>
      </c>
      <c r="S162" s="16" t="s">
        <v>122</v>
      </c>
      <c r="T162" s="16" t="s">
        <v>127</v>
      </c>
      <c r="U162" s="16" t="s">
        <v>132</v>
      </c>
      <c r="V162" s="16" t="s">
        <v>138</v>
      </c>
      <c r="W162" s="16" t="s">
        <v>166</v>
      </c>
      <c r="X162" s="16" t="s">
        <v>476</v>
      </c>
    </row>
    <row r="163" customFormat="false" ht="15" hidden="false" customHeight="false" outlineLevel="0" collapsed="false">
      <c r="A163" s="7" t="s">
        <v>477</v>
      </c>
      <c r="B163" s="7" t="s">
        <v>206</v>
      </c>
      <c r="C163" s="16" t="s">
        <v>32</v>
      </c>
      <c r="D163" s="16" t="s">
        <v>37</v>
      </c>
      <c r="E163" s="16" t="s">
        <v>45</v>
      </c>
      <c r="F163" s="16" t="s">
        <v>49</v>
      </c>
      <c r="G163" s="16" t="s">
        <v>54</v>
      </c>
      <c r="H163" s="16" t="s">
        <v>59</v>
      </c>
      <c r="I163" s="16" t="s">
        <v>65</v>
      </c>
      <c r="J163" s="16" t="s">
        <v>71</v>
      </c>
      <c r="K163" s="16" t="s">
        <v>76</v>
      </c>
      <c r="L163" s="16" t="s">
        <v>81</v>
      </c>
      <c r="M163" s="16" t="s">
        <v>86</v>
      </c>
      <c r="N163" s="16" t="s">
        <v>91</v>
      </c>
      <c r="O163" s="16" t="s">
        <v>97</v>
      </c>
      <c r="P163" s="16" t="s">
        <v>105</v>
      </c>
      <c r="Q163" s="16" t="s">
        <v>109</v>
      </c>
      <c r="R163" s="16" t="s">
        <v>116</v>
      </c>
      <c r="S163" s="16" t="s">
        <v>122</v>
      </c>
      <c r="T163" s="16" t="s">
        <v>127</v>
      </c>
      <c r="U163" s="16" t="s">
        <v>135</v>
      </c>
      <c r="V163" s="16" t="s">
        <v>138</v>
      </c>
      <c r="W163" s="16" t="s">
        <v>166</v>
      </c>
      <c r="X163" s="16" t="s">
        <v>478</v>
      </c>
    </row>
    <row r="164" customFormat="false" ht="15" hidden="false" customHeight="false" outlineLevel="0" collapsed="false">
      <c r="A164" s="7" t="s">
        <v>479</v>
      </c>
      <c r="B164" s="7" t="s">
        <v>165</v>
      </c>
      <c r="C164" s="16" t="s">
        <v>32</v>
      </c>
      <c r="D164" s="16" t="s">
        <v>37</v>
      </c>
      <c r="E164" s="16" t="s">
        <v>43</v>
      </c>
      <c r="F164" s="16" t="s">
        <v>49</v>
      </c>
      <c r="G164" s="16" t="s">
        <v>54</v>
      </c>
      <c r="H164" s="16" t="s">
        <v>59</v>
      </c>
      <c r="I164" s="16" t="s">
        <v>65</v>
      </c>
      <c r="J164" s="16" t="s">
        <v>70</v>
      </c>
      <c r="K164" s="16" t="s">
        <v>75</v>
      </c>
      <c r="L164" s="16" t="s">
        <v>81</v>
      </c>
      <c r="M164" s="16" t="s">
        <v>85</v>
      </c>
      <c r="N164" s="16" t="s">
        <v>92</v>
      </c>
      <c r="O164" s="16" t="s">
        <v>99</v>
      </c>
      <c r="P164" s="16" t="s">
        <v>105</v>
      </c>
      <c r="Q164" s="16" t="s">
        <v>111</v>
      </c>
      <c r="R164" s="16" t="s">
        <v>115</v>
      </c>
      <c r="S164" s="16" t="s">
        <v>122</v>
      </c>
      <c r="T164" s="16" t="s">
        <v>127</v>
      </c>
      <c r="U164" s="16" t="s">
        <v>132</v>
      </c>
      <c r="V164" s="16" t="s">
        <v>140</v>
      </c>
      <c r="W164" s="16" t="s">
        <v>166</v>
      </c>
      <c r="X164" s="16" t="s">
        <v>304</v>
      </c>
    </row>
    <row r="165" customFormat="false" ht="15" hidden="false" customHeight="false" outlineLevel="0" collapsed="false">
      <c r="A165" s="7" t="s">
        <v>480</v>
      </c>
      <c r="B165" s="7" t="s">
        <v>165</v>
      </c>
      <c r="C165" s="16" t="s">
        <v>31</v>
      </c>
      <c r="D165" s="16" t="s">
        <v>37</v>
      </c>
      <c r="E165" s="16" t="s">
        <v>43</v>
      </c>
      <c r="F165" s="16" t="s">
        <v>49</v>
      </c>
      <c r="G165" s="16" t="s">
        <v>49</v>
      </c>
      <c r="H165" s="16" t="s">
        <v>59</v>
      </c>
      <c r="I165" s="16" t="s">
        <v>65</v>
      </c>
      <c r="J165" s="16" t="s">
        <v>70</v>
      </c>
      <c r="K165" s="16" t="s">
        <v>74</v>
      </c>
      <c r="L165" s="16" t="s">
        <v>81</v>
      </c>
      <c r="M165" s="16" t="s">
        <v>85</v>
      </c>
      <c r="N165" s="16" t="s">
        <v>91</v>
      </c>
      <c r="O165" s="16" t="s">
        <v>97</v>
      </c>
      <c r="P165" s="16" t="s">
        <v>105</v>
      </c>
      <c r="Q165" s="16" t="s">
        <v>110</v>
      </c>
      <c r="R165" s="16" t="s">
        <v>116</v>
      </c>
      <c r="S165" s="16" t="s">
        <v>122</v>
      </c>
      <c r="T165" s="16" t="s">
        <v>122</v>
      </c>
      <c r="U165" s="16" t="s">
        <v>132</v>
      </c>
      <c r="V165" s="16" t="s">
        <v>138</v>
      </c>
      <c r="W165" s="16" t="s">
        <v>166</v>
      </c>
      <c r="X165" s="16" t="s">
        <v>481</v>
      </c>
    </row>
    <row r="166" customFormat="false" ht="15" hidden="false" customHeight="false" outlineLevel="0" collapsed="false">
      <c r="A166" s="7" t="s">
        <v>482</v>
      </c>
      <c r="B166" s="7" t="s">
        <v>165</v>
      </c>
      <c r="C166" s="16" t="s">
        <v>31</v>
      </c>
      <c r="D166" s="16" t="s">
        <v>37</v>
      </c>
      <c r="E166" s="16" t="s">
        <v>43</v>
      </c>
      <c r="F166" s="16" t="s">
        <v>49</v>
      </c>
      <c r="G166" s="16" t="s">
        <v>49</v>
      </c>
      <c r="H166" s="16" t="s">
        <v>59</v>
      </c>
      <c r="I166" s="16" t="s">
        <v>65</v>
      </c>
      <c r="J166" s="16" t="s">
        <v>70</v>
      </c>
      <c r="K166" s="16" t="s">
        <v>74</v>
      </c>
      <c r="L166" s="16" t="s">
        <v>80</v>
      </c>
      <c r="M166" s="16" t="s">
        <v>86</v>
      </c>
      <c r="N166" s="16" t="s">
        <v>91</v>
      </c>
      <c r="O166" s="16" t="s">
        <v>100</v>
      </c>
      <c r="P166" s="16" t="s">
        <v>105</v>
      </c>
      <c r="Q166" s="16" t="s">
        <v>109</v>
      </c>
      <c r="R166" s="16" t="s">
        <v>115</v>
      </c>
      <c r="S166" s="16" t="s">
        <v>123</v>
      </c>
      <c r="T166" s="16" t="s">
        <v>128</v>
      </c>
      <c r="U166" s="16" t="s">
        <v>132</v>
      </c>
      <c r="V166" s="16" t="s">
        <v>138</v>
      </c>
      <c r="W166" s="16" t="s">
        <v>166</v>
      </c>
      <c r="X166" s="16" t="s">
        <v>483</v>
      </c>
    </row>
    <row r="167" customFormat="false" ht="15" hidden="false" customHeight="false" outlineLevel="0" collapsed="false">
      <c r="A167" s="7" t="s">
        <v>484</v>
      </c>
      <c r="B167" s="7" t="s">
        <v>193</v>
      </c>
      <c r="C167" s="16" t="s">
        <v>33</v>
      </c>
      <c r="D167" s="16" t="s">
        <v>38</v>
      </c>
      <c r="E167" s="16" t="s">
        <v>45</v>
      </c>
      <c r="F167" s="16" t="s">
        <v>49</v>
      </c>
      <c r="G167" s="16" t="s">
        <v>49</v>
      </c>
      <c r="H167" s="16" t="s">
        <v>59</v>
      </c>
      <c r="I167" s="16" t="s">
        <v>65</v>
      </c>
      <c r="J167" s="16" t="s">
        <v>71</v>
      </c>
      <c r="K167" s="16" t="s">
        <v>77</v>
      </c>
      <c r="L167" s="16" t="s">
        <v>80</v>
      </c>
      <c r="M167" s="16" t="s">
        <v>87</v>
      </c>
      <c r="N167" s="16" t="s">
        <v>94</v>
      </c>
      <c r="O167" s="16" t="s">
        <v>99</v>
      </c>
      <c r="P167" s="16" t="s">
        <v>103</v>
      </c>
      <c r="Q167" s="16" t="s">
        <v>112</v>
      </c>
      <c r="R167" s="16" t="s">
        <v>116</v>
      </c>
      <c r="S167" s="16" t="s">
        <v>123</v>
      </c>
      <c r="T167" s="16" t="s">
        <v>127</v>
      </c>
      <c r="U167" s="16" t="s">
        <v>135</v>
      </c>
      <c r="V167" s="16" t="s">
        <v>139</v>
      </c>
      <c r="W167" s="16" t="s">
        <v>166</v>
      </c>
      <c r="X167" s="16" t="s">
        <v>200</v>
      </c>
    </row>
    <row r="168" customFormat="false" ht="15" hidden="false" customHeight="false" outlineLevel="0" collapsed="false">
      <c r="A168" s="7" t="s">
        <v>485</v>
      </c>
      <c r="B168" s="7" t="s">
        <v>165</v>
      </c>
      <c r="C168" s="16" t="s">
        <v>31</v>
      </c>
      <c r="D168" s="16" t="s">
        <v>37</v>
      </c>
      <c r="E168" s="16" t="s">
        <v>43</v>
      </c>
      <c r="F168" s="16" t="s">
        <v>49</v>
      </c>
      <c r="G168" s="16" t="s">
        <v>49</v>
      </c>
      <c r="H168" s="16" t="s">
        <v>59</v>
      </c>
      <c r="I168" s="16" t="s">
        <v>65</v>
      </c>
      <c r="J168" s="16" t="s">
        <v>70</v>
      </c>
      <c r="K168" s="16" t="s">
        <v>75</v>
      </c>
      <c r="L168" s="16" t="s">
        <v>79</v>
      </c>
      <c r="M168" s="16" t="s">
        <v>86</v>
      </c>
      <c r="N168" s="16" t="s">
        <v>91</v>
      </c>
      <c r="O168" s="16" t="s">
        <v>99</v>
      </c>
      <c r="P168" s="16" t="s">
        <v>105</v>
      </c>
      <c r="Q168" s="16" t="s">
        <v>109</v>
      </c>
      <c r="R168" s="16" t="s">
        <v>115</v>
      </c>
      <c r="S168" s="16" t="s">
        <v>123</v>
      </c>
      <c r="T168" s="16" t="s">
        <v>122</v>
      </c>
      <c r="U168" s="16" t="s">
        <v>132</v>
      </c>
      <c r="V168" s="16" t="s">
        <v>138</v>
      </c>
      <c r="W168" s="16" t="s">
        <v>166</v>
      </c>
      <c r="X168" s="16" t="s">
        <v>249</v>
      </c>
    </row>
    <row r="169" customFormat="false" ht="15" hidden="false" customHeight="false" outlineLevel="0" collapsed="false">
      <c r="A169" s="7" t="s">
        <v>486</v>
      </c>
      <c r="B169" s="7" t="s">
        <v>165</v>
      </c>
      <c r="C169" s="16" t="s">
        <v>31</v>
      </c>
      <c r="D169" s="16" t="s">
        <v>37</v>
      </c>
      <c r="E169" s="16" t="s">
        <v>43</v>
      </c>
      <c r="F169" s="16" t="s">
        <v>49</v>
      </c>
      <c r="G169" s="16" t="s">
        <v>49</v>
      </c>
      <c r="H169" s="16" t="s">
        <v>59</v>
      </c>
      <c r="I169" s="16" t="s">
        <v>65</v>
      </c>
      <c r="J169" s="16" t="s">
        <v>70</v>
      </c>
      <c r="K169" s="16" t="s">
        <v>75</v>
      </c>
      <c r="L169" s="16" t="s">
        <v>81</v>
      </c>
      <c r="M169" s="16" t="s">
        <v>87</v>
      </c>
      <c r="N169" s="16" t="s">
        <v>91</v>
      </c>
      <c r="O169" s="16" t="s">
        <v>99</v>
      </c>
      <c r="P169" s="16" t="s">
        <v>106</v>
      </c>
      <c r="Q169" s="16" t="s">
        <v>109</v>
      </c>
      <c r="R169" s="16" t="s">
        <v>115</v>
      </c>
      <c r="S169" s="16" t="s">
        <v>121</v>
      </c>
      <c r="T169" s="16" t="s">
        <v>127</v>
      </c>
      <c r="U169" s="16" t="s">
        <v>132</v>
      </c>
      <c r="V169" s="16" t="s">
        <v>138</v>
      </c>
      <c r="W169" s="16" t="s">
        <v>166</v>
      </c>
      <c r="X169" s="16" t="s">
        <v>487</v>
      </c>
    </row>
    <row r="170" customFormat="false" ht="15" hidden="false" customHeight="false" outlineLevel="0" collapsed="false">
      <c r="A170" s="7" t="s">
        <v>488</v>
      </c>
      <c r="B170" s="7" t="s">
        <v>206</v>
      </c>
      <c r="C170" s="16" t="s">
        <v>32</v>
      </c>
      <c r="D170" s="16" t="s">
        <v>37</v>
      </c>
      <c r="E170" s="16" t="s">
        <v>47</v>
      </c>
      <c r="F170" s="16" t="s">
        <v>49</v>
      </c>
      <c r="G170" s="16" t="s">
        <v>49</v>
      </c>
      <c r="H170" s="16" t="s">
        <v>59</v>
      </c>
      <c r="I170" s="16" t="s">
        <v>65</v>
      </c>
      <c r="J170" s="16" t="s">
        <v>71</v>
      </c>
      <c r="K170" s="16" t="s">
        <v>77</v>
      </c>
      <c r="L170" s="16" t="s">
        <v>82</v>
      </c>
      <c r="M170" s="16" t="s">
        <v>87</v>
      </c>
      <c r="N170" s="16" t="s">
        <v>91</v>
      </c>
      <c r="O170" s="16" t="s">
        <v>100</v>
      </c>
      <c r="P170" s="16" t="s">
        <v>105</v>
      </c>
      <c r="Q170" s="16" t="s">
        <v>109</v>
      </c>
      <c r="R170" s="16" t="s">
        <v>116</v>
      </c>
      <c r="S170" s="16" t="s">
        <v>124</v>
      </c>
      <c r="T170" s="16" t="s">
        <v>128</v>
      </c>
      <c r="U170" s="16" t="s">
        <v>133</v>
      </c>
      <c r="V170" s="16" t="s">
        <v>139</v>
      </c>
      <c r="W170" s="16" t="s">
        <v>166</v>
      </c>
      <c r="X170" s="16" t="s">
        <v>489</v>
      </c>
    </row>
    <row r="171" customFormat="false" ht="15" hidden="false" customHeight="false" outlineLevel="0" collapsed="false">
      <c r="A171" s="7" t="s">
        <v>490</v>
      </c>
      <c r="B171" s="7" t="s">
        <v>165</v>
      </c>
      <c r="C171" s="16" t="s">
        <v>32</v>
      </c>
      <c r="D171" s="16" t="s">
        <v>37</v>
      </c>
      <c r="E171" s="16" t="s">
        <v>43</v>
      </c>
      <c r="F171" s="16" t="s">
        <v>49</v>
      </c>
      <c r="G171" s="16" t="s">
        <v>54</v>
      </c>
      <c r="H171" s="16" t="s">
        <v>59</v>
      </c>
      <c r="I171" s="16" t="s">
        <v>65</v>
      </c>
      <c r="J171" s="16" t="s">
        <v>70</v>
      </c>
      <c r="K171" s="16" t="s">
        <v>75</v>
      </c>
      <c r="L171" s="16" t="s">
        <v>80</v>
      </c>
      <c r="M171" s="16" t="s">
        <v>86</v>
      </c>
      <c r="N171" s="16" t="s">
        <v>91</v>
      </c>
      <c r="O171" s="16" t="s">
        <v>99</v>
      </c>
      <c r="P171" s="16" t="s">
        <v>105</v>
      </c>
      <c r="Q171" s="16" t="s">
        <v>109</v>
      </c>
      <c r="R171" s="16" t="s">
        <v>115</v>
      </c>
      <c r="S171" s="16" t="s">
        <v>122</v>
      </c>
      <c r="T171" s="16" t="s">
        <v>122</v>
      </c>
      <c r="U171" s="16" t="s">
        <v>132</v>
      </c>
      <c r="V171" s="16" t="s">
        <v>139</v>
      </c>
      <c r="W171" s="16" t="s">
        <v>166</v>
      </c>
      <c r="X171" s="16" t="s">
        <v>491</v>
      </c>
    </row>
    <row r="172" customFormat="false" ht="15" hidden="false" customHeight="false" outlineLevel="0" collapsed="false">
      <c r="A172" s="7" t="s">
        <v>492</v>
      </c>
      <c r="B172" s="7" t="s">
        <v>165</v>
      </c>
      <c r="C172" s="16" t="s">
        <v>31</v>
      </c>
      <c r="D172" s="16" t="s">
        <v>37</v>
      </c>
      <c r="E172" s="16" t="s">
        <v>44</v>
      </c>
      <c r="F172" s="16" t="s">
        <v>49</v>
      </c>
      <c r="G172" s="16" t="s">
        <v>49</v>
      </c>
      <c r="H172" s="16" t="s">
        <v>59</v>
      </c>
      <c r="I172" s="16" t="s">
        <v>65</v>
      </c>
      <c r="J172" s="16" t="s">
        <v>70</v>
      </c>
      <c r="K172" s="16" t="s">
        <v>74</v>
      </c>
      <c r="L172" s="16" t="s">
        <v>81</v>
      </c>
      <c r="M172" s="16" t="s">
        <v>86</v>
      </c>
      <c r="N172" s="16" t="s">
        <v>92</v>
      </c>
      <c r="O172" s="16" t="s">
        <v>99</v>
      </c>
      <c r="P172" s="16" t="s">
        <v>106</v>
      </c>
      <c r="Q172" s="16" t="s">
        <v>110</v>
      </c>
      <c r="R172" s="16" t="s">
        <v>116</v>
      </c>
      <c r="S172" s="16" t="s">
        <v>122</v>
      </c>
      <c r="T172" s="16" t="s">
        <v>127</v>
      </c>
      <c r="U172" s="16" t="s">
        <v>132</v>
      </c>
      <c r="V172" s="16" t="s">
        <v>138</v>
      </c>
      <c r="W172" s="16" t="s">
        <v>166</v>
      </c>
      <c r="X172" s="16" t="s">
        <v>493</v>
      </c>
    </row>
    <row r="173" customFormat="false" ht="15" hidden="false" customHeight="false" outlineLevel="0" collapsed="false">
      <c r="A173" s="7" t="s">
        <v>494</v>
      </c>
      <c r="B173" s="7" t="s">
        <v>165</v>
      </c>
      <c r="C173" s="16" t="s">
        <v>31</v>
      </c>
      <c r="D173" s="16" t="s">
        <v>37</v>
      </c>
      <c r="E173" s="16" t="s">
        <v>43</v>
      </c>
      <c r="F173" s="16" t="s">
        <v>49</v>
      </c>
      <c r="G173" s="16" t="s">
        <v>49</v>
      </c>
      <c r="H173" s="16" t="s">
        <v>59</v>
      </c>
      <c r="I173" s="16" t="s">
        <v>65</v>
      </c>
      <c r="J173" s="16" t="s">
        <v>70</v>
      </c>
      <c r="K173" s="16" t="s">
        <v>74</v>
      </c>
      <c r="L173" s="16" t="s">
        <v>81</v>
      </c>
      <c r="M173" s="16" t="s">
        <v>86</v>
      </c>
      <c r="N173" s="16" t="s">
        <v>91</v>
      </c>
      <c r="O173" s="16" t="s">
        <v>99</v>
      </c>
      <c r="P173" s="16" t="s">
        <v>105</v>
      </c>
      <c r="Q173" s="16" t="s">
        <v>109</v>
      </c>
      <c r="R173" s="16" t="s">
        <v>117</v>
      </c>
      <c r="S173" s="16" t="s">
        <v>122</v>
      </c>
      <c r="T173" s="16" t="s">
        <v>122</v>
      </c>
      <c r="U173" s="16" t="s">
        <v>132</v>
      </c>
      <c r="V173" s="16" t="s">
        <v>138</v>
      </c>
      <c r="W173" s="16" t="s">
        <v>166</v>
      </c>
      <c r="X173" s="16" t="s">
        <v>495</v>
      </c>
    </row>
    <row r="174" customFormat="false" ht="15" hidden="false" customHeight="false" outlineLevel="0" collapsed="false">
      <c r="A174" s="7" t="s">
        <v>496</v>
      </c>
      <c r="B174" s="7" t="s">
        <v>206</v>
      </c>
      <c r="C174" s="16" t="s">
        <v>32</v>
      </c>
      <c r="D174" s="16" t="s">
        <v>37</v>
      </c>
      <c r="E174" s="16" t="s">
        <v>45</v>
      </c>
      <c r="F174" s="16" t="s">
        <v>49</v>
      </c>
      <c r="G174" s="16" t="s">
        <v>49</v>
      </c>
      <c r="H174" s="16" t="s">
        <v>59</v>
      </c>
      <c r="I174" s="16" t="s">
        <v>65</v>
      </c>
      <c r="J174" s="16" t="s">
        <v>71</v>
      </c>
      <c r="K174" s="16" t="s">
        <v>76</v>
      </c>
      <c r="L174" s="16" t="s">
        <v>83</v>
      </c>
      <c r="M174" s="16" t="s">
        <v>85</v>
      </c>
      <c r="N174" s="16" t="s">
        <v>91</v>
      </c>
      <c r="O174" s="16" t="s">
        <v>98</v>
      </c>
      <c r="P174" s="16" t="s">
        <v>105</v>
      </c>
      <c r="Q174" s="16" t="s">
        <v>109</v>
      </c>
      <c r="R174" s="16" t="s">
        <v>116</v>
      </c>
      <c r="S174" s="16" t="s">
        <v>123</v>
      </c>
      <c r="T174" s="16" t="s">
        <v>122</v>
      </c>
      <c r="U174" s="16" t="s">
        <v>135</v>
      </c>
      <c r="V174" s="16" t="s">
        <v>138</v>
      </c>
      <c r="W174" s="16" t="s">
        <v>211</v>
      </c>
      <c r="X174" s="16" t="s">
        <v>497</v>
      </c>
    </row>
    <row r="175" customFormat="false" ht="15" hidden="false" customHeight="false" outlineLevel="0" collapsed="false">
      <c r="A175" s="7" t="s">
        <v>498</v>
      </c>
      <c r="B175" s="7" t="s">
        <v>206</v>
      </c>
      <c r="C175" s="16" t="s">
        <v>32</v>
      </c>
      <c r="D175" s="16" t="s">
        <v>37</v>
      </c>
      <c r="E175" s="16" t="s">
        <v>46</v>
      </c>
      <c r="F175" s="16" t="s">
        <v>49</v>
      </c>
      <c r="G175" s="16" t="s">
        <v>49</v>
      </c>
      <c r="H175" s="16" t="s">
        <v>59</v>
      </c>
      <c r="I175" s="16" t="s">
        <v>65</v>
      </c>
      <c r="J175" s="16" t="s">
        <v>70</v>
      </c>
      <c r="K175" s="16" t="s">
        <v>76</v>
      </c>
      <c r="L175" s="16" t="s">
        <v>83</v>
      </c>
      <c r="M175" s="16" t="s">
        <v>85</v>
      </c>
      <c r="N175" s="16" t="s">
        <v>91</v>
      </c>
      <c r="O175" s="16" t="s">
        <v>97</v>
      </c>
      <c r="P175" s="16" t="s">
        <v>103</v>
      </c>
      <c r="Q175" s="16" t="s">
        <v>109</v>
      </c>
      <c r="R175" s="16" t="s">
        <v>115</v>
      </c>
      <c r="S175" s="16" t="s">
        <v>123</v>
      </c>
      <c r="T175" s="16" t="s">
        <v>127</v>
      </c>
      <c r="U175" s="16" t="s">
        <v>134</v>
      </c>
      <c r="V175" s="16" t="s">
        <v>138</v>
      </c>
      <c r="W175" s="16" t="s">
        <v>166</v>
      </c>
      <c r="X175" s="16" t="s">
        <v>499</v>
      </c>
    </row>
    <row r="176" customFormat="false" ht="15" hidden="false" customHeight="false" outlineLevel="0" collapsed="false">
      <c r="A176" s="7" t="s">
        <v>500</v>
      </c>
      <c r="B176" s="7" t="s">
        <v>206</v>
      </c>
      <c r="C176" s="16" t="s">
        <v>32</v>
      </c>
      <c r="D176" s="16" t="s">
        <v>37</v>
      </c>
      <c r="E176" s="16" t="s">
        <v>44</v>
      </c>
      <c r="F176" s="16" t="s">
        <v>49</v>
      </c>
      <c r="G176" s="16" t="s">
        <v>49</v>
      </c>
      <c r="H176" s="16" t="s">
        <v>59</v>
      </c>
      <c r="I176" s="16" t="s">
        <v>65</v>
      </c>
      <c r="J176" s="16" t="s">
        <v>70</v>
      </c>
      <c r="K176" s="16" t="s">
        <v>77</v>
      </c>
      <c r="L176" s="16" t="s">
        <v>82</v>
      </c>
      <c r="M176" s="16" t="s">
        <v>85</v>
      </c>
      <c r="N176" s="16" t="s">
        <v>91</v>
      </c>
      <c r="O176" s="16" t="s">
        <v>100</v>
      </c>
      <c r="P176" s="16" t="s">
        <v>106</v>
      </c>
      <c r="Q176" s="16" t="s">
        <v>109</v>
      </c>
      <c r="R176" s="16" t="s">
        <v>116</v>
      </c>
      <c r="S176" s="16" t="s">
        <v>122</v>
      </c>
      <c r="T176" s="16" t="s">
        <v>122</v>
      </c>
      <c r="U176" s="16" t="s">
        <v>134</v>
      </c>
      <c r="V176" s="16" t="s">
        <v>140</v>
      </c>
      <c r="W176" s="16" t="s">
        <v>166</v>
      </c>
      <c r="X176" s="16" t="s">
        <v>501</v>
      </c>
    </row>
    <row r="177" customFormat="false" ht="15" hidden="false" customHeight="false" outlineLevel="0" collapsed="false">
      <c r="A177" s="7" t="s">
        <v>502</v>
      </c>
      <c r="B177" s="7" t="s">
        <v>165</v>
      </c>
      <c r="C177" s="16" t="s">
        <v>31</v>
      </c>
      <c r="D177" s="16" t="s">
        <v>37</v>
      </c>
      <c r="E177" s="16" t="s">
        <v>43</v>
      </c>
      <c r="F177" s="16" t="s">
        <v>49</v>
      </c>
      <c r="G177" s="16" t="s">
        <v>49</v>
      </c>
      <c r="H177" s="16" t="s">
        <v>59</v>
      </c>
      <c r="I177" s="16" t="s">
        <v>65</v>
      </c>
      <c r="J177" s="16" t="s">
        <v>70</v>
      </c>
      <c r="K177" s="16" t="s">
        <v>75</v>
      </c>
      <c r="L177" s="16" t="s">
        <v>81</v>
      </c>
      <c r="M177" s="16" t="s">
        <v>86</v>
      </c>
      <c r="N177" s="16" t="s">
        <v>91</v>
      </c>
      <c r="O177" s="16" t="s">
        <v>98</v>
      </c>
      <c r="P177" s="16" t="s">
        <v>103</v>
      </c>
      <c r="Q177" s="16" t="s">
        <v>111</v>
      </c>
      <c r="R177" s="16" t="s">
        <v>115</v>
      </c>
      <c r="S177" s="16" t="s">
        <v>122</v>
      </c>
      <c r="T177" s="16" t="s">
        <v>122</v>
      </c>
      <c r="U177" s="16" t="s">
        <v>135</v>
      </c>
      <c r="V177" s="16" t="s">
        <v>138</v>
      </c>
      <c r="W177" s="16" t="s">
        <v>166</v>
      </c>
      <c r="X177" s="16" t="s">
        <v>503</v>
      </c>
    </row>
    <row r="178" customFormat="false" ht="15" hidden="false" customHeight="false" outlineLevel="0" collapsed="false">
      <c r="A178" s="7" t="s">
        <v>504</v>
      </c>
      <c r="B178" s="7" t="s">
        <v>165</v>
      </c>
      <c r="C178" s="16" t="s">
        <v>31</v>
      </c>
      <c r="D178" s="16" t="s">
        <v>37</v>
      </c>
      <c r="E178" s="16" t="s">
        <v>43</v>
      </c>
      <c r="F178" s="16" t="s">
        <v>49</v>
      </c>
      <c r="G178" s="16" t="s">
        <v>49</v>
      </c>
      <c r="H178" s="16" t="s">
        <v>59</v>
      </c>
      <c r="I178" s="16" t="s">
        <v>65</v>
      </c>
      <c r="J178" s="16" t="s">
        <v>70</v>
      </c>
      <c r="K178" s="16" t="s">
        <v>73</v>
      </c>
      <c r="L178" s="16" t="s">
        <v>80</v>
      </c>
      <c r="M178" s="16" t="s">
        <v>88</v>
      </c>
      <c r="N178" s="16" t="s">
        <v>95</v>
      </c>
      <c r="O178" s="16" t="s">
        <v>99</v>
      </c>
      <c r="P178" s="16" t="s">
        <v>105</v>
      </c>
      <c r="Q178" s="16" t="s">
        <v>109</v>
      </c>
      <c r="R178" s="16" t="s">
        <v>115</v>
      </c>
      <c r="S178" s="16" t="s">
        <v>123</v>
      </c>
      <c r="T178" s="16" t="s">
        <v>127</v>
      </c>
      <c r="U178" s="16" t="s">
        <v>132</v>
      </c>
      <c r="V178" s="16" t="s">
        <v>138</v>
      </c>
      <c r="W178" s="16" t="s">
        <v>166</v>
      </c>
      <c r="X178" s="16" t="s">
        <v>505</v>
      </c>
    </row>
    <row r="179" customFormat="false" ht="15" hidden="false" customHeight="false" outlineLevel="0" collapsed="false">
      <c r="A179" s="7" t="s">
        <v>506</v>
      </c>
      <c r="B179" s="7" t="s">
        <v>165</v>
      </c>
      <c r="C179" s="16" t="s">
        <v>31</v>
      </c>
      <c r="D179" s="16" t="s">
        <v>37</v>
      </c>
      <c r="E179" s="16" t="s">
        <v>43</v>
      </c>
      <c r="F179" s="16" t="s">
        <v>49</v>
      </c>
      <c r="G179" s="16" t="s">
        <v>49</v>
      </c>
      <c r="H179" s="16" t="s">
        <v>59</v>
      </c>
      <c r="I179" s="16" t="s">
        <v>65</v>
      </c>
      <c r="J179" s="16" t="s">
        <v>70</v>
      </c>
      <c r="K179" s="16" t="s">
        <v>74</v>
      </c>
      <c r="L179" s="16" t="s">
        <v>80</v>
      </c>
      <c r="M179" s="16" t="s">
        <v>85</v>
      </c>
      <c r="N179" s="16" t="s">
        <v>91</v>
      </c>
      <c r="O179" s="16" t="s">
        <v>99</v>
      </c>
      <c r="P179" s="16" t="s">
        <v>105</v>
      </c>
      <c r="Q179" s="16" t="s">
        <v>110</v>
      </c>
      <c r="R179" s="16" t="s">
        <v>118</v>
      </c>
      <c r="S179" s="16" t="s">
        <v>122</v>
      </c>
      <c r="T179" s="16" t="s">
        <v>127</v>
      </c>
      <c r="U179" s="16" t="s">
        <v>132</v>
      </c>
      <c r="V179" s="16" t="s">
        <v>138</v>
      </c>
      <c r="W179" s="16" t="s">
        <v>166</v>
      </c>
      <c r="X179" s="16" t="s">
        <v>507</v>
      </c>
    </row>
    <row r="180" customFormat="false" ht="15" hidden="false" customHeight="false" outlineLevel="0" collapsed="false">
      <c r="A180" s="7" t="s">
        <v>508</v>
      </c>
      <c r="B180" s="7" t="s">
        <v>165</v>
      </c>
      <c r="C180" s="16" t="s">
        <v>31</v>
      </c>
      <c r="D180" s="16" t="s">
        <v>37</v>
      </c>
      <c r="E180" s="16" t="s">
        <v>43</v>
      </c>
      <c r="F180" s="16" t="s">
        <v>49</v>
      </c>
      <c r="G180" s="16" t="s">
        <v>49</v>
      </c>
      <c r="H180" s="16" t="s">
        <v>59</v>
      </c>
      <c r="I180" s="16" t="s">
        <v>66</v>
      </c>
      <c r="J180" s="16" t="s">
        <v>71</v>
      </c>
      <c r="K180" s="16" t="s">
        <v>74</v>
      </c>
      <c r="L180" s="16" t="s">
        <v>80</v>
      </c>
      <c r="M180" s="16" t="s">
        <v>88</v>
      </c>
      <c r="N180" s="16" t="s">
        <v>91</v>
      </c>
      <c r="O180" s="16" t="s">
        <v>99</v>
      </c>
      <c r="P180" s="16" t="s">
        <v>105</v>
      </c>
      <c r="Q180" s="16" t="s">
        <v>109</v>
      </c>
      <c r="R180" s="16" t="s">
        <v>115</v>
      </c>
      <c r="S180" s="16" t="s">
        <v>123</v>
      </c>
      <c r="T180" s="16" t="s">
        <v>127</v>
      </c>
      <c r="U180" s="16" t="s">
        <v>132</v>
      </c>
      <c r="V180" s="16" t="s">
        <v>138</v>
      </c>
      <c r="W180" s="16" t="s">
        <v>166</v>
      </c>
      <c r="X180" s="16" t="s">
        <v>509</v>
      </c>
    </row>
    <row r="181" customFormat="false" ht="15" hidden="false" customHeight="false" outlineLevel="0" collapsed="false">
      <c r="A181" s="7" t="s">
        <v>510</v>
      </c>
      <c r="B181" s="7" t="s">
        <v>165</v>
      </c>
      <c r="C181" s="16" t="s">
        <v>31</v>
      </c>
      <c r="D181" s="16" t="s">
        <v>37</v>
      </c>
      <c r="E181" s="16" t="s">
        <v>43</v>
      </c>
      <c r="F181" s="16" t="s">
        <v>49</v>
      </c>
      <c r="G181" s="16" t="s">
        <v>49</v>
      </c>
      <c r="H181" s="16" t="s">
        <v>59</v>
      </c>
      <c r="I181" s="16" t="s">
        <v>65</v>
      </c>
      <c r="J181" s="16" t="s">
        <v>70</v>
      </c>
      <c r="K181" s="16" t="s">
        <v>74</v>
      </c>
      <c r="L181" s="16" t="s">
        <v>80</v>
      </c>
      <c r="M181" s="16" t="s">
        <v>86</v>
      </c>
      <c r="N181" s="16" t="s">
        <v>91</v>
      </c>
      <c r="O181" s="16" t="s">
        <v>99</v>
      </c>
      <c r="P181" s="16" t="s">
        <v>105</v>
      </c>
      <c r="Q181" s="16" t="s">
        <v>109</v>
      </c>
      <c r="R181" s="16" t="s">
        <v>116</v>
      </c>
      <c r="S181" s="16" t="s">
        <v>121</v>
      </c>
      <c r="T181" s="16" t="s">
        <v>127</v>
      </c>
      <c r="U181" s="16" t="s">
        <v>132</v>
      </c>
      <c r="V181" s="16" t="s">
        <v>138</v>
      </c>
      <c r="W181" s="16" t="s">
        <v>166</v>
      </c>
      <c r="X181" s="16" t="s">
        <v>511</v>
      </c>
    </row>
    <row r="182" customFormat="false" ht="15" hidden="false" customHeight="false" outlineLevel="0" collapsed="false">
      <c r="A182" s="7" t="s">
        <v>512</v>
      </c>
      <c r="B182" s="7" t="s">
        <v>206</v>
      </c>
      <c r="C182" s="16" t="s">
        <v>32</v>
      </c>
      <c r="D182" s="16" t="s">
        <v>37</v>
      </c>
      <c r="E182" s="16" t="s">
        <v>46</v>
      </c>
      <c r="F182" s="16" t="s">
        <v>49</v>
      </c>
      <c r="G182" s="16" t="s">
        <v>49</v>
      </c>
      <c r="H182" s="16" t="s">
        <v>59</v>
      </c>
      <c r="I182" s="16" t="s">
        <v>65</v>
      </c>
      <c r="J182" s="16" t="s">
        <v>70</v>
      </c>
      <c r="K182" s="16" t="s">
        <v>76</v>
      </c>
      <c r="L182" s="16" t="s">
        <v>81</v>
      </c>
      <c r="M182" s="16" t="s">
        <v>85</v>
      </c>
      <c r="N182" s="16" t="s">
        <v>91</v>
      </c>
      <c r="O182" s="16" t="s">
        <v>99</v>
      </c>
      <c r="P182" s="16" t="s">
        <v>103</v>
      </c>
      <c r="Q182" s="16" t="s">
        <v>112</v>
      </c>
      <c r="R182" s="16" t="s">
        <v>117</v>
      </c>
      <c r="S182" s="16" t="s">
        <v>123</v>
      </c>
      <c r="T182" s="16" t="s">
        <v>130</v>
      </c>
      <c r="U182" s="16" t="s">
        <v>133</v>
      </c>
      <c r="V182" s="16" t="s">
        <v>138</v>
      </c>
      <c r="W182" s="16" t="s">
        <v>166</v>
      </c>
      <c r="X182" s="16" t="s">
        <v>513</v>
      </c>
    </row>
    <row r="183" customFormat="false" ht="15" hidden="false" customHeight="false" outlineLevel="0" collapsed="false">
      <c r="A183" s="7" t="s">
        <v>514</v>
      </c>
      <c r="B183" s="7" t="s">
        <v>206</v>
      </c>
      <c r="C183" s="16" t="s">
        <v>32</v>
      </c>
      <c r="D183" s="16" t="s">
        <v>37</v>
      </c>
      <c r="E183" s="16" t="s">
        <v>45</v>
      </c>
      <c r="F183" s="16" t="s">
        <v>49</v>
      </c>
      <c r="G183" s="16" t="s">
        <v>49</v>
      </c>
      <c r="H183" s="16" t="s">
        <v>59</v>
      </c>
      <c r="I183" s="16" t="s">
        <v>65</v>
      </c>
      <c r="J183" s="16" t="s">
        <v>70</v>
      </c>
      <c r="K183" s="16" t="s">
        <v>77</v>
      </c>
      <c r="L183" s="16" t="s">
        <v>81</v>
      </c>
      <c r="M183" s="16" t="s">
        <v>86</v>
      </c>
      <c r="N183" s="16" t="s">
        <v>93</v>
      </c>
      <c r="O183" s="16" t="s">
        <v>99</v>
      </c>
      <c r="P183" s="16" t="s">
        <v>103</v>
      </c>
      <c r="Q183" s="16" t="s">
        <v>111</v>
      </c>
      <c r="R183" s="16" t="s">
        <v>116</v>
      </c>
      <c r="S183" s="16" t="s">
        <v>123</v>
      </c>
      <c r="T183" s="16" t="s">
        <v>127</v>
      </c>
      <c r="U183" s="16" t="s">
        <v>133</v>
      </c>
      <c r="V183" s="16" t="s">
        <v>138</v>
      </c>
      <c r="W183" s="16" t="s">
        <v>166</v>
      </c>
      <c r="X183" s="16" t="s">
        <v>501</v>
      </c>
    </row>
    <row r="184" customFormat="false" ht="15" hidden="false" customHeight="false" outlineLevel="0" collapsed="false">
      <c r="A184" s="7" t="s">
        <v>515</v>
      </c>
      <c r="B184" s="7" t="s">
        <v>165</v>
      </c>
      <c r="C184" s="16" t="s">
        <v>31</v>
      </c>
      <c r="D184" s="16" t="s">
        <v>37</v>
      </c>
      <c r="E184" s="16" t="s">
        <v>44</v>
      </c>
      <c r="F184" s="16" t="s">
        <v>49</v>
      </c>
      <c r="G184" s="16" t="s">
        <v>49</v>
      </c>
      <c r="H184" s="16" t="s">
        <v>59</v>
      </c>
      <c r="I184" s="16" t="s">
        <v>65</v>
      </c>
      <c r="J184" s="16" t="s">
        <v>71</v>
      </c>
      <c r="K184" s="16" t="s">
        <v>73</v>
      </c>
      <c r="L184" s="16" t="s">
        <v>81</v>
      </c>
      <c r="M184" s="16" t="s">
        <v>85</v>
      </c>
      <c r="N184" s="16" t="s">
        <v>91</v>
      </c>
      <c r="O184" s="16" t="s">
        <v>97</v>
      </c>
      <c r="P184" s="16" t="s">
        <v>106</v>
      </c>
      <c r="Q184" s="16" t="s">
        <v>109</v>
      </c>
      <c r="R184" s="16" t="s">
        <v>115</v>
      </c>
      <c r="S184" s="16" t="s">
        <v>122</v>
      </c>
      <c r="T184" s="16" t="s">
        <v>127</v>
      </c>
      <c r="U184" s="16" t="s">
        <v>132</v>
      </c>
      <c r="V184" s="16" t="s">
        <v>138</v>
      </c>
      <c r="W184" s="16" t="s">
        <v>166</v>
      </c>
      <c r="X184" s="16" t="s">
        <v>460</v>
      </c>
    </row>
    <row r="185" customFormat="false" ht="15" hidden="false" customHeight="false" outlineLevel="0" collapsed="false">
      <c r="A185" s="7" t="s">
        <v>516</v>
      </c>
      <c r="B185" s="7" t="s">
        <v>165</v>
      </c>
      <c r="C185" s="16" t="s">
        <v>31</v>
      </c>
      <c r="D185" s="16" t="s">
        <v>37</v>
      </c>
      <c r="E185" s="16" t="s">
        <v>43</v>
      </c>
      <c r="F185" s="16" t="s">
        <v>49</v>
      </c>
      <c r="G185" s="16" t="s">
        <v>56</v>
      </c>
      <c r="H185" s="16" t="s">
        <v>59</v>
      </c>
      <c r="I185" s="16" t="s">
        <v>65</v>
      </c>
      <c r="J185" s="16" t="s">
        <v>70</v>
      </c>
      <c r="K185" s="16" t="s">
        <v>74</v>
      </c>
      <c r="L185" s="16" t="s">
        <v>81</v>
      </c>
      <c r="M185" s="16" t="s">
        <v>85</v>
      </c>
      <c r="N185" s="16" t="s">
        <v>91</v>
      </c>
      <c r="O185" s="16" t="s">
        <v>100</v>
      </c>
      <c r="P185" s="16" t="s">
        <v>105</v>
      </c>
      <c r="Q185" s="16" t="s">
        <v>109</v>
      </c>
      <c r="R185" s="16" t="s">
        <v>115</v>
      </c>
      <c r="S185" s="16" t="s">
        <v>123</v>
      </c>
      <c r="T185" s="16" t="s">
        <v>127</v>
      </c>
      <c r="U185" s="16" t="s">
        <v>132</v>
      </c>
      <c r="V185" s="16" t="s">
        <v>141</v>
      </c>
      <c r="W185" s="16" t="s">
        <v>166</v>
      </c>
      <c r="X185" s="16" t="s">
        <v>517</v>
      </c>
    </row>
    <row r="186" customFormat="false" ht="15" hidden="false" customHeight="false" outlineLevel="0" collapsed="false">
      <c r="A186" s="7" t="s">
        <v>518</v>
      </c>
      <c r="B186" s="7" t="s">
        <v>165</v>
      </c>
      <c r="C186" s="16" t="s">
        <v>32</v>
      </c>
      <c r="D186" s="16" t="s">
        <v>37</v>
      </c>
      <c r="E186" s="16" t="s">
        <v>43</v>
      </c>
      <c r="F186" s="16" t="s">
        <v>49</v>
      </c>
      <c r="G186" s="16" t="s">
        <v>49</v>
      </c>
      <c r="H186" s="16" t="s">
        <v>59</v>
      </c>
      <c r="I186" s="16" t="s">
        <v>65</v>
      </c>
      <c r="J186" s="16" t="s">
        <v>70</v>
      </c>
      <c r="K186" s="16" t="s">
        <v>74</v>
      </c>
      <c r="L186" s="16" t="s">
        <v>80</v>
      </c>
      <c r="M186" s="16" t="s">
        <v>85</v>
      </c>
      <c r="N186" s="16" t="s">
        <v>91</v>
      </c>
      <c r="O186" s="16" t="s">
        <v>99</v>
      </c>
      <c r="P186" s="16" t="s">
        <v>105</v>
      </c>
      <c r="Q186" s="16" t="s">
        <v>109</v>
      </c>
      <c r="R186" s="16" t="s">
        <v>115</v>
      </c>
      <c r="S186" s="16" t="s">
        <v>122</v>
      </c>
      <c r="T186" s="16" t="s">
        <v>127</v>
      </c>
      <c r="U186" s="16" t="s">
        <v>133</v>
      </c>
      <c r="V186" s="16" t="s">
        <v>139</v>
      </c>
      <c r="W186" s="16" t="s">
        <v>166</v>
      </c>
      <c r="X186" s="16" t="s">
        <v>519</v>
      </c>
    </row>
    <row r="187" customFormat="false" ht="15" hidden="false" customHeight="false" outlineLevel="0" collapsed="false">
      <c r="A187" s="7" t="s">
        <v>520</v>
      </c>
      <c r="B187" s="7" t="s">
        <v>206</v>
      </c>
      <c r="C187" s="16" t="s">
        <v>32</v>
      </c>
      <c r="D187" s="16" t="s">
        <v>37</v>
      </c>
      <c r="E187" s="16" t="s">
        <v>46</v>
      </c>
      <c r="F187" s="16" t="s">
        <v>49</v>
      </c>
      <c r="G187" s="16" t="s">
        <v>54</v>
      </c>
      <c r="H187" s="16" t="s">
        <v>59</v>
      </c>
      <c r="I187" s="16" t="s">
        <v>65</v>
      </c>
      <c r="J187" s="16" t="s">
        <v>71</v>
      </c>
      <c r="K187" s="16" t="s">
        <v>76</v>
      </c>
      <c r="L187" s="16" t="s">
        <v>82</v>
      </c>
      <c r="M187" s="16" t="s">
        <v>87</v>
      </c>
      <c r="N187" s="16" t="s">
        <v>91</v>
      </c>
      <c r="O187" s="16" t="s">
        <v>97</v>
      </c>
      <c r="P187" s="16" t="s">
        <v>106</v>
      </c>
      <c r="Q187" s="16" t="s">
        <v>111</v>
      </c>
      <c r="R187" s="16" t="s">
        <v>116</v>
      </c>
      <c r="S187" s="16" t="s">
        <v>123</v>
      </c>
      <c r="T187" s="16" t="s">
        <v>129</v>
      </c>
      <c r="U187" s="16" t="s">
        <v>134</v>
      </c>
      <c r="V187" s="16" t="s">
        <v>138</v>
      </c>
      <c r="W187" s="16" t="s">
        <v>166</v>
      </c>
      <c r="X187" s="16" t="s">
        <v>521</v>
      </c>
    </row>
    <row r="188" customFormat="false" ht="15" hidden="false" customHeight="false" outlineLevel="0" collapsed="false">
      <c r="A188" s="7" t="s">
        <v>522</v>
      </c>
      <c r="B188" s="7" t="s">
        <v>165</v>
      </c>
      <c r="C188" s="16" t="s">
        <v>31</v>
      </c>
      <c r="D188" s="16" t="s">
        <v>37</v>
      </c>
      <c r="E188" s="16" t="s">
        <v>43</v>
      </c>
      <c r="F188" s="16" t="s">
        <v>49</v>
      </c>
      <c r="G188" s="16" t="s">
        <v>49</v>
      </c>
      <c r="H188" s="16" t="s">
        <v>59</v>
      </c>
      <c r="I188" s="16" t="s">
        <v>65</v>
      </c>
      <c r="J188" s="16" t="s">
        <v>70</v>
      </c>
      <c r="K188" s="16" t="s">
        <v>75</v>
      </c>
      <c r="L188" s="16" t="s">
        <v>81</v>
      </c>
      <c r="M188" s="16" t="s">
        <v>85</v>
      </c>
      <c r="N188" s="16" t="s">
        <v>92</v>
      </c>
      <c r="O188" s="16" t="s">
        <v>97</v>
      </c>
      <c r="P188" s="16" t="s">
        <v>106</v>
      </c>
      <c r="Q188" s="16" t="s">
        <v>109</v>
      </c>
      <c r="R188" s="16" t="s">
        <v>115</v>
      </c>
      <c r="S188" s="16" t="s">
        <v>122</v>
      </c>
      <c r="T188" s="16" t="s">
        <v>127</v>
      </c>
      <c r="U188" s="16" t="s">
        <v>132</v>
      </c>
      <c r="V188" s="16" t="s">
        <v>138</v>
      </c>
      <c r="W188" s="16" t="s">
        <v>166</v>
      </c>
      <c r="X188" s="16" t="s">
        <v>523</v>
      </c>
    </row>
    <row r="189" customFormat="false" ht="15" hidden="false" customHeight="false" outlineLevel="0" collapsed="false">
      <c r="A189" s="7" t="s">
        <v>524</v>
      </c>
      <c r="B189" s="7" t="s">
        <v>206</v>
      </c>
      <c r="C189" s="16" t="s">
        <v>32</v>
      </c>
      <c r="D189" s="16" t="s">
        <v>37</v>
      </c>
      <c r="E189" s="16" t="s">
        <v>46</v>
      </c>
      <c r="F189" s="16" t="s">
        <v>49</v>
      </c>
      <c r="G189" s="16" t="s">
        <v>49</v>
      </c>
      <c r="H189" s="16" t="s">
        <v>59</v>
      </c>
      <c r="I189" s="16" t="s">
        <v>65</v>
      </c>
      <c r="J189" s="16" t="s">
        <v>70</v>
      </c>
      <c r="K189" s="16" t="s">
        <v>76</v>
      </c>
      <c r="L189" s="16" t="s">
        <v>80</v>
      </c>
      <c r="M189" s="16" t="s">
        <v>85</v>
      </c>
      <c r="N189" s="16" t="s">
        <v>91</v>
      </c>
      <c r="O189" s="16" t="s">
        <v>99</v>
      </c>
      <c r="P189" s="16" t="s">
        <v>106</v>
      </c>
      <c r="Q189" s="16" t="s">
        <v>110</v>
      </c>
      <c r="R189" s="16" t="s">
        <v>118</v>
      </c>
      <c r="S189" s="16" t="s">
        <v>124</v>
      </c>
      <c r="T189" s="16" t="s">
        <v>127</v>
      </c>
      <c r="U189" s="16" t="s">
        <v>134</v>
      </c>
      <c r="V189" s="16" t="s">
        <v>140</v>
      </c>
      <c r="W189" s="16" t="s">
        <v>166</v>
      </c>
      <c r="X189" s="16" t="s">
        <v>525</v>
      </c>
    </row>
    <row r="190" customFormat="false" ht="15" hidden="false" customHeight="false" outlineLevel="0" collapsed="false">
      <c r="A190" s="7" t="s">
        <v>526</v>
      </c>
      <c r="B190" s="7" t="s">
        <v>165</v>
      </c>
      <c r="C190" s="16" t="s">
        <v>31</v>
      </c>
      <c r="D190" s="16" t="s">
        <v>37</v>
      </c>
      <c r="E190" s="16" t="s">
        <v>43</v>
      </c>
      <c r="F190" s="16" t="s">
        <v>49</v>
      </c>
      <c r="G190" s="16" t="s">
        <v>49</v>
      </c>
      <c r="H190" s="16" t="s">
        <v>59</v>
      </c>
      <c r="I190" s="16" t="s">
        <v>65</v>
      </c>
      <c r="J190" s="16" t="s">
        <v>70</v>
      </c>
      <c r="K190" s="16" t="s">
        <v>75</v>
      </c>
      <c r="L190" s="16" t="s">
        <v>80</v>
      </c>
      <c r="M190" s="16" t="s">
        <v>86</v>
      </c>
      <c r="N190" s="16" t="s">
        <v>91</v>
      </c>
      <c r="O190" s="16" t="s">
        <v>99</v>
      </c>
      <c r="P190" s="16" t="s">
        <v>105</v>
      </c>
      <c r="Q190" s="16" t="s">
        <v>109</v>
      </c>
      <c r="R190" s="16" t="s">
        <v>115</v>
      </c>
      <c r="S190" s="16" t="s">
        <v>121</v>
      </c>
      <c r="T190" s="16" t="s">
        <v>122</v>
      </c>
      <c r="U190" s="16" t="s">
        <v>132</v>
      </c>
      <c r="V190" s="16" t="s">
        <v>138</v>
      </c>
      <c r="W190" s="16" t="s">
        <v>166</v>
      </c>
      <c r="X190" s="16" t="s">
        <v>527</v>
      </c>
    </row>
    <row r="191" customFormat="false" ht="15" hidden="false" customHeight="false" outlineLevel="0" collapsed="false">
      <c r="A191" s="7" t="s">
        <v>528</v>
      </c>
      <c r="B191" s="7" t="s">
        <v>165</v>
      </c>
      <c r="C191" s="16" t="s">
        <v>31</v>
      </c>
      <c r="D191" s="16" t="s">
        <v>37</v>
      </c>
      <c r="E191" s="16" t="s">
        <v>43</v>
      </c>
      <c r="F191" s="16" t="s">
        <v>49</v>
      </c>
      <c r="G191" s="16" t="s">
        <v>54</v>
      </c>
      <c r="H191" s="16" t="s">
        <v>59</v>
      </c>
      <c r="I191" s="16" t="s">
        <v>65</v>
      </c>
      <c r="J191" s="16" t="s">
        <v>71</v>
      </c>
      <c r="K191" s="16" t="s">
        <v>74</v>
      </c>
      <c r="L191" s="16" t="s">
        <v>81</v>
      </c>
      <c r="M191" s="16" t="s">
        <v>87</v>
      </c>
      <c r="N191" s="16" t="s">
        <v>91</v>
      </c>
      <c r="O191" s="16" t="s">
        <v>99</v>
      </c>
      <c r="P191" s="16" t="s">
        <v>104</v>
      </c>
      <c r="Q191" s="16" t="s">
        <v>109</v>
      </c>
      <c r="R191" s="16" t="s">
        <v>115</v>
      </c>
      <c r="S191" s="16" t="s">
        <v>122</v>
      </c>
      <c r="T191" s="16" t="s">
        <v>128</v>
      </c>
      <c r="U191" s="16" t="s">
        <v>132</v>
      </c>
      <c r="V191" s="16" t="s">
        <v>138</v>
      </c>
      <c r="W191" s="16" t="s">
        <v>166</v>
      </c>
      <c r="X191" s="16" t="s">
        <v>529</v>
      </c>
    </row>
    <row r="192" customFormat="false" ht="15" hidden="false" customHeight="false" outlineLevel="0" collapsed="false">
      <c r="A192" s="7" t="s">
        <v>530</v>
      </c>
      <c r="B192" s="7" t="s">
        <v>165</v>
      </c>
      <c r="C192" s="16" t="s">
        <v>31</v>
      </c>
      <c r="D192" s="16" t="s">
        <v>37</v>
      </c>
      <c r="E192" s="16" t="s">
        <v>43</v>
      </c>
      <c r="F192" s="16" t="s">
        <v>49</v>
      </c>
      <c r="G192" s="16" t="s">
        <v>54</v>
      </c>
      <c r="H192" s="16" t="s">
        <v>59</v>
      </c>
      <c r="I192" s="16" t="s">
        <v>65</v>
      </c>
      <c r="J192" s="16" t="s">
        <v>70</v>
      </c>
      <c r="K192" s="16" t="s">
        <v>74</v>
      </c>
      <c r="L192" s="16" t="s">
        <v>80</v>
      </c>
      <c r="M192" s="16" t="s">
        <v>86</v>
      </c>
      <c r="N192" s="16" t="s">
        <v>91</v>
      </c>
      <c r="O192" s="16" t="s">
        <v>99</v>
      </c>
      <c r="P192" s="16" t="s">
        <v>105</v>
      </c>
      <c r="Q192" s="16" t="s">
        <v>109</v>
      </c>
      <c r="R192" s="16" t="s">
        <v>115</v>
      </c>
      <c r="S192" s="16" t="s">
        <v>121</v>
      </c>
      <c r="T192" s="16" t="s">
        <v>127</v>
      </c>
      <c r="U192" s="16" t="s">
        <v>133</v>
      </c>
      <c r="V192" s="16" t="s">
        <v>138</v>
      </c>
      <c r="W192" s="16" t="s">
        <v>166</v>
      </c>
      <c r="X192" s="16" t="s">
        <v>394</v>
      </c>
    </row>
    <row r="193" customFormat="false" ht="15" hidden="false" customHeight="false" outlineLevel="0" collapsed="false">
      <c r="A193" s="7" t="s">
        <v>531</v>
      </c>
      <c r="B193" s="7" t="s">
        <v>165</v>
      </c>
      <c r="C193" s="16" t="s">
        <v>31</v>
      </c>
      <c r="D193" s="16" t="s">
        <v>37</v>
      </c>
      <c r="E193" s="16" t="s">
        <v>43</v>
      </c>
      <c r="F193" s="16" t="s">
        <v>49</v>
      </c>
      <c r="G193" s="16" t="s">
        <v>49</v>
      </c>
      <c r="H193" s="16" t="s">
        <v>59</v>
      </c>
      <c r="I193" s="16" t="s">
        <v>65</v>
      </c>
      <c r="J193" s="16" t="s">
        <v>70</v>
      </c>
      <c r="K193" s="16" t="s">
        <v>75</v>
      </c>
      <c r="L193" s="16" t="s">
        <v>80</v>
      </c>
      <c r="M193" s="16" t="s">
        <v>86</v>
      </c>
      <c r="N193" s="16" t="s">
        <v>91</v>
      </c>
      <c r="O193" s="16" t="s">
        <v>99</v>
      </c>
      <c r="P193" s="16" t="s">
        <v>105</v>
      </c>
      <c r="Q193" s="16" t="s">
        <v>110</v>
      </c>
      <c r="R193" s="16" t="s">
        <v>115</v>
      </c>
      <c r="S193" s="16" t="s">
        <v>121</v>
      </c>
      <c r="T193" s="16" t="s">
        <v>122</v>
      </c>
      <c r="U193" s="16" t="s">
        <v>132</v>
      </c>
      <c r="V193" s="16" t="s">
        <v>138</v>
      </c>
      <c r="W193" s="16" t="s">
        <v>166</v>
      </c>
      <c r="X193" s="16" t="s">
        <v>532</v>
      </c>
    </row>
    <row r="194" customFormat="false" ht="15" hidden="false" customHeight="false" outlineLevel="0" collapsed="false">
      <c r="A194" s="7" t="s">
        <v>533</v>
      </c>
      <c r="B194" s="7" t="s">
        <v>165</v>
      </c>
      <c r="C194" s="16" t="s">
        <v>32</v>
      </c>
      <c r="D194" s="16" t="s">
        <v>37</v>
      </c>
      <c r="E194" s="16" t="s">
        <v>43</v>
      </c>
      <c r="F194" s="16" t="s">
        <v>50</v>
      </c>
      <c r="G194" s="16" t="s">
        <v>49</v>
      </c>
      <c r="H194" s="16" t="s">
        <v>59</v>
      </c>
      <c r="I194" s="16" t="s">
        <v>65</v>
      </c>
      <c r="J194" s="16" t="s">
        <v>70</v>
      </c>
      <c r="K194" s="16" t="s">
        <v>74</v>
      </c>
      <c r="L194" s="16" t="s">
        <v>80</v>
      </c>
      <c r="M194" s="16" t="s">
        <v>87</v>
      </c>
      <c r="N194" s="16" t="s">
        <v>91</v>
      </c>
      <c r="O194" s="16" t="s">
        <v>101</v>
      </c>
      <c r="P194" s="16" t="s">
        <v>105</v>
      </c>
      <c r="Q194" s="16" t="s">
        <v>111</v>
      </c>
      <c r="R194" s="16" t="s">
        <v>116</v>
      </c>
      <c r="S194" s="16" t="s">
        <v>121</v>
      </c>
      <c r="T194" s="16" t="s">
        <v>127</v>
      </c>
      <c r="U194" s="16" t="s">
        <v>132</v>
      </c>
      <c r="V194" s="16" t="s">
        <v>138</v>
      </c>
      <c r="W194" s="16" t="s">
        <v>166</v>
      </c>
      <c r="X194" s="16" t="s">
        <v>534</v>
      </c>
    </row>
    <row r="195" customFormat="false" ht="15" hidden="false" customHeight="false" outlineLevel="0" collapsed="false">
      <c r="A195" s="7" t="s">
        <v>535</v>
      </c>
      <c r="B195" s="7" t="s">
        <v>165</v>
      </c>
      <c r="C195" s="16" t="s">
        <v>31</v>
      </c>
      <c r="D195" s="16" t="s">
        <v>37</v>
      </c>
      <c r="E195" s="16" t="s">
        <v>45</v>
      </c>
      <c r="F195" s="16" t="s">
        <v>49</v>
      </c>
      <c r="G195" s="16" t="s">
        <v>49</v>
      </c>
      <c r="H195" s="16" t="s">
        <v>59</v>
      </c>
      <c r="I195" s="16" t="s">
        <v>65</v>
      </c>
      <c r="J195" s="16" t="s">
        <v>70</v>
      </c>
      <c r="K195" s="16" t="s">
        <v>73</v>
      </c>
      <c r="L195" s="16" t="s">
        <v>81</v>
      </c>
      <c r="M195" s="16" t="s">
        <v>86</v>
      </c>
      <c r="N195" s="16" t="s">
        <v>91</v>
      </c>
      <c r="O195" s="16" t="s">
        <v>99</v>
      </c>
      <c r="P195" s="16" t="s">
        <v>103</v>
      </c>
      <c r="Q195" s="16" t="s">
        <v>109</v>
      </c>
      <c r="R195" s="16" t="s">
        <v>115</v>
      </c>
      <c r="S195" s="16" t="s">
        <v>121</v>
      </c>
      <c r="T195" s="16" t="s">
        <v>127</v>
      </c>
      <c r="U195" s="16" t="s">
        <v>132</v>
      </c>
      <c r="V195" s="16" t="s">
        <v>138</v>
      </c>
      <c r="W195" s="16" t="s">
        <v>166</v>
      </c>
      <c r="X195" s="16" t="s">
        <v>536</v>
      </c>
    </row>
    <row r="196" customFormat="false" ht="15" hidden="false" customHeight="false" outlineLevel="0" collapsed="false">
      <c r="A196" s="7" t="s">
        <v>537</v>
      </c>
      <c r="B196" s="7" t="s">
        <v>165</v>
      </c>
      <c r="C196" s="16" t="s">
        <v>32</v>
      </c>
      <c r="D196" s="16" t="s">
        <v>37</v>
      </c>
      <c r="E196" s="16" t="s">
        <v>45</v>
      </c>
      <c r="F196" s="16" t="s">
        <v>49</v>
      </c>
      <c r="G196" s="16" t="s">
        <v>49</v>
      </c>
      <c r="H196" s="16" t="s">
        <v>59</v>
      </c>
      <c r="I196" s="16" t="s">
        <v>65</v>
      </c>
      <c r="J196" s="16" t="s">
        <v>70</v>
      </c>
      <c r="K196" s="16" t="s">
        <v>75</v>
      </c>
      <c r="L196" s="16" t="s">
        <v>79</v>
      </c>
      <c r="M196" s="16" t="s">
        <v>87</v>
      </c>
      <c r="N196" s="16" t="s">
        <v>92</v>
      </c>
      <c r="O196" s="16" t="s">
        <v>99</v>
      </c>
      <c r="P196" s="16" t="s">
        <v>105</v>
      </c>
      <c r="Q196" s="16" t="s">
        <v>109</v>
      </c>
      <c r="R196" s="16" t="s">
        <v>115</v>
      </c>
      <c r="S196" s="16" t="s">
        <v>123</v>
      </c>
      <c r="T196" s="16" t="s">
        <v>127</v>
      </c>
      <c r="U196" s="16" t="s">
        <v>132</v>
      </c>
      <c r="V196" s="16" t="s">
        <v>138</v>
      </c>
      <c r="W196" s="16" t="s">
        <v>166</v>
      </c>
      <c r="X196" s="16" t="s">
        <v>538</v>
      </c>
    </row>
    <row r="197" customFormat="false" ht="15" hidden="false" customHeight="false" outlineLevel="0" collapsed="false">
      <c r="A197" s="7" t="s">
        <v>539</v>
      </c>
      <c r="B197" s="7" t="s">
        <v>165</v>
      </c>
      <c r="C197" s="16" t="s">
        <v>31</v>
      </c>
      <c r="D197" s="16" t="s">
        <v>37</v>
      </c>
      <c r="E197" s="16" t="s">
        <v>43</v>
      </c>
      <c r="F197" s="16" t="s">
        <v>49</v>
      </c>
      <c r="G197" s="16" t="s">
        <v>49</v>
      </c>
      <c r="H197" s="16" t="s">
        <v>59</v>
      </c>
      <c r="I197" s="16" t="s">
        <v>65</v>
      </c>
      <c r="J197" s="16" t="s">
        <v>70</v>
      </c>
      <c r="K197" s="16" t="s">
        <v>74</v>
      </c>
      <c r="L197" s="16" t="s">
        <v>81</v>
      </c>
      <c r="M197" s="16" t="s">
        <v>87</v>
      </c>
      <c r="N197" s="16" t="s">
        <v>91</v>
      </c>
      <c r="O197" s="16" t="s">
        <v>99</v>
      </c>
      <c r="P197" s="16" t="s">
        <v>105</v>
      </c>
      <c r="Q197" s="16" t="s">
        <v>111</v>
      </c>
      <c r="R197" s="16" t="s">
        <v>115</v>
      </c>
      <c r="S197" s="16" t="s">
        <v>122</v>
      </c>
      <c r="T197" s="16" t="s">
        <v>127</v>
      </c>
      <c r="U197" s="16" t="s">
        <v>132</v>
      </c>
      <c r="V197" s="16" t="s">
        <v>138</v>
      </c>
      <c r="W197" s="16" t="s">
        <v>166</v>
      </c>
      <c r="X197" s="16" t="s">
        <v>540</v>
      </c>
    </row>
    <row r="198" customFormat="false" ht="15" hidden="false" customHeight="false" outlineLevel="0" collapsed="false">
      <c r="A198" s="7" t="s">
        <v>541</v>
      </c>
      <c r="B198" s="7" t="s">
        <v>165</v>
      </c>
      <c r="C198" s="16" t="s">
        <v>31</v>
      </c>
      <c r="D198" s="16" t="s">
        <v>37</v>
      </c>
      <c r="E198" s="16" t="s">
        <v>43</v>
      </c>
      <c r="F198" s="16" t="s">
        <v>49</v>
      </c>
      <c r="G198" s="16" t="s">
        <v>49</v>
      </c>
      <c r="H198" s="16" t="s">
        <v>59</v>
      </c>
      <c r="I198" s="16" t="s">
        <v>65</v>
      </c>
      <c r="J198" s="16" t="s">
        <v>70</v>
      </c>
      <c r="K198" s="16" t="s">
        <v>75</v>
      </c>
      <c r="L198" s="16" t="s">
        <v>81</v>
      </c>
      <c r="M198" s="16" t="s">
        <v>87</v>
      </c>
      <c r="N198" s="16" t="s">
        <v>91</v>
      </c>
      <c r="O198" s="16" t="s">
        <v>99</v>
      </c>
      <c r="P198" s="16" t="s">
        <v>105</v>
      </c>
      <c r="Q198" s="16" t="s">
        <v>109</v>
      </c>
      <c r="R198" s="16" t="s">
        <v>116</v>
      </c>
      <c r="S198" s="16" t="s">
        <v>122</v>
      </c>
      <c r="T198" s="16" t="s">
        <v>127</v>
      </c>
      <c r="U198" s="16" t="s">
        <v>132</v>
      </c>
      <c r="V198" s="16" t="s">
        <v>138</v>
      </c>
      <c r="W198" s="16" t="s">
        <v>211</v>
      </c>
      <c r="X198" s="16" t="s">
        <v>542</v>
      </c>
    </row>
    <row r="199" customFormat="false" ht="15" hidden="false" customHeight="false" outlineLevel="0" collapsed="false">
      <c r="A199" s="7" t="s">
        <v>543</v>
      </c>
      <c r="B199" s="7" t="s">
        <v>165</v>
      </c>
      <c r="C199" s="16" t="s">
        <v>31</v>
      </c>
      <c r="D199" s="16" t="s">
        <v>37</v>
      </c>
      <c r="E199" s="16" t="s">
        <v>44</v>
      </c>
      <c r="F199" s="16" t="s">
        <v>49</v>
      </c>
      <c r="G199" s="16" t="s">
        <v>49</v>
      </c>
      <c r="H199" s="16" t="s">
        <v>59</v>
      </c>
      <c r="I199" s="16" t="s">
        <v>66</v>
      </c>
      <c r="J199" s="16" t="s">
        <v>70</v>
      </c>
      <c r="K199" s="16" t="s">
        <v>74</v>
      </c>
      <c r="L199" s="16" t="s">
        <v>82</v>
      </c>
      <c r="M199" s="16" t="s">
        <v>86</v>
      </c>
      <c r="N199" s="16" t="s">
        <v>91</v>
      </c>
      <c r="O199" s="16" t="s">
        <v>99</v>
      </c>
      <c r="P199" s="16" t="s">
        <v>105</v>
      </c>
      <c r="Q199" s="16" t="s">
        <v>110</v>
      </c>
      <c r="R199" s="16" t="s">
        <v>116</v>
      </c>
      <c r="S199" s="16" t="s">
        <v>122</v>
      </c>
      <c r="T199" s="16" t="s">
        <v>122</v>
      </c>
      <c r="U199" s="16" t="s">
        <v>132</v>
      </c>
      <c r="V199" s="16" t="s">
        <v>139</v>
      </c>
      <c r="W199" s="16" t="s">
        <v>166</v>
      </c>
      <c r="X199" s="16" t="s">
        <v>544</v>
      </c>
    </row>
    <row r="200" customFormat="false" ht="15" hidden="false" customHeight="false" outlineLevel="0" collapsed="false">
      <c r="A200" s="7" t="s">
        <v>545</v>
      </c>
      <c r="B200" s="7" t="s">
        <v>165</v>
      </c>
      <c r="C200" s="16" t="s">
        <v>31</v>
      </c>
      <c r="D200" s="16" t="s">
        <v>37</v>
      </c>
      <c r="E200" s="16" t="s">
        <v>45</v>
      </c>
      <c r="F200" s="16" t="s">
        <v>49</v>
      </c>
      <c r="G200" s="16" t="s">
        <v>49</v>
      </c>
      <c r="H200" s="16" t="s">
        <v>59</v>
      </c>
      <c r="I200" s="16" t="s">
        <v>65</v>
      </c>
      <c r="J200" s="16" t="s">
        <v>63</v>
      </c>
      <c r="K200" s="16" t="s">
        <v>75</v>
      </c>
      <c r="L200" s="16" t="s">
        <v>81</v>
      </c>
      <c r="M200" s="16" t="s">
        <v>88</v>
      </c>
      <c r="N200" s="16" t="s">
        <v>92</v>
      </c>
      <c r="O200" s="16" t="s">
        <v>99</v>
      </c>
      <c r="P200" s="16" t="s">
        <v>105</v>
      </c>
      <c r="Q200" s="16" t="s">
        <v>109</v>
      </c>
      <c r="R200" s="16" t="s">
        <v>115</v>
      </c>
      <c r="S200" s="16" t="s">
        <v>121</v>
      </c>
      <c r="T200" s="16" t="s">
        <v>127</v>
      </c>
      <c r="U200" s="16" t="s">
        <v>132</v>
      </c>
      <c r="V200" s="16" t="s">
        <v>138</v>
      </c>
      <c r="W200" s="16" t="s">
        <v>166</v>
      </c>
      <c r="X200" s="16" t="s">
        <v>222</v>
      </c>
    </row>
    <row r="201" customFormat="false" ht="15" hidden="false" customHeight="false" outlineLevel="0" collapsed="false">
      <c r="A201" s="7" t="s">
        <v>546</v>
      </c>
      <c r="B201" s="7" t="s">
        <v>206</v>
      </c>
      <c r="C201" s="16" t="s">
        <v>32</v>
      </c>
      <c r="D201" s="16" t="s">
        <v>37</v>
      </c>
      <c r="E201" s="16" t="s">
        <v>46</v>
      </c>
      <c r="F201" s="16" t="s">
        <v>49</v>
      </c>
      <c r="G201" s="16" t="s">
        <v>49</v>
      </c>
      <c r="H201" s="16" t="s">
        <v>59</v>
      </c>
      <c r="I201" s="16" t="s">
        <v>65</v>
      </c>
      <c r="J201" s="16" t="s">
        <v>62</v>
      </c>
      <c r="K201" s="16" t="s">
        <v>77</v>
      </c>
      <c r="L201" s="16" t="s">
        <v>82</v>
      </c>
      <c r="M201" s="16" t="s">
        <v>87</v>
      </c>
      <c r="N201" s="16" t="s">
        <v>91</v>
      </c>
      <c r="O201" s="16" t="s">
        <v>99</v>
      </c>
      <c r="P201" s="16" t="s">
        <v>105</v>
      </c>
      <c r="Q201" s="16" t="s">
        <v>109</v>
      </c>
      <c r="R201" s="16" t="s">
        <v>116</v>
      </c>
      <c r="S201" s="16" t="s">
        <v>122</v>
      </c>
      <c r="T201" s="16" t="s">
        <v>122</v>
      </c>
      <c r="U201" s="16" t="s">
        <v>133</v>
      </c>
      <c r="V201" s="16" t="s">
        <v>138</v>
      </c>
      <c r="W201" s="16" t="s">
        <v>166</v>
      </c>
      <c r="X201" s="16" t="s">
        <v>547</v>
      </c>
    </row>
    <row r="202" customFormat="false" ht="15" hidden="false" customHeight="false" outlineLevel="0" collapsed="false">
      <c r="A202" s="7" t="s">
        <v>548</v>
      </c>
      <c r="B202" s="7" t="s">
        <v>165</v>
      </c>
      <c r="C202" s="16" t="s">
        <v>31</v>
      </c>
      <c r="D202" s="16" t="s">
        <v>37</v>
      </c>
      <c r="E202" s="16" t="s">
        <v>44</v>
      </c>
      <c r="F202" s="16" t="s">
        <v>49</v>
      </c>
      <c r="G202" s="16" t="s">
        <v>49</v>
      </c>
      <c r="H202" s="16" t="s">
        <v>59</v>
      </c>
      <c r="I202" s="16" t="s">
        <v>65</v>
      </c>
      <c r="J202" s="16" t="s">
        <v>70</v>
      </c>
      <c r="K202" s="16" t="s">
        <v>74</v>
      </c>
      <c r="L202" s="16" t="s">
        <v>80</v>
      </c>
      <c r="M202" s="16" t="s">
        <v>86</v>
      </c>
      <c r="N202" s="16" t="s">
        <v>91</v>
      </c>
      <c r="O202" s="16" t="s">
        <v>99</v>
      </c>
      <c r="P202" s="16" t="s">
        <v>105</v>
      </c>
      <c r="Q202" s="16" t="s">
        <v>109</v>
      </c>
      <c r="R202" s="16" t="s">
        <v>115</v>
      </c>
      <c r="S202" s="16" t="s">
        <v>123</v>
      </c>
      <c r="T202" s="16" t="s">
        <v>129</v>
      </c>
      <c r="U202" s="16" t="s">
        <v>133</v>
      </c>
      <c r="V202" s="16" t="s">
        <v>138</v>
      </c>
      <c r="W202" s="16" t="s">
        <v>166</v>
      </c>
      <c r="X202" s="16" t="s">
        <v>549</v>
      </c>
    </row>
    <row r="203" customFormat="false" ht="15" hidden="false" customHeight="false" outlineLevel="0" collapsed="false">
      <c r="A203" s="7" t="s">
        <v>550</v>
      </c>
      <c r="B203" s="7" t="s">
        <v>165</v>
      </c>
      <c r="C203" s="16" t="s">
        <v>31</v>
      </c>
      <c r="D203" s="16" t="s">
        <v>37</v>
      </c>
      <c r="E203" s="16" t="s">
        <v>43</v>
      </c>
      <c r="F203" s="16" t="s">
        <v>49</v>
      </c>
      <c r="G203" s="16" t="s">
        <v>49</v>
      </c>
      <c r="H203" s="16" t="s">
        <v>59</v>
      </c>
      <c r="I203" s="16" t="s">
        <v>65</v>
      </c>
      <c r="J203" s="16" t="s">
        <v>61</v>
      </c>
      <c r="K203" s="16" t="s">
        <v>75</v>
      </c>
      <c r="L203" s="16" t="s">
        <v>81</v>
      </c>
      <c r="M203" s="16" t="s">
        <v>86</v>
      </c>
      <c r="N203" s="16" t="s">
        <v>91</v>
      </c>
      <c r="O203" s="16" t="s">
        <v>98</v>
      </c>
      <c r="P203" s="16" t="s">
        <v>105</v>
      </c>
      <c r="Q203" s="16" t="s">
        <v>109</v>
      </c>
      <c r="R203" s="16" t="s">
        <v>115</v>
      </c>
      <c r="S203" s="16" t="s">
        <v>121</v>
      </c>
      <c r="T203" s="16" t="s">
        <v>122</v>
      </c>
      <c r="U203" s="16" t="s">
        <v>132</v>
      </c>
      <c r="V203" s="16" t="s">
        <v>138</v>
      </c>
      <c r="W203" s="16" t="s">
        <v>166</v>
      </c>
      <c r="X203" s="16" t="s">
        <v>447</v>
      </c>
    </row>
    <row r="204" customFormat="false" ht="15" hidden="false" customHeight="false" outlineLevel="0" collapsed="false">
      <c r="A204" s="7" t="s">
        <v>551</v>
      </c>
      <c r="B204" s="7" t="s">
        <v>165</v>
      </c>
      <c r="C204" s="16" t="s">
        <v>31</v>
      </c>
      <c r="D204" s="16" t="s">
        <v>37</v>
      </c>
      <c r="E204" s="16" t="s">
        <v>43</v>
      </c>
      <c r="F204" s="16" t="s">
        <v>49</v>
      </c>
      <c r="G204" s="16" t="s">
        <v>49</v>
      </c>
      <c r="H204" s="16" t="s">
        <v>59</v>
      </c>
      <c r="I204" s="16" t="s">
        <v>65</v>
      </c>
      <c r="J204" s="16" t="s">
        <v>70</v>
      </c>
      <c r="K204" s="16" t="s">
        <v>75</v>
      </c>
      <c r="L204" s="16" t="s">
        <v>79</v>
      </c>
      <c r="M204" s="16" t="s">
        <v>86</v>
      </c>
      <c r="N204" s="16" t="s">
        <v>92</v>
      </c>
      <c r="O204" s="16" t="s">
        <v>99</v>
      </c>
      <c r="P204" s="16" t="s">
        <v>105</v>
      </c>
      <c r="Q204" s="16" t="s">
        <v>110</v>
      </c>
      <c r="R204" s="16" t="s">
        <v>116</v>
      </c>
      <c r="S204" s="16" t="s">
        <v>122</v>
      </c>
      <c r="T204" s="16" t="s">
        <v>122</v>
      </c>
      <c r="U204" s="16" t="s">
        <v>133</v>
      </c>
      <c r="V204" s="16" t="s">
        <v>138</v>
      </c>
      <c r="W204" s="16" t="s">
        <v>166</v>
      </c>
      <c r="X204" s="16" t="s">
        <v>552</v>
      </c>
    </row>
    <row r="205" customFormat="false" ht="15" hidden="false" customHeight="false" outlineLevel="0" collapsed="false">
      <c r="A205" s="7" t="s">
        <v>553</v>
      </c>
      <c r="B205" s="7" t="s">
        <v>193</v>
      </c>
      <c r="C205" s="16" t="s">
        <v>34</v>
      </c>
      <c r="D205" s="16" t="s">
        <v>39</v>
      </c>
      <c r="E205" s="16" t="s">
        <v>45</v>
      </c>
      <c r="F205" s="16" t="s">
        <v>49</v>
      </c>
      <c r="G205" s="16" t="s">
        <v>49</v>
      </c>
      <c r="H205" s="16" t="s">
        <v>59</v>
      </c>
      <c r="I205" s="16" t="s">
        <v>66</v>
      </c>
      <c r="J205" s="16" t="s">
        <v>71</v>
      </c>
      <c r="K205" s="16" t="s">
        <v>76</v>
      </c>
      <c r="L205" s="16" t="s">
        <v>82</v>
      </c>
      <c r="M205" s="16" t="s">
        <v>87</v>
      </c>
      <c r="N205" s="16" t="s">
        <v>94</v>
      </c>
      <c r="O205" s="16" t="s">
        <v>100</v>
      </c>
      <c r="P205" s="16" t="s">
        <v>106</v>
      </c>
      <c r="Q205" s="16" t="s">
        <v>109</v>
      </c>
      <c r="R205" s="16" t="s">
        <v>116</v>
      </c>
      <c r="S205" s="16" t="s">
        <v>123</v>
      </c>
      <c r="T205" s="16" t="s">
        <v>127</v>
      </c>
      <c r="U205" s="16" t="s">
        <v>133</v>
      </c>
      <c r="V205" s="16" t="s">
        <v>140</v>
      </c>
      <c r="W205" s="16" t="s">
        <v>166</v>
      </c>
      <c r="X205" s="16" t="s">
        <v>554</v>
      </c>
    </row>
    <row r="206" customFormat="false" ht="15" hidden="false" customHeight="false" outlineLevel="0" collapsed="false">
      <c r="A206" s="7" t="s">
        <v>555</v>
      </c>
      <c r="B206" s="7" t="s">
        <v>165</v>
      </c>
      <c r="C206" s="16" t="s">
        <v>31</v>
      </c>
      <c r="D206" s="16" t="s">
        <v>37</v>
      </c>
      <c r="E206" s="16" t="s">
        <v>43</v>
      </c>
      <c r="F206" s="16" t="s">
        <v>49</v>
      </c>
      <c r="G206" s="16" t="s">
        <v>49</v>
      </c>
      <c r="H206" s="16" t="s">
        <v>59</v>
      </c>
      <c r="I206" s="16" t="s">
        <v>65</v>
      </c>
      <c r="J206" s="16" t="s">
        <v>70</v>
      </c>
      <c r="K206" s="16" t="s">
        <v>74</v>
      </c>
      <c r="L206" s="16" t="s">
        <v>81</v>
      </c>
      <c r="M206" s="16" t="s">
        <v>86</v>
      </c>
      <c r="N206" s="16" t="s">
        <v>91</v>
      </c>
      <c r="O206" s="16" t="s">
        <v>99</v>
      </c>
      <c r="P206" s="16" t="s">
        <v>105</v>
      </c>
      <c r="Q206" s="16" t="s">
        <v>109</v>
      </c>
      <c r="R206" s="16" t="s">
        <v>116</v>
      </c>
      <c r="S206" s="16" t="s">
        <v>122</v>
      </c>
      <c r="T206" s="16" t="s">
        <v>122</v>
      </c>
      <c r="U206" s="16" t="s">
        <v>132</v>
      </c>
      <c r="V206" s="16" t="s">
        <v>138</v>
      </c>
      <c r="W206" s="16" t="s">
        <v>166</v>
      </c>
      <c r="X206" s="16" t="s">
        <v>556</v>
      </c>
    </row>
    <row r="207" customFormat="false" ht="15" hidden="false" customHeight="false" outlineLevel="0" collapsed="false">
      <c r="A207" s="7" t="s">
        <v>557</v>
      </c>
      <c r="B207" s="7" t="s">
        <v>165</v>
      </c>
      <c r="C207" s="16" t="s">
        <v>31</v>
      </c>
      <c r="D207" s="16" t="s">
        <v>37</v>
      </c>
      <c r="E207" s="16" t="s">
        <v>43</v>
      </c>
      <c r="F207" s="16" t="s">
        <v>49</v>
      </c>
      <c r="G207" s="16" t="s">
        <v>49</v>
      </c>
      <c r="H207" s="16" t="s">
        <v>59</v>
      </c>
      <c r="I207" s="16" t="s">
        <v>65</v>
      </c>
      <c r="J207" s="16" t="s">
        <v>70</v>
      </c>
      <c r="K207" s="16" t="s">
        <v>75</v>
      </c>
      <c r="L207" s="16" t="s">
        <v>79</v>
      </c>
      <c r="M207" s="16" t="s">
        <v>85</v>
      </c>
      <c r="N207" s="16" t="s">
        <v>91</v>
      </c>
      <c r="O207" s="16" t="s">
        <v>100</v>
      </c>
      <c r="P207" s="16" t="s">
        <v>105</v>
      </c>
      <c r="Q207" s="16" t="s">
        <v>111</v>
      </c>
      <c r="R207" s="16" t="s">
        <v>115</v>
      </c>
      <c r="S207" s="16" t="s">
        <v>121</v>
      </c>
      <c r="T207" s="16" t="s">
        <v>127</v>
      </c>
      <c r="U207" s="16" t="s">
        <v>133</v>
      </c>
      <c r="V207" s="16" t="s">
        <v>138</v>
      </c>
      <c r="W207" s="16" t="s">
        <v>166</v>
      </c>
      <c r="X207" s="16" t="s">
        <v>558</v>
      </c>
    </row>
    <row r="208" customFormat="false" ht="15" hidden="false" customHeight="false" outlineLevel="0" collapsed="false">
      <c r="A208" s="7" t="s">
        <v>559</v>
      </c>
      <c r="B208" s="7" t="s">
        <v>165</v>
      </c>
      <c r="C208" s="16" t="s">
        <v>31</v>
      </c>
      <c r="D208" s="16" t="s">
        <v>37</v>
      </c>
      <c r="E208" s="16" t="s">
        <v>44</v>
      </c>
      <c r="F208" s="16" t="s">
        <v>49</v>
      </c>
      <c r="G208" s="16" t="s">
        <v>49</v>
      </c>
      <c r="H208" s="16" t="s">
        <v>59</v>
      </c>
      <c r="I208" s="16" t="s">
        <v>65</v>
      </c>
      <c r="J208" s="16" t="s">
        <v>70</v>
      </c>
      <c r="K208" s="16" t="s">
        <v>75</v>
      </c>
      <c r="L208" s="16" t="s">
        <v>80</v>
      </c>
      <c r="M208" s="16" t="s">
        <v>85</v>
      </c>
      <c r="N208" s="16" t="s">
        <v>91</v>
      </c>
      <c r="O208" s="16" t="s">
        <v>99</v>
      </c>
      <c r="P208" s="16" t="s">
        <v>105</v>
      </c>
      <c r="Q208" s="16" t="s">
        <v>109</v>
      </c>
      <c r="R208" s="16" t="s">
        <v>115</v>
      </c>
      <c r="S208" s="16" t="s">
        <v>121</v>
      </c>
      <c r="T208" s="16" t="s">
        <v>127</v>
      </c>
      <c r="U208" s="16" t="s">
        <v>132</v>
      </c>
      <c r="V208" s="16" t="s">
        <v>138</v>
      </c>
      <c r="W208" s="16" t="s">
        <v>166</v>
      </c>
      <c r="X208" s="16" t="s">
        <v>289</v>
      </c>
    </row>
    <row r="209" customFormat="false" ht="15" hidden="false" customHeight="false" outlineLevel="0" collapsed="false">
      <c r="A209" s="7" t="s">
        <v>560</v>
      </c>
      <c r="B209" s="7" t="s">
        <v>165</v>
      </c>
      <c r="C209" s="16" t="s">
        <v>31</v>
      </c>
      <c r="D209" s="16" t="s">
        <v>37</v>
      </c>
      <c r="E209" s="16" t="s">
        <v>43</v>
      </c>
      <c r="F209" s="16" t="s">
        <v>49</v>
      </c>
      <c r="G209" s="16" t="s">
        <v>49</v>
      </c>
      <c r="H209" s="16" t="s">
        <v>59</v>
      </c>
      <c r="I209" s="16" t="s">
        <v>65</v>
      </c>
      <c r="J209" s="16" t="s">
        <v>70</v>
      </c>
      <c r="K209" s="16" t="s">
        <v>74</v>
      </c>
      <c r="L209" s="16" t="s">
        <v>80</v>
      </c>
      <c r="M209" s="16" t="s">
        <v>86</v>
      </c>
      <c r="N209" s="16" t="s">
        <v>91</v>
      </c>
      <c r="O209" s="16" t="s">
        <v>99</v>
      </c>
      <c r="P209" s="16" t="s">
        <v>103</v>
      </c>
      <c r="Q209" s="16" t="s">
        <v>109</v>
      </c>
      <c r="R209" s="16" t="s">
        <v>115</v>
      </c>
      <c r="S209" s="16" t="s">
        <v>123</v>
      </c>
      <c r="T209" s="16" t="s">
        <v>127</v>
      </c>
      <c r="U209" s="16" t="s">
        <v>136</v>
      </c>
      <c r="V209" s="16" t="s">
        <v>139</v>
      </c>
      <c r="W209" s="16" t="s">
        <v>166</v>
      </c>
      <c r="X209" s="16" t="s">
        <v>561</v>
      </c>
    </row>
    <row r="210" customFormat="false" ht="15" hidden="false" customHeight="false" outlineLevel="0" collapsed="false">
      <c r="A210" s="7" t="s">
        <v>562</v>
      </c>
      <c r="B210" s="7" t="s">
        <v>165</v>
      </c>
      <c r="C210" s="16" t="s">
        <v>31</v>
      </c>
      <c r="D210" s="16" t="s">
        <v>37</v>
      </c>
      <c r="E210" s="16" t="s">
        <v>43</v>
      </c>
      <c r="F210" s="16" t="s">
        <v>49</v>
      </c>
      <c r="G210" s="16" t="s">
        <v>49</v>
      </c>
      <c r="H210" s="16" t="s">
        <v>59</v>
      </c>
      <c r="I210" s="16" t="s">
        <v>65</v>
      </c>
      <c r="J210" s="16" t="s">
        <v>62</v>
      </c>
      <c r="K210" s="16" t="s">
        <v>75</v>
      </c>
      <c r="L210" s="16" t="s">
        <v>81</v>
      </c>
      <c r="M210" s="16" t="s">
        <v>87</v>
      </c>
      <c r="N210" s="16" t="s">
        <v>91</v>
      </c>
      <c r="O210" s="16" t="s">
        <v>99</v>
      </c>
      <c r="P210" s="16" t="s">
        <v>105</v>
      </c>
      <c r="Q210" s="16" t="s">
        <v>109</v>
      </c>
      <c r="R210" s="16" t="s">
        <v>117</v>
      </c>
      <c r="S210" s="16" t="s">
        <v>122</v>
      </c>
      <c r="T210" s="16" t="s">
        <v>122</v>
      </c>
      <c r="U210" s="16" t="s">
        <v>133</v>
      </c>
      <c r="V210" s="16" t="s">
        <v>138</v>
      </c>
      <c r="W210" s="16" t="s">
        <v>166</v>
      </c>
      <c r="X210" s="16" t="s">
        <v>563</v>
      </c>
    </row>
    <row r="211" customFormat="false" ht="15" hidden="false" customHeight="false" outlineLevel="0" collapsed="false">
      <c r="A211" s="7" t="s">
        <v>564</v>
      </c>
      <c r="B211" s="7" t="s">
        <v>165</v>
      </c>
      <c r="C211" s="16" t="s">
        <v>31</v>
      </c>
      <c r="D211" s="16" t="s">
        <v>37</v>
      </c>
      <c r="E211" s="16" t="s">
        <v>45</v>
      </c>
      <c r="F211" s="16" t="s">
        <v>49</v>
      </c>
      <c r="G211" s="16" t="s">
        <v>49</v>
      </c>
      <c r="H211" s="16" t="s">
        <v>59</v>
      </c>
      <c r="I211" s="16" t="s">
        <v>65</v>
      </c>
      <c r="J211" s="16" t="s">
        <v>70</v>
      </c>
      <c r="K211" s="16" t="s">
        <v>74</v>
      </c>
      <c r="L211" s="16" t="s">
        <v>80</v>
      </c>
      <c r="M211" s="16" t="s">
        <v>85</v>
      </c>
      <c r="N211" s="16" t="s">
        <v>91</v>
      </c>
      <c r="O211" s="16" t="s">
        <v>101</v>
      </c>
      <c r="P211" s="16" t="s">
        <v>105</v>
      </c>
      <c r="Q211" s="16" t="s">
        <v>110</v>
      </c>
      <c r="R211" s="16" t="s">
        <v>115</v>
      </c>
      <c r="S211" s="16" t="s">
        <v>124</v>
      </c>
      <c r="T211" s="16" t="s">
        <v>122</v>
      </c>
      <c r="U211" s="16" t="s">
        <v>132</v>
      </c>
      <c r="V211" s="16" t="s">
        <v>138</v>
      </c>
      <c r="W211" s="16" t="s">
        <v>166</v>
      </c>
      <c r="X211" s="16" t="s">
        <v>565</v>
      </c>
    </row>
    <row r="212" customFormat="false" ht="15" hidden="false" customHeight="false" outlineLevel="0" collapsed="false">
      <c r="A212" s="7" t="s">
        <v>566</v>
      </c>
      <c r="B212" s="7" t="s">
        <v>193</v>
      </c>
      <c r="C212" s="16" t="s">
        <v>33</v>
      </c>
      <c r="D212" s="16" t="s">
        <v>38</v>
      </c>
      <c r="E212" s="16" t="s">
        <v>44</v>
      </c>
      <c r="F212" s="16" t="s">
        <v>49</v>
      </c>
      <c r="G212" s="16" t="s">
        <v>49</v>
      </c>
      <c r="H212" s="16" t="s">
        <v>59</v>
      </c>
      <c r="I212" s="16" t="s">
        <v>65</v>
      </c>
      <c r="J212" s="16" t="s">
        <v>70</v>
      </c>
      <c r="K212" s="16" t="s">
        <v>77</v>
      </c>
      <c r="L212" s="16" t="s">
        <v>82</v>
      </c>
      <c r="M212" s="16" t="s">
        <v>87</v>
      </c>
      <c r="N212" s="16" t="s">
        <v>91</v>
      </c>
      <c r="O212" s="16" t="s">
        <v>99</v>
      </c>
      <c r="P212" s="16" t="s">
        <v>105</v>
      </c>
      <c r="Q212" s="16" t="s">
        <v>110</v>
      </c>
      <c r="R212" s="16" t="s">
        <v>116</v>
      </c>
      <c r="S212" s="16" t="s">
        <v>122</v>
      </c>
      <c r="T212" s="16" t="s">
        <v>127</v>
      </c>
      <c r="U212" s="16" t="s">
        <v>135</v>
      </c>
      <c r="V212" s="16" t="s">
        <v>138</v>
      </c>
      <c r="W212" s="16" t="s">
        <v>166</v>
      </c>
      <c r="X212" s="16" t="s">
        <v>567</v>
      </c>
    </row>
    <row r="213" customFormat="false" ht="15" hidden="false" customHeight="false" outlineLevel="0" collapsed="false">
      <c r="A213" s="7" t="s">
        <v>568</v>
      </c>
      <c r="B213" s="7" t="s">
        <v>206</v>
      </c>
      <c r="C213" s="16" t="s">
        <v>32</v>
      </c>
      <c r="D213" s="16" t="s">
        <v>37</v>
      </c>
      <c r="E213" s="16" t="s">
        <v>46</v>
      </c>
      <c r="F213" s="16" t="s">
        <v>49</v>
      </c>
      <c r="G213" s="16" t="s">
        <v>49</v>
      </c>
      <c r="H213" s="16" t="s">
        <v>59</v>
      </c>
      <c r="I213" s="16" t="s">
        <v>65</v>
      </c>
      <c r="J213" s="16" t="s">
        <v>70</v>
      </c>
      <c r="K213" s="16" t="s">
        <v>77</v>
      </c>
      <c r="L213" s="16" t="s">
        <v>83</v>
      </c>
      <c r="M213" s="16" t="s">
        <v>87</v>
      </c>
      <c r="N213" s="16" t="s">
        <v>91</v>
      </c>
      <c r="O213" s="16" t="s">
        <v>97</v>
      </c>
      <c r="P213" s="16" t="s">
        <v>106</v>
      </c>
      <c r="Q213" s="16" t="s">
        <v>109</v>
      </c>
      <c r="R213" s="16" t="s">
        <v>116</v>
      </c>
      <c r="S213" s="16" t="s">
        <v>124</v>
      </c>
      <c r="T213" s="16" t="s">
        <v>127</v>
      </c>
      <c r="U213" s="16" t="s">
        <v>135</v>
      </c>
      <c r="V213" s="16" t="s">
        <v>138</v>
      </c>
      <c r="W213" s="16" t="s">
        <v>166</v>
      </c>
      <c r="X213" s="16" t="s">
        <v>400</v>
      </c>
    </row>
    <row r="214" customFormat="false" ht="15" hidden="false" customHeight="false" outlineLevel="0" collapsed="false">
      <c r="A214" s="7" t="s">
        <v>569</v>
      </c>
      <c r="B214" s="7" t="s">
        <v>165</v>
      </c>
      <c r="C214" s="16" t="s">
        <v>31</v>
      </c>
      <c r="D214" s="16" t="s">
        <v>37</v>
      </c>
      <c r="E214" s="16" t="s">
        <v>45</v>
      </c>
      <c r="F214" s="16" t="s">
        <v>49</v>
      </c>
      <c r="G214" s="16" t="s">
        <v>56</v>
      </c>
      <c r="H214" s="16" t="s">
        <v>59</v>
      </c>
      <c r="I214" s="16" t="s">
        <v>65</v>
      </c>
      <c r="J214" s="16" t="s">
        <v>70</v>
      </c>
      <c r="K214" s="16" t="s">
        <v>75</v>
      </c>
      <c r="L214" s="16" t="s">
        <v>81</v>
      </c>
      <c r="M214" s="16" t="s">
        <v>85</v>
      </c>
      <c r="N214" s="16" t="s">
        <v>91</v>
      </c>
      <c r="O214" s="16" t="s">
        <v>99</v>
      </c>
      <c r="P214" s="16" t="s">
        <v>106</v>
      </c>
      <c r="Q214" s="16" t="s">
        <v>112</v>
      </c>
      <c r="R214" s="16" t="s">
        <v>117</v>
      </c>
      <c r="S214" s="16" t="s">
        <v>122</v>
      </c>
      <c r="T214" s="16" t="s">
        <v>127</v>
      </c>
      <c r="U214" s="16" t="s">
        <v>132</v>
      </c>
      <c r="V214" s="16" t="s">
        <v>139</v>
      </c>
      <c r="W214" s="16" t="s">
        <v>166</v>
      </c>
      <c r="X214" s="16" t="s">
        <v>567</v>
      </c>
    </row>
    <row r="215" customFormat="false" ht="15" hidden="false" customHeight="false" outlineLevel="0" collapsed="false">
      <c r="A215" s="7" t="s">
        <v>570</v>
      </c>
      <c r="B215" s="7" t="s">
        <v>206</v>
      </c>
      <c r="C215" s="16" t="s">
        <v>32</v>
      </c>
      <c r="D215" s="16" t="s">
        <v>37</v>
      </c>
      <c r="E215" s="16" t="s">
        <v>45</v>
      </c>
      <c r="F215" s="16" t="s">
        <v>49</v>
      </c>
      <c r="G215" s="16" t="s">
        <v>56</v>
      </c>
      <c r="H215" s="16" t="s">
        <v>59</v>
      </c>
      <c r="I215" s="16" t="s">
        <v>65</v>
      </c>
      <c r="J215" s="16" t="s">
        <v>71</v>
      </c>
      <c r="K215" s="16" t="s">
        <v>76</v>
      </c>
      <c r="L215" s="16" t="s">
        <v>83</v>
      </c>
      <c r="M215" s="16" t="s">
        <v>89</v>
      </c>
      <c r="N215" s="16" t="s">
        <v>91</v>
      </c>
      <c r="O215" s="16" t="s">
        <v>100</v>
      </c>
      <c r="P215" s="16" t="s">
        <v>105</v>
      </c>
      <c r="Q215" s="16" t="s">
        <v>110</v>
      </c>
      <c r="R215" s="16" t="s">
        <v>116</v>
      </c>
      <c r="S215" s="16" t="s">
        <v>123</v>
      </c>
      <c r="T215" s="16" t="s">
        <v>122</v>
      </c>
      <c r="U215" s="16" t="s">
        <v>134</v>
      </c>
      <c r="V215" s="16" t="s">
        <v>138</v>
      </c>
      <c r="W215" s="16" t="s">
        <v>211</v>
      </c>
      <c r="X215" s="16" t="s">
        <v>571</v>
      </c>
    </row>
    <row r="216" customFormat="false" ht="15" hidden="false" customHeight="false" outlineLevel="0" collapsed="false">
      <c r="A216" s="7" t="s">
        <v>572</v>
      </c>
      <c r="B216" s="7" t="s">
        <v>165</v>
      </c>
      <c r="C216" s="16" t="s">
        <v>31</v>
      </c>
      <c r="D216" s="16" t="s">
        <v>37</v>
      </c>
      <c r="E216" s="16" t="s">
        <v>43</v>
      </c>
      <c r="F216" s="16" t="s">
        <v>49</v>
      </c>
      <c r="G216" s="16" t="s">
        <v>49</v>
      </c>
      <c r="H216" s="16" t="s">
        <v>59</v>
      </c>
      <c r="I216" s="16" t="s">
        <v>65</v>
      </c>
      <c r="J216" s="16" t="s">
        <v>70</v>
      </c>
      <c r="K216" s="16" t="s">
        <v>73</v>
      </c>
      <c r="L216" s="16" t="s">
        <v>81</v>
      </c>
      <c r="M216" s="16" t="s">
        <v>86</v>
      </c>
      <c r="N216" s="16" t="s">
        <v>91</v>
      </c>
      <c r="O216" s="16" t="s">
        <v>99</v>
      </c>
      <c r="P216" s="16" t="s">
        <v>105</v>
      </c>
      <c r="Q216" s="16" t="s">
        <v>109</v>
      </c>
      <c r="R216" s="16" t="s">
        <v>115</v>
      </c>
      <c r="S216" s="16" t="s">
        <v>123</v>
      </c>
      <c r="T216" s="16" t="s">
        <v>127</v>
      </c>
      <c r="U216" s="16" t="s">
        <v>132</v>
      </c>
      <c r="V216" s="16" t="s">
        <v>138</v>
      </c>
      <c r="W216" s="16" t="s">
        <v>166</v>
      </c>
      <c r="X216" s="16" t="s">
        <v>573</v>
      </c>
    </row>
    <row r="217" customFormat="false" ht="15" hidden="false" customHeight="false" outlineLevel="0" collapsed="false">
      <c r="A217" s="7" t="s">
        <v>574</v>
      </c>
      <c r="B217" s="7" t="s">
        <v>165</v>
      </c>
      <c r="C217" s="16" t="s">
        <v>31</v>
      </c>
      <c r="D217" s="16" t="s">
        <v>37</v>
      </c>
      <c r="E217" s="16" t="s">
        <v>43</v>
      </c>
      <c r="F217" s="16" t="s">
        <v>49</v>
      </c>
      <c r="G217" s="16" t="s">
        <v>49</v>
      </c>
      <c r="H217" s="16" t="s">
        <v>59</v>
      </c>
      <c r="I217" s="16" t="s">
        <v>65</v>
      </c>
      <c r="J217" s="16" t="s">
        <v>70</v>
      </c>
      <c r="K217" s="16" t="s">
        <v>75</v>
      </c>
      <c r="L217" s="16" t="s">
        <v>79</v>
      </c>
      <c r="M217" s="16" t="s">
        <v>86</v>
      </c>
      <c r="N217" s="16" t="s">
        <v>91</v>
      </c>
      <c r="O217" s="16" t="s">
        <v>99</v>
      </c>
      <c r="P217" s="16" t="s">
        <v>105</v>
      </c>
      <c r="Q217" s="16" t="s">
        <v>109</v>
      </c>
      <c r="R217" s="16" t="s">
        <v>115</v>
      </c>
      <c r="S217" s="16" t="s">
        <v>125</v>
      </c>
      <c r="T217" s="16" t="s">
        <v>127</v>
      </c>
      <c r="U217" s="16" t="s">
        <v>134</v>
      </c>
      <c r="V217" s="16" t="s">
        <v>139</v>
      </c>
      <c r="W217" s="16" t="s">
        <v>166</v>
      </c>
      <c r="X217" s="16" t="s">
        <v>575</v>
      </c>
    </row>
    <row r="218" customFormat="false" ht="15" hidden="false" customHeight="false" outlineLevel="0" collapsed="false">
      <c r="A218" s="7" t="s">
        <v>576</v>
      </c>
      <c r="B218" s="7" t="s">
        <v>165</v>
      </c>
      <c r="C218" s="16" t="s">
        <v>31</v>
      </c>
      <c r="D218" s="16" t="s">
        <v>37</v>
      </c>
      <c r="E218" s="16" t="s">
        <v>43</v>
      </c>
      <c r="F218" s="16" t="s">
        <v>49</v>
      </c>
      <c r="G218" s="16" t="s">
        <v>49</v>
      </c>
      <c r="H218" s="16" t="s">
        <v>59</v>
      </c>
      <c r="I218" s="16" t="s">
        <v>65</v>
      </c>
      <c r="J218" s="16" t="s">
        <v>70</v>
      </c>
      <c r="K218" s="16" t="s">
        <v>75</v>
      </c>
      <c r="L218" s="16" t="s">
        <v>80</v>
      </c>
      <c r="M218" s="16" t="s">
        <v>85</v>
      </c>
      <c r="N218" s="16" t="s">
        <v>91</v>
      </c>
      <c r="O218" s="16" t="s">
        <v>99</v>
      </c>
      <c r="P218" s="16" t="s">
        <v>106</v>
      </c>
      <c r="Q218" s="16" t="s">
        <v>109</v>
      </c>
      <c r="R218" s="16" t="s">
        <v>115</v>
      </c>
      <c r="S218" s="16" t="s">
        <v>122</v>
      </c>
      <c r="T218" s="16" t="s">
        <v>127</v>
      </c>
      <c r="U218" s="16" t="s">
        <v>132</v>
      </c>
      <c r="V218" s="16" t="s">
        <v>138</v>
      </c>
      <c r="W218" s="16" t="s">
        <v>166</v>
      </c>
      <c r="X218" s="16" t="s">
        <v>577</v>
      </c>
    </row>
    <row r="219" customFormat="false" ht="15" hidden="false" customHeight="false" outlineLevel="0" collapsed="false">
      <c r="A219" s="7" t="s">
        <v>578</v>
      </c>
      <c r="B219" s="7" t="s">
        <v>165</v>
      </c>
      <c r="C219" s="16" t="s">
        <v>31</v>
      </c>
      <c r="D219" s="16" t="s">
        <v>37</v>
      </c>
      <c r="E219" s="16" t="s">
        <v>43</v>
      </c>
      <c r="F219" s="16" t="s">
        <v>49</v>
      </c>
      <c r="G219" s="16" t="s">
        <v>54</v>
      </c>
      <c r="H219" s="16" t="s">
        <v>59</v>
      </c>
      <c r="I219" s="16" t="s">
        <v>65</v>
      </c>
      <c r="J219" s="16" t="s">
        <v>70</v>
      </c>
      <c r="K219" s="16" t="s">
        <v>74</v>
      </c>
      <c r="L219" s="16" t="s">
        <v>82</v>
      </c>
      <c r="M219" s="16" t="s">
        <v>87</v>
      </c>
      <c r="N219" s="16" t="s">
        <v>93</v>
      </c>
      <c r="O219" s="16" t="s">
        <v>100</v>
      </c>
      <c r="P219" s="16" t="s">
        <v>105</v>
      </c>
      <c r="Q219" s="16" t="s">
        <v>109</v>
      </c>
      <c r="R219" s="16" t="s">
        <v>116</v>
      </c>
      <c r="S219" s="16" t="s">
        <v>122</v>
      </c>
      <c r="T219" s="16" t="s">
        <v>127</v>
      </c>
      <c r="U219" s="16" t="s">
        <v>132</v>
      </c>
      <c r="V219" s="16" t="s">
        <v>138</v>
      </c>
      <c r="W219" s="16" t="s">
        <v>166</v>
      </c>
      <c r="X219" s="16" t="s">
        <v>579</v>
      </c>
    </row>
    <row r="220" customFormat="false" ht="15" hidden="false" customHeight="false" outlineLevel="0" collapsed="false">
      <c r="A220" s="7" t="s">
        <v>580</v>
      </c>
      <c r="B220" s="7" t="s">
        <v>165</v>
      </c>
      <c r="C220" s="16" t="s">
        <v>31</v>
      </c>
      <c r="D220" s="16" t="s">
        <v>37</v>
      </c>
      <c r="E220" s="16" t="s">
        <v>43</v>
      </c>
      <c r="F220" s="16" t="s">
        <v>49</v>
      </c>
      <c r="G220" s="16" t="s">
        <v>54</v>
      </c>
      <c r="H220" s="16" t="s">
        <v>59</v>
      </c>
      <c r="I220" s="16" t="s">
        <v>65</v>
      </c>
      <c r="J220" s="16" t="s">
        <v>71</v>
      </c>
      <c r="K220" s="16" t="s">
        <v>75</v>
      </c>
      <c r="L220" s="16" t="s">
        <v>81</v>
      </c>
      <c r="M220" s="16" t="s">
        <v>87</v>
      </c>
      <c r="N220" s="16" t="s">
        <v>92</v>
      </c>
      <c r="O220" s="16" t="s">
        <v>99</v>
      </c>
      <c r="P220" s="16" t="s">
        <v>106</v>
      </c>
      <c r="Q220" s="16" t="s">
        <v>109</v>
      </c>
      <c r="R220" s="16" t="s">
        <v>116</v>
      </c>
      <c r="S220" s="16" t="s">
        <v>122</v>
      </c>
      <c r="T220" s="16" t="s">
        <v>127</v>
      </c>
      <c r="U220" s="16" t="s">
        <v>132</v>
      </c>
      <c r="V220" s="16" t="s">
        <v>138</v>
      </c>
      <c r="W220" s="16" t="s">
        <v>166</v>
      </c>
      <c r="X220" s="16" t="s">
        <v>581</v>
      </c>
    </row>
    <row r="221" customFormat="false" ht="15" hidden="false" customHeight="false" outlineLevel="0" collapsed="false">
      <c r="A221" s="7" t="s">
        <v>582</v>
      </c>
      <c r="B221" s="7" t="s">
        <v>165</v>
      </c>
      <c r="C221" s="16" t="s">
        <v>32</v>
      </c>
      <c r="D221" s="16" t="s">
        <v>37</v>
      </c>
      <c r="E221" s="16" t="s">
        <v>44</v>
      </c>
      <c r="F221" s="16" t="s">
        <v>49</v>
      </c>
      <c r="G221" s="16" t="s">
        <v>49</v>
      </c>
      <c r="H221" s="16" t="s">
        <v>59</v>
      </c>
      <c r="I221" s="16" t="s">
        <v>65</v>
      </c>
      <c r="J221" s="16" t="s">
        <v>70</v>
      </c>
      <c r="K221" s="16" t="s">
        <v>75</v>
      </c>
      <c r="L221" s="16" t="s">
        <v>81</v>
      </c>
      <c r="M221" s="16" t="s">
        <v>86</v>
      </c>
      <c r="N221" s="16" t="s">
        <v>91</v>
      </c>
      <c r="O221" s="16" t="s">
        <v>97</v>
      </c>
      <c r="P221" s="16" t="s">
        <v>107</v>
      </c>
      <c r="Q221" s="16" t="s">
        <v>109</v>
      </c>
      <c r="R221" s="16" t="s">
        <v>116</v>
      </c>
      <c r="S221" s="16" t="s">
        <v>123</v>
      </c>
      <c r="T221" s="16" t="s">
        <v>122</v>
      </c>
      <c r="U221" s="16" t="s">
        <v>132</v>
      </c>
      <c r="V221" s="16" t="s">
        <v>138</v>
      </c>
      <c r="W221" s="16" t="s">
        <v>166</v>
      </c>
      <c r="X221" s="16" t="s">
        <v>583</v>
      </c>
    </row>
    <row r="222" customFormat="false" ht="15" hidden="false" customHeight="false" outlineLevel="0" collapsed="false">
      <c r="A222" s="7" t="s">
        <v>584</v>
      </c>
      <c r="B222" s="7" t="s">
        <v>165</v>
      </c>
      <c r="C222" s="16" t="s">
        <v>31</v>
      </c>
      <c r="D222" s="16" t="s">
        <v>37</v>
      </c>
      <c r="E222" s="16" t="s">
        <v>43</v>
      </c>
      <c r="F222" s="16" t="s">
        <v>49</v>
      </c>
      <c r="G222" s="16" t="s">
        <v>49</v>
      </c>
      <c r="H222" s="16" t="s">
        <v>59</v>
      </c>
      <c r="I222" s="16" t="s">
        <v>66</v>
      </c>
      <c r="J222" s="16" t="s">
        <v>70</v>
      </c>
      <c r="K222" s="16" t="s">
        <v>74</v>
      </c>
      <c r="L222" s="16" t="s">
        <v>79</v>
      </c>
      <c r="M222" s="16" t="s">
        <v>87</v>
      </c>
      <c r="N222" s="16" t="s">
        <v>91</v>
      </c>
      <c r="O222" s="16" t="s">
        <v>99</v>
      </c>
      <c r="P222" s="16" t="s">
        <v>106</v>
      </c>
      <c r="Q222" s="16" t="s">
        <v>109</v>
      </c>
      <c r="R222" s="16" t="s">
        <v>115</v>
      </c>
      <c r="S222" s="16" t="s">
        <v>122</v>
      </c>
      <c r="T222" s="16" t="s">
        <v>122</v>
      </c>
      <c r="U222" s="16" t="s">
        <v>133</v>
      </c>
      <c r="V222" s="16" t="s">
        <v>138</v>
      </c>
      <c r="W222" s="16" t="s">
        <v>166</v>
      </c>
      <c r="X222" s="16" t="s">
        <v>585</v>
      </c>
    </row>
    <row r="223" customFormat="false" ht="15" hidden="false" customHeight="false" outlineLevel="0" collapsed="false">
      <c r="A223" s="7" t="s">
        <v>586</v>
      </c>
      <c r="B223" s="7" t="s">
        <v>165</v>
      </c>
      <c r="C223" s="16" t="s">
        <v>31</v>
      </c>
      <c r="D223" s="16" t="s">
        <v>37</v>
      </c>
      <c r="E223" s="16" t="s">
        <v>43</v>
      </c>
      <c r="F223" s="16" t="s">
        <v>49</v>
      </c>
      <c r="G223" s="16" t="s">
        <v>49</v>
      </c>
      <c r="H223" s="16" t="s">
        <v>59</v>
      </c>
      <c r="I223" s="16" t="s">
        <v>65</v>
      </c>
      <c r="J223" s="16" t="s">
        <v>70</v>
      </c>
      <c r="K223" s="16" t="s">
        <v>75</v>
      </c>
      <c r="L223" s="16" t="s">
        <v>80</v>
      </c>
      <c r="M223" s="16" t="s">
        <v>85</v>
      </c>
      <c r="N223" s="16" t="s">
        <v>91</v>
      </c>
      <c r="O223" s="16" t="s">
        <v>98</v>
      </c>
      <c r="P223" s="16" t="s">
        <v>105</v>
      </c>
      <c r="Q223" s="16" t="s">
        <v>110</v>
      </c>
      <c r="R223" s="16" t="s">
        <v>115</v>
      </c>
      <c r="S223" s="16" t="s">
        <v>121</v>
      </c>
      <c r="T223" s="16" t="s">
        <v>127</v>
      </c>
      <c r="U223" s="16" t="s">
        <v>132</v>
      </c>
      <c r="V223" s="16" t="s">
        <v>138</v>
      </c>
      <c r="W223" s="16" t="s">
        <v>166</v>
      </c>
      <c r="X223" s="16" t="s">
        <v>497</v>
      </c>
    </row>
    <row r="224" customFormat="false" ht="15" hidden="false" customHeight="false" outlineLevel="0" collapsed="false">
      <c r="A224" s="7" t="s">
        <v>587</v>
      </c>
      <c r="B224" s="7" t="s">
        <v>165</v>
      </c>
      <c r="C224" s="16" t="s">
        <v>31</v>
      </c>
      <c r="D224" s="16" t="s">
        <v>37</v>
      </c>
      <c r="E224" s="16" t="s">
        <v>46</v>
      </c>
      <c r="F224" s="16" t="s">
        <v>49</v>
      </c>
      <c r="G224" s="16" t="s">
        <v>49</v>
      </c>
      <c r="H224" s="16" t="s">
        <v>59</v>
      </c>
      <c r="I224" s="16" t="s">
        <v>65</v>
      </c>
      <c r="J224" s="16" t="s">
        <v>70</v>
      </c>
      <c r="K224" s="16" t="s">
        <v>75</v>
      </c>
      <c r="L224" s="16" t="s">
        <v>79</v>
      </c>
      <c r="M224" s="16" t="s">
        <v>85</v>
      </c>
      <c r="N224" s="16" t="s">
        <v>91</v>
      </c>
      <c r="O224" s="16" t="s">
        <v>99</v>
      </c>
      <c r="P224" s="16" t="s">
        <v>105</v>
      </c>
      <c r="Q224" s="16" t="s">
        <v>111</v>
      </c>
      <c r="R224" s="16" t="s">
        <v>116</v>
      </c>
      <c r="S224" s="16" t="s">
        <v>122</v>
      </c>
      <c r="T224" s="16" t="s">
        <v>127</v>
      </c>
      <c r="U224" s="16" t="s">
        <v>133</v>
      </c>
      <c r="V224" s="16" t="s">
        <v>138</v>
      </c>
      <c r="W224" s="16" t="s">
        <v>166</v>
      </c>
      <c r="X224" s="16" t="s">
        <v>588</v>
      </c>
    </row>
    <row r="225" customFormat="false" ht="15" hidden="false" customHeight="false" outlineLevel="0" collapsed="false">
      <c r="A225" s="7" t="s">
        <v>589</v>
      </c>
      <c r="B225" s="7" t="s">
        <v>165</v>
      </c>
      <c r="C225" s="16" t="s">
        <v>31</v>
      </c>
      <c r="D225" s="16" t="s">
        <v>37</v>
      </c>
      <c r="E225" s="16" t="s">
        <v>43</v>
      </c>
      <c r="F225" s="16" t="s">
        <v>49</v>
      </c>
      <c r="G225" s="16" t="s">
        <v>49</v>
      </c>
      <c r="H225" s="16" t="s">
        <v>59</v>
      </c>
      <c r="I225" s="16" t="s">
        <v>65</v>
      </c>
      <c r="J225" s="16" t="s">
        <v>70</v>
      </c>
      <c r="K225" s="16" t="s">
        <v>75</v>
      </c>
      <c r="L225" s="16" t="s">
        <v>80</v>
      </c>
      <c r="M225" s="16" t="s">
        <v>85</v>
      </c>
      <c r="N225" s="16" t="s">
        <v>91</v>
      </c>
      <c r="O225" s="16" t="s">
        <v>100</v>
      </c>
      <c r="P225" s="16" t="s">
        <v>103</v>
      </c>
      <c r="Q225" s="16" t="s">
        <v>109</v>
      </c>
      <c r="R225" s="16" t="s">
        <v>115</v>
      </c>
      <c r="S225" s="16" t="s">
        <v>122</v>
      </c>
      <c r="T225" s="16" t="s">
        <v>127</v>
      </c>
      <c r="U225" s="16" t="s">
        <v>133</v>
      </c>
      <c r="V225" s="16" t="s">
        <v>138</v>
      </c>
      <c r="W225" s="16" t="s">
        <v>166</v>
      </c>
      <c r="X225" s="16" t="s">
        <v>590</v>
      </c>
    </row>
    <row r="226" customFormat="false" ht="15" hidden="false" customHeight="false" outlineLevel="0" collapsed="false">
      <c r="A226" s="7" t="s">
        <v>591</v>
      </c>
      <c r="B226" s="7" t="s">
        <v>165</v>
      </c>
      <c r="C226" s="16" t="s">
        <v>31</v>
      </c>
      <c r="D226" s="16" t="s">
        <v>37</v>
      </c>
      <c r="E226" s="16" t="s">
        <v>43</v>
      </c>
      <c r="F226" s="16" t="s">
        <v>49</v>
      </c>
      <c r="G226" s="16" t="s">
        <v>49</v>
      </c>
      <c r="H226" s="16" t="s">
        <v>59</v>
      </c>
      <c r="I226" s="16" t="s">
        <v>65</v>
      </c>
      <c r="J226" s="16" t="s">
        <v>70</v>
      </c>
      <c r="K226" s="16" t="s">
        <v>74</v>
      </c>
      <c r="L226" s="16" t="s">
        <v>81</v>
      </c>
      <c r="M226" s="16" t="s">
        <v>85</v>
      </c>
      <c r="N226" s="16" t="s">
        <v>92</v>
      </c>
      <c r="O226" s="16" t="s">
        <v>99</v>
      </c>
      <c r="P226" s="16" t="s">
        <v>103</v>
      </c>
      <c r="Q226" s="16" t="s">
        <v>111</v>
      </c>
      <c r="R226" s="16" t="s">
        <v>117</v>
      </c>
      <c r="S226" s="16" t="s">
        <v>122</v>
      </c>
      <c r="T226" s="16" t="s">
        <v>128</v>
      </c>
      <c r="U226" s="16" t="s">
        <v>132</v>
      </c>
      <c r="V226" s="16" t="s">
        <v>141</v>
      </c>
      <c r="W226" s="16" t="s">
        <v>166</v>
      </c>
      <c r="X226" s="16" t="s">
        <v>592</v>
      </c>
    </row>
    <row r="227" customFormat="false" ht="15" hidden="false" customHeight="false" outlineLevel="0" collapsed="false">
      <c r="A227" s="7" t="s">
        <v>593</v>
      </c>
      <c r="B227" s="7" t="s">
        <v>165</v>
      </c>
      <c r="C227" s="16" t="s">
        <v>31</v>
      </c>
      <c r="D227" s="16" t="s">
        <v>37</v>
      </c>
      <c r="E227" s="16" t="s">
        <v>44</v>
      </c>
      <c r="F227" s="16" t="s">
        <v>49</v>
      </c>
      <c r="G227" s="16" t="s">
        <v>49</v>
      </c>
      <c r="H227" s="16" t="s">
        <v>59</v>
      </c>
      <c r="I227" s="16" t="s">
        <v>65</v>
      </c>
      <c r="J227" s="16" t="s">
        <v>70</v>
      </c>
      <c r="K227" s="16" t="s">
        <v>75</v>
      </c>
      <c r="L227" s="16" t="s">
        <v>80</v>
      </c>
      <c r="M227" s="16" t="s">
        <v>86</v>
      </c>
      <c r="N227" s="16" t="s">
        <v>92</v>
      </c>
      <c r="O227" s="16" t="s">
        <v>99</v>
      </c>
      <c r="P227" s="16" t="s">
        <v>106</v>
      </c>
      <c r="Q227" s="16" t="s">
        <v>109</v>
      </c>
      <c r="R227" s="16" t="s">
        <v>116</v>
      </c>
      <c r="S227" s="16" t="s">
        <v>122</v>
      </c>
      <c r="T227" s="16" t="s">
        <v>122</v>
      </c>
      <c r="U227" s="16" t="s">
        <v>132</v>
      </c>
      <c r="V227" s="16" t="s">
        <v>138</v>
      </c>
      <c r="W227" s="16" t="s">
        <v>166</v>
      </c>
      <c r="X227" s="16" t="s">
        <v>594</v>
      </c>
    </row>
    <row r="228" customFormat="false" ht="15" hidden="false" customHeight="false" outlineLevel="0" collapsed="false">
      <c r="A228" s="7" t="s">
        <v>595</v>
      </c>
      <c r="B228" s="7" t="s">
        <v>165</v>
      </c>
      <c r="C228" s="16" t="s">
        <v>31</v>
      </c>
      <c r="D228" s="16" t="s">
        <v>37</v>
      </c>
      <c r="E228" s="16" t="s">
        <v>43</v>
      </c>
      <c r="F228" s="16" t="s">
        <v>49</v>
      </c>
      <c r="G228" s="16" t="s">
        <v>49</v>
      </c>
      <c r="H228" s="16" t="s">
        <v>59</v>
      </c>
      <c r="I228" s="16" t="s">
        <v>65</v>
      </c>
      <c r="J228" s="16" t="s">
        <v>70</v>
      </c>
      <c r="K228" s="16" t="s">
        <v>74</v>
      </c>
      <c r="L228" s="16" t="s">
        <v>80</v>
      </c>
      <c r="M228" s="16" t="s">
        <v>87</v>
      </c>
      <c r="N228" s="16" t="s">
        <v>91</v>
      </c>
      <c r="O228" s="16" t="s">
        <v>99</v>
      </c>
      <c r="P228" s="16" t="s">
        <v>105</v>
      </c>
      <c r="Q228" s="16" t="s">
        <v>109</v>
      </c>
      <c r="R228" s="16" t="s">
        <v>115</v>
      </c>
      <c r="S228" s="16" t="s">
        <v>122</v>
      </c>
      <c r="T228" s="16" t="s">
        <v>127</v>
      </c>
      <c r="U228" s="16" t="s">
        <v>133</v>
      </c>
      <c r="V228" s="16" t="s">
        <v>138</v>
      </c>
      <c r="W228" s="16" t="s">
        <v>166</v>
      </c>
      <c r="X228" s="16" t="s">
        <v>523</v>
      </c>
    </row>
    <row r="229" customFormat="false" ht="15" hidden="false" customHeight="false" outlineLevel="0" collapsed="false">
      <c r="A229" s="7" t="s">
        <v>596</v>
      </c>
      <c r="B229" s="7" t="s">
        <v>165</v>
      </c>
      <c r="C229" s="16" t="s">
        <v>32</v>
      </c>
      <c r="D229" s="16" t="s">
        <v>37</v>
      </c>
      <c r="E229" s="16" t="s">
        <v>43</v>
      </c>
      <c r="F229" s="16" t="s">
        <v>49</v>
      </c>
      <c r="G229" s="16" t="s">
        <v>49</v>
      </c>
      <c r="H229" s="16" t="s">
        <v>59</v>
      </c>
      <c r="I229" s="16" t="s">
        <v>65</v>
      </c>
      <c r="J229" s="16" t="s">
        <v>62</v>
      </c>
      <c r="K229" s="16" t="s">
        <v>73</v>
      </c>
      <c r="L229" s="16" t="s">
        <v>80</v>
      </c>
      <c r="M229" s="16" t="s">
        <v>86</v>
      </c>
      <c r="N229" s="16" t="s">
        <v>91</v>
      </c>
      <c r="O229" s="16" t="s">
        <v>99</v>
      </c>
      <c r="P229" s="16" t="s">
        <v>104</v>
      </c>
      <c r="Q229" s="16" t="s">
        <v>111</v>
      </c>
      <c r="R229" s="16" t="s">
        <v>115</v>
      </c>
      <c r="S229" s="16" t="s">
        <v>124</v>
      </c>
      <c r="T229" s="16" t="s">
        <v>122</v>
      </c>
      <c r="U229" s="16" t="s">
        <v>132</v>
      </c>
      <c r="V229" s="16" t="s">
        <v>138</v>
      </c>
      <c r="W229" s="16" t="s">
        <v>166</v>
      </c>
      <c r="X229" s="16" t="s">
        <v>398</v>
      </c>
    </row>
    <row r="230" customFormat="false" ht="15" hidden="false" customHeight="false" outlineLevel="0" collapsed="false">
      <c r="A230" s="7" t="s">
        <v>597</v>
      </c>
      <c r="B230" s="7" t="s">
        <v>165</v>
      </c>
      <c r="C230" s="16" t="s">
        <v>31</v>
      </c>
      <c r="D230" s="16" t="s">
        <v>37</v>
      </c>
      <c r="E230" s="16" t="s">
        <v>43</v>
      </c>
      <c r="F230" s="16" t="s">
        <v>49</v>
      </c>
      <c r="G230" s="16" t="s">
        <v>49</v>
      </c>
      <c r="H230" s="16" t="s">
        <v>59</v>
      </c>
      <c r="I230" s="16" t="s">
        <v>65</v>
      </c>
      <c r="J230" s="16" t="s">
        <v>70</v>
      </c>
      <c r="K230" s="16" t="s">
        <v>75</v>
      </c>
      <c r="L230" s="16" t="s">
        <v>81</v>
      </c>
      <c r="M230" s="16" t="s">
        <v>85</v>
      </c>
      <c r="N230" s="16" t="s">
        <v>91</v>
      </c>
      <c r="O230" s="16" t="s">
        <v>99</v>
      </c>
      <c r="P230" s="16" t="s">
        <v>105</v>
      </c>
      <c r="Q230" s="16" t="s">
        <v>110</v>
      </c>
      <c r="R230" s="16" t="s">
        <v>115</v>
      </c>
      <c r="S230" s="16" t="s">
        <v>122</v>
      </c>
      <c r="T230" s="16" t="s">
        <v>129</v>
      </c>
      <c r="U230" s="16" t="s">
        <v>132</v>
      </c>
      <c r="V230" s="16" t="s">
        <v>138</v>
      </c>
      <c r="W230" s="16" t="s">
        <v>166</v>
      </c>
      <c r="X230" s="16" t="s">
        <v>598</v>
      </c>
    </row>
    <row r="231" customFormat="false" ht="15" hidden="false" customHeight="false" outlineLevel="0" collapsed="false">
      <c r="A231" s="7" t="s">
        <v>599</v>
      </c>
      <c r="B231" s="7" t="s">
        <v>193</v>
      </c>
      <c r="C231" s="16" t="s">
        <v>34</v>
      </c>
      <c r="D231" s="16" t="s">
        <v>38</v>
      </c>
      <c r="E231" s="16" t="s">
        <v>45</v>
      </c>
      <c r="F231" s="16" t="s">
        <v>49</v>
      </c>
      <c r="G231" s="16" t="s">
        <v>49</v>
      </c>
      <c r="H231" s="16" t="s">
        <v>59</v>
      </c>
      <c r="I231" s="16" t="s">
        <v>66</v>
      </c>
      <c r="J231" s="16" t="s">
        <v>70</v>
      </c>
      <c r="K231" s="16" t="s">
        <v>77</v>
      </c>
      <c r="L231" s="16" t="s">
        <v>83</v>
      </c>
      <c r="M231" s="16" t="s">
        <v>88</v>
      </c>
      <c r="N231" s="16" t="s">
        <v>91</v>
      </c>
      <c r="O231" s="16" t="s">
        <v>99</v>
      </c>
      <c r="P231" s="16" t="s">
        <v>103</v>
      </c>
      <c r="Q231" s="16" t="s">
        <v>109</v>
      </c>
      <c r="R231" s="16" t="s">
        <v>119</v>
      </c>
      <c r="S231" s="16" t="s">
        <v>123</v>
      </c>
      <c r="T231" s="16" t="s">
        <v>127</v>
      </c>
      <c r="U231" s="16" t="s">
        <v>133</v>
      </c>
      <c r="V231" s="16" t="s">
        <v>138</v>
      </c>
      <c r="W231" s="16" t="s">
        <v>166</v>
      </c>
      <c r="X231" s="16" t="s">
        <v>600</v>
      </c>
    </row>
    <row r="232" customFormat="false" ht="15" hidden="false" customHeight="false" outlineLevel="0" collapsed="false">
      <c r="A232" s="7" t="s">
        <v>601</v>
      </c>
      <c r="B232" s="7" t="s">
        <v>165</v>
      </c>
      <c r="C232" s="16" t="s">
        <v>31</v>
      </c>
      <c r="D232" s="16" t="s">
        <v>37</v>
      </c>
      <c r="E232" s="16" t="s">
        <v>43</v>
      </c>
      <c r="F232" s="16" t="s">
        <v>49</v>
      </c>
      <c r="G232" s="16" t="s">
        <v>49</v>
      </c>
      <c r="H232" s="16" t="s">
        <v>59</v>
      </c>
      <c r="I232" s="16" t="s">
        <v>65</v>
      </c>
      <c r="J232" s="16" t="s">
        <v>70</v>
      </c>
      <c r="K232" s="16" t="s">
        <v>75</v>
      </c>
      <c r="L232" s="16" t="s">
        <v>80</v>
      </c>
      <c r="M232" s="16" t="s">
        <v>86</v>
      </c>
      <c r="N232" s="16" t="s">
        <v>91</v>
      </c>
      <c r="O232" s="16" t="s">
        <v>99</v>
      </c>
      <c r="P232" s="16" t="s">
        <v>103</v>
      </c>
      <c r="Q232" s="16" t="s">
        <v>112</v>
      </c>
      <c r="R232" s="16" t="s">
        <v>115</v>
      </c>
      <c r="S232" s="16" t="s">
        <v>124</v>
      </c>
      <c r="T232" s="16" t="s">
        <v>127</v>
      </c>
      <c r="U232" s="16" t="s">
        <v>133</v>
      </c>
      <c r="V232" s="16" t="s">
        <v>142</v>
      </c>
      <c r="W232" s="16" t="s">
        <v>166</v>
      </c>
      <c r="X232" s="16" t="s">
        <v>602</v>
      </c>
    </row>
    <row r="233" customFormat="false" ht="15" hidden="false" customHeight="false" outlineLevel="0" collapsed="false">
      <c r="A233" s="7" t="s">
        <v>603</v>
      </c>
      <c r="B233" s="7" t="s">
        <v>206</v>
      </c>
      <c r="C233" s="16" t="s">
        <v>32</v>
      </c>
      <c r="D233" s="16" t="s">
        <v>37</v>
      </c>
      <c r="E233" s="16" t="s">
        <v>47</v>
      </c>
      <c r="F233" s="16" t="s">
        <v>49</v>
      </c>
      <c r="G233" s="16" t="s">
        <v>49</v>
      </c>
      <c r="H233" s="16" t="s">
        <v>59</v>
      </c>
      <c r="I233" s="16" t="s">
        <v>65</v>
      </c>
      <c r="J233" s="16" t="s">
        <v>61</v>
      </c>
      <c r="K233" s="16" t="s">
        <v>76</v>
      </c>
      <c r="L233" s="16" t="s">
        <v>82</v>
      </c>
      <c r="M233" s="16" t="s">
        <v>87</v>
      </c>
      <c r="N233" s="16" t="s">
        <v>94</v>
      </c>
      <c r="O233" s="16" t="s">
        <v>100</v>
      </c>
      <c r="P233" s="16" t="s">
        <v>103</v>
      </c>
      <c r="Q233" s="16" t="s">
        <v>111</v>
      </c>
      <c r="R233" s="16" t="s">
        <v>116</v>
      </c>
      <c r="S233" s="16" t="s">
        <v>121</v>
      </c>
      <c r="T233" s="16" t="s">
        <v>127</v>
      </c>
      <c r="U233" s="16" t="s">
        <v>133</v>
      </c>
      <c r="V233" s="16" t="s">
        <v>138</v>
      </c>
      <c r="W233" s="16" t="s">
        <v>166</v>
      </c>
      <c r="X233" s="16" t="s">
        <v>604</v>
      </c>
    </row>
    <row r="234" customFormat="false" ht="15" hidden="false" customHeight="false" outlineLevel="0" collapsed="false">
      <c r="A234" s="7" t="s">
        <v>605</v>
      </c>
      <c r="B234" s="7" t="s">
        <v>165</v>
      </c>
      <c r="C234" s="16" t="s">
        <v>31</v>
      </c>
      <c r="D234" s="16" t="s">
        <v>37</v>
      </c>
      <c r="E234" s="16" t="s">
        <v>45</v>
      </c>
      <c r="F234" s="16" t="s">
        <v>49</v>
      </c>
      <c r="G234" s="16" t="s">
        <v>49</v>
      </c>
      <c r="H234" s="16" t="s">
        <v>59</v>
      </c>
      <c r="I234" s="16" t="s">
        <v>67</v>
      </c>
      <c r="J234" s="16" t="s">
        <v>70</v>
      </c>
      <c r="K234" s="16" t="s">
        <v>73</v>
      </c>
      <c r="L234" s="16" t="s">
        <v>81</v>
      </c>
      <c r="M234" s="16" t="s">
        <v>86</v>
      </c>
      <c r="N234" s="16" t="s">
        <v>91</v>
      </c>
      <c r="O234" s="16" t="s">
        <v>99</v>
      </c>
      <c r="P234" s="16" t="s">
        <v>105</v>
      </c>
      <c r="Q234" s="16" t="s">
        <v>109</v>
      </c>
      <c r="R234" s="16" t="s">
        <v>116</v>
      </c>
      <c r="S234" s="16" t="s">
        <v>122</v>
      </c>
      <c r="T234" s="16" t="s">
        <v>122</v>
      </c>
      <c r="U234" s="16" t="s">
        <v>133</v>
      </c>
      <c r="V234" s="16" t="s">
        <v>138</v>
      </c>
      <c r="W234" s="16" t="s">
        <v>166</v>
      </c>
      <c r="X234" s="16" t="s">
        <v>177</v>
      </c>
    </row>
    <row r="235" customFormat="false" ht="15" hidden="false" customHeight="false" outlineLevel="0" collapsed="false">
      <c r="A235" s="7" t="s">
        <v>606</v>
      </c>
      <c r="B235" s="7" t="s">
        <v>206</v>
      </c>
      <c r="C235" s="16" t="s">
        <v>32</v>
      </c>
      <c r="D235" s="16" t="s">
        <v>37</v>
      </c>
      <c r="E235" s="16" t="s">
        <v>46</v>
      </c>
      <c r="F235" s="16" t="s">
        <v>49</v>
      </c>
      <c r="G235" s="16" t="s">
        <v>49</v>
      </c>
      <c r="H235" s="16" t="s">
        <v>59</v>
      </c>
      <c r="I235" s="16" t="s">
        <v>65</v>
      </c>
      <c r="J235" s="16" t="s">
        <v>70</v>
      </c>
      <c r="K235" s="16" t="s">
        <v>76</v>
      </c>
      <c r="L235" s="16" t="s">
        <v>81</v>
      </c>
      <c r="M235" s="16" t="s">
        <v>87</v>
      </c>
      <c r="N235" s="16" t="s">
        <v>91</v>
      </c>
      <c r="O235" s="16" t="s">
        <v>99</v>
      </c>
      <c r="P235" s="16" t="s">
        <v>105</v>
      </c>
      <c r="Q235" s="16" t="s">
        <v>109</v>
      </c>
      <c r="R235" s="16" t="s">
        <v>117</v>
      </c>
      <c r="S235" s="16" t="s">
        <v>121</v>
      </c>
      <c r="T235" s="16" t="s">
        <v>127</v>
      </c>
      <c r="U235" s="16" t="s">
        <v>134</v>
      </c>
      <c r="V235" s="16" t="s">
        <v>138</v>
      </c>
      <c r="W235" s="16" t="s">
        <v>166</v>
      </c>
      <c r="X235" s="16" t="s">
        <v>454</v>
      </c>
    </row>
    <row r="236" customFormat="false" ht="15" hidden="false" customHeight="false" outlineLevel="0" collapsed="false">
      <c r="A236" s="7" t="s">
        <v>607</v>
      </c>
      <c r="B236" s="7" t="s">
        <v>165</v>
      </c>
      <c r="C236" s="16" t="s">
        <v>31</v>
      </c>
      <c r="D236" s="16" t="s">
        <v>37</v>
      </c>
      <c r="E236" s="16" t="s">
        <v>46</v>
      </c>
      <c r="F236" s="16" t="s">
        <v>49</v>
      </c>
      <c r="G236" s="16" t="s">
        <v>49</v>
      </c>
      <c r="H236" s="16" t="s">
        <v>59</v>
      </c>
      <c r="I236" s="16" t="s">
        <v>65</v>
      </c>
      <c r="J236" s="16" t="s">
        <v>70</v>
      </c>
      <c r="K236" s="16" t="s">
        <v>74</v>
      </c>
      <c r="L236" s="16" t="s">
        <v>82</v>
      </c>
      <c r="M236" s="16" t="s">
        <v>85</v>
      </c>
      <c r="N236" s="16" t="s">
        <v>93</v>
      </c>
      <c r="O236" s="16" t="s">
        <v>99</v>
      </c>
      <c r="P236" s="16" t="s">
        <v>107</v>
      </c>
      <c r="Q236" s="16" t="s">
        <v>110</v>
      </c>
      <c r="R236" s="16" t="s">
        <v>115</v>
      </c>
      <c r="S236" s="16" t="s">
        <v>121</v>
      </c>
      <c r="T236" s="16" t="s">
        <v>127</v>
      </c>
      <c r="U236" s="16" t="s">
        <v>132</v>
      </c>
      <c r="V236" s="16" t="s">
        <v>139</v>
      </c>
      <c r="W236" s="16" t="s">
        <v>166</v>
      </c>
      <c r="X236" s="16" t="s">
        <v>608</v>
      </c>
    </row>
    <row r="237" customFormat="false" ht="15" hidden="false" customHeight="false" outlineLevel="0" collapsed="false">
      <c r="A237" s="7" t="s">
        <v>609</v>
      </c>
      <c r="B237" s="7" t="s">
        <v>165</v>
      </c>
      <c r="C237" s="16" t="s">
        <v>31</v>
      </c>
      <c r="D237" s="16" t="s">
        <v>37</v>
      </c>
      <c r="E237" s="16" t="s">
        <v>43</v>
      </c>
      <c r="F237" s="16" t="s">
        <v>49</v>
      </c>
      <c r="G237" s="16" t="s">
        <v>49</v>
      </c>
      <c r="H237" s="16" t="s">
        <v>59</v>
      </c>
      <c r="I237" s="16" t="s">
        <v>65</v>
      </c>
      <c r="J237" s="16" t="s">
        <v>70</v>
      </c>
      <c r="K237" s="16" t="s">
        <v>74</v>
      </c>
      <c r="L237" s="16" t="s">
        <v>80</v>
      </c>
      <c r="M237" s="16" t="s">
        <v>85</v>
      </c>
      <c r="N237" s="16" t="s">
        <v>91</v>
      </c>
      <c r="O237" s="16" t="s">
        <v>99</v>
      </c>
      <c r="P237" s="16" t="s">
        <v>105</v>
      </c>
      <c r="Q237" s="16" t="s">
        <v>109</v>
      </c>
      <c r="R237" s="16" t="s">
        <v>115</v>
      </c>
      <c r="S237" s="16" t="s">
        <v>122</v>
      </c>
      <c r="T237" s="16" t="s">
        <v>127</v>
      </c>
      <c r="U237" s="16" t="s">
        <v>132</v>
      </c>
      <c r="V237" s="16" t="s">
        <v>141</v>
      </c>
      <c r="W237" s="16" t="s">
        <v>166</v>
      </c>
      <c r="X237" s="16" t="s">
        <v>585</v>
      </c>
    </row>
    <row r="238" customFormat="false" ht="15" hidden="false" customHeight="false" outlineLevel="0" collapsed="false">
      <c r="A238" s="7" t="s">
        <v>610</v>
      </c>
      <c r="B238" s="7" t="s">
        <v>165</v>
      </c>
      <c r="C238" s="16" t="s">
        <v>31</v>
      </c>
      <c r="D238" s="16" t="s">
        <v>37</v>
      </c>
      <c r="E238" s="16" t="s">
        <v>43</v>
      </c>
      <c r="F238" s="16" t="s">
        <v>49</v>
      </c>
      <c r="G238" s="16" t="s">
        <v>49</v>
      </c>
      <c r="H238" s="16" t="s">
        <v>59</v>
      </c>
      <c r="I238" s="16" t="s">
        <v>65</v>
      </c>
      <c r="J238" s="16" t="s">
        <v>70</v>
      </c>
      <c r="K238" s="16" t="s">
        <v>75</v>
      </c>
      <c r="L238" s="16" t="s">
        <v>83</v>
      </c>
      <c r="M238" s="16" t="s">
        <v>88</v>
      </c>
      <c r="N238" s="16" t="s">
        <v>92</v>
      </c>
      <c r="O238" s="16" t="s">
        <v>97</v>
      </c>
      <c r="P238" s="16" t="s">
        <v>106</v>
      </c>
      <c r="Q238" s="16" t="s">
        <v>109</v>
      </c>
      <c r="R238" s="16" t="s">
        <v>115</v>
      </c>
      <c r="S238" s="16" t="s">
        <v>122</v>
      </c>
      <c r="T238" s="16" t="s">
        <v>127</v>
      </c>
      <c r="U238" s="16" t="s">
        <v>132</v>
      </c>
      <c r="V238" s="16" t="s">
        <v>138</v>
      </c>
      <c r="W238" s="16" t="s">
        <v>166</v>
      </c>
      <c r="X238" s="16" t="s">
        <v>571</v>
      </c>
    </row>
    <row r="239" customFormat="false" ht="15" hidden="false" customHeight="false" outlineLevel="0" collapsed="false">
      <c r="A239" s="7" t="s">
        <v>611</v>
      </c>
      <c r="B239" s="7" t="s">
        <v>165</v>
      </c>
      <c r="C239" s="16" t="s">
        <v>31</v>
      </c>
      <c r="D239" s="16" t="s">
        <v>37</v>
      </c>
      <c r="E239" s="16" t="s">
        <v>45</v>
      </c>
      <c r="F239" s="16" t="s">
        <v>49</v>
      </c>
      <c r="G239" s="16" t="s">
        <v>49</v>
      </c>
      <c r="H239" s="16" t="s">
        <v>59</v>
      </c>
      <c r="I239" s="16" t="s">
        <v>65</v>
      </c>
      <c r="J239" s="16" t="s">
        <v>70</v>
      </c>
      <c r="K239" s="16" t="s">
        <v>74</v>
      </c>
      <c r="L239" s="16" t="s">
        <v>79</v>
      </c>
      <c r="M239" s="16" t="s">
        <v>87</v>
      </c>
      <c r="N239" s="16" t="s">
        <v>91</v>
      </c>
      <c r="O239" s="16" t="s">
        <v>99</v>
      </c>
      <c r="P239" s="16" t="s">
        <v>105</v>
      </c>
      <c r="Q239" s="16" t="s">
        <v>109</v>
      </c>
      <c r="R239" s="16" t="s">
        <v>115</v>
      </c>
      <c r="S239" s="16" t="s">
        <v>122</v>
      </c>
      <c r="T239" s="16" t="s">
        <v>127</v>
      </c>
      <c r="U239" s="16" t="s">
        <v>132</v>
      </c>
      <c r="V239" s="16" t="s">
        <v>138</v>
      </c>
      <c r="W239" s="16" t="s">
        <v>166</v>
      </c>
      <c r="X239" s="16" t="s">
        <v>612</v>
      </c>
    </row>
    <row r="240" customFormat="false" ht="15" hidden="false" customHeight="false" outlineLevel="0" collapsed="false">
      <c r="A240" s="7" t="s">
        <v>613</v>
      </c>
      <c r="B240" s="7" t="s">
        <v>165</v>
      </c>
      <c r="C240" s="16" t="s">
        <v>32</v>
      </c>
      <c r="D240" s="16" t="s">
        <v>37</v>
      </c>
      <c r="E240" s="16" t="s">
        <v>43</v>
      </c>
      <c r="F240" s="16" t="s">
        <v>49</v>
      </c>
      <c r="G240" s="16" t="s">
        <v>49</v>
      </c>
      <c r="H240" s="16" t="s">
        <v>59</v>
      </c>
      <c r="I240" s="16" t="s">
        <v>65</v>
      </c>
      <c r="J240" s="16" t="s">
        <v>70</v>
      </c>
      <c r="K240" s="16" t="s">
        <v>75</v>
      </c>
      <c r="L240" s="16" t="s">
        <v>80</v>
      </c>
      <c r="M240" s="16" t="s">
        <v>86</v>
      </c>
      <c r="N240" s="16" t="s">
        <v>91</v>
      </c>
      <c r="O240" s="16" t="s">
        <v>100</v>
      </c>
      <c r="P240" s="16" t="s">
        <v>105</v>
      </c>
      <c r="Q240" s="16" t="s">
        <v>109</v>
      </c>
      <c r="R240" s="16" t="s">
        <v>116</v>
      </c>
      <c r="S240" s="16" t="s">
        <v>122</v>
      </c>
      <c r="T240" s="16" t="s">
        <v>122</v>
      </c>
      <c r="U240" s="16" t="s">
        <v>132</v>
      </c>
      <c r="V240" s="16" t="s">
        <v>138</v>
      </c>
      <c r="W240" s="16" t="s">
        <v>166</v>
      </c>
      <c r="X240" s="16" t="s">
        <v>431</v>
      </c>
    </row>
    <row r="241" customFormat="false" ht="15" hidden="false" customHeight="false" outlineLevel="0" collapsed="false">
      <c r="A241" s="7" t="s">
        <v>614</v>
      </c>
      <c r="B241" s="7" t="s">
        <v>206</v>
      </c>
      <c r="C241" s="16" t="s">
        <v>32</v>
      </c>
      <c r="D241" s="16" t="s">
        <v>37</v>
      </c>
      <c r="E241" s="16" t="s">
        <v>45</v>
      </c>
      <c r="F241" s="16" t="s">
        <v>49</v>
      </c>
      <c r="G241" s="16" t="s">
        <v>49</v>
      </c>
      <c r="H241" s="16" t="s">
        <v>59</v>
      </c>
      <c r="I241" s="16" t="s">
        <v>65</v>
      </c>
      <c r="J241" s="16" t="s">
        <v>70</v>
      </c>
      <c r="K241" s="16" t="s">
        <v>76</v>
      </c>
      <c r="L241" s="16" t="s">
        <v>82</v>
      </c>
      <c r="M241" s="16" t="s">
        <v>87</v>
      </c>
      <c r="N241" s="16" t="s">
        <v>93</v>
      </c>
      <c r="O241" s="16" t="s">
        <v>98</v>
      </c>
      <c r="P241" s="16" t="s">
        <v>106</v>
      </c>
      <c r="Q241" s="16" t="s">
        <v>109</v>
      </c>
      <c r="R241" s="16" t="s">
        <v>117</v>
      </c>
      <c r="S241" s="16" t="s">
        <v>124</v>
      </c>
      <c r="T241" s="16" t="s">
        <v>122</v>
      </c>
      <c r="U241" s="16" t="s">
        <v>133</v>
      </c>
      <c r="V241" s="16" t="s">
        <v>138</v>
      </c>
      <c r="W241" s="16" t="s">
        <v>166</v>
      </c>
      <c r="X241" s="16" t="s">
        <v>615</v>
      </c>
    </row>
    <row r="242" customFormat="false" ht="15" hidden="false" customHeight="false" outlineLevel="0" collapsed="false">
      <c r="A242" s="7" t="s">
        <v>616</v>
      </c>
      <c r="B242" s="7" t="s">
        <v>165</v>
      </c>
      <c r="C242" s="16" t="s">
        <v>31</v>
      </c>
      <c r="D242" s="16" t="s">
        <v>37</v>
      </c>
      <c r="E242" s="16" t="s">
        <v>43</v>
      </c>
      <c r="F242" s="16" t="s">
        <v>49</v>
      </c>
      <c r="G242" s="16" t="s">
        <v>49</v>
      </c>
      <c r="H242" s="16" t="s">
        <v>59</v>
      </c>
      <c r="I242" s="16" t="s">
        <v>65</v>
      </c>
      <c r="J242" s="16" t="s">
        <v>70</v>
      </c>
      <c r="K242" s="16" t="s">
        <v>73</v>
      </c>
      <c r="L242" s="16" t="s">
        <v>81</v>
      </c>
      <c r="M242" s="16" t="s">
        <v>87</v>
      </c>
      <c r="N242" s="16" t="s">
        <v>91</v>
      </c>
      <c r="O242" s="16" t="s">
        <v>99</v>
      </c>
      <c r="P242" s="16" t="s">
        <v>103</v>
      </c>
      <c r="Q242" s="16" t="s">
        <v>112</v>
      </c>
      <c r="R242" s="16" t="s">
        <v>115</v>
      </c>
      <c r="S242" s="16" t="s">
        <v>121</v>
      </c>
      <c r="T242" s="16" t="s">
        <v>122</v>
      </c>
      <c r="U242" s="16" t="s">
        <v>133</v>
      </c>
      <c r="V242" s="16" t="s">
        <v>140</v>
      </c>
      <c r="W242" s="16" t="s">
        <v>166</v>
      </c>
      <c r="X242" s="16" t="s">
        <v>312</v>
      </c>
    </row>
    <row r="243" customFormat="false" ht="15" hidden="false" customHeight="false" outlineLevel="0" collapsed="false">
      <c r="A243" s="7" t="s">
        <v>617</v>
      </c>
      <c r="B243" s="7" t="s">
        <v>165</v>
      </c>
      <c r="C243" s="16" t="s">
        <v>31</v>
      </c>
      <c r="D243" s="16" t="s">
        <v>37</v>
      </c>
      <c r="E243" s="16" t="s">
        <v>43</v>
      </c>
      <c r="F243" s="16" t="s">
        <v>49</v>
      </c>
      <c r="G243" s="16" t="s">
        <v>49</v>
      </c>
      <c r="H243" s="16" t="s">
        <v>59</v>
      </c>
      <c r="I243" s="16" t="s">
        <v>65</v>
      </c>
      <c r="J243" s="16" t="s">
        <v>70</v>
      </c>
      <c r="K243" s="16" t="s">
        <v>75</v>
      </c>
      <c r="L243" s="16" t="s">
        <v>82</v>
      </c>
      <c r="M243" s="16" t="s">
        <v>86</v>
      </c>
      <c r="N243" s="16" t="s">
        <v>92</v>
      </c>
      <c r="O243" s="16" t="s">
        <v>99</v>
      </c>
      <c r="P243" s="16" t="s">
        <v>105</v>
      </c>
      <c r="Q243" s="16" t="s">
        <v>110</v>
      </c>
      <c r="R243" s="16" t="s">
        <v>115</v>
      </c>
      <c r="S243" s="16" t="s">
        <v>122</v>
      </c>
      <c r="T243" s="16" t="s">
        <v>127</v>
      </c>
      <c r="U243" s="16" t="s">
        <v>132</v>
      </c>
      <c r="V243" s="16" t="s">
        <v>138</v>
      </c>
      <c r="W243" s="16" t="s">
        <v>166</v>
      </c>
      <c r="X243" s="16" t="s">
        <v>618</v>
      </c>
    </row>
    <row r="244" customFormat="false" ht="15" hidden="false" customHeight="false" outlineLevel="0" collapsed="false">
      <c r="A244" s="7" t="s">
        <v>619</v>
      </c>
      <c r="B244" s="7" t="s">
        <v>165</v>
      </c>
      <c r="C244" s="16" t="s">
        <v>31</v>
      </c>
      <c r="D244" s="16" t="s">
        <v>37</v>
      </c>
      <c r="E244" s="16" t="s">
        <v>43</v>
      </c>
      <c r="F244" s="16" t="s">
        <v>49</v>
      </c>
      <c r="G244" s="16" t="s">
        <v>49</v>
      </c>
      <c r="H244" s="16" t="s">
        <v>59</v>
      </c>
      <c r="I244" s="16" t="s">
        <v>65</v>
      </c>
      <c r="J244" s="16" t="s">
        <v>71</v>
      </c>
      <c r="K244" s="16" t="s">
        <v>73</v>
      </c>
      <c r="L244" s="16" t="s">
        <v>81</v>
      </c>
      <c r="M244" s="16" t="s">
        <v>88</v>
      </c>
      <c r="N244" s="16" t="s">
        <v>94</v>
      </c>
      <c r="O244" s="16" t="s">
        <v>99</v>
      </c>
      <c r="P244" s="16" t="s">
        <v>106</v>
      </c>
      <c r="Q244" s="16" t="s">
        <v>111</v>
      </c>
      <c r="R244" s="16" t="s">
        <v>115</v>
      </c>
      <c r="S244" s="16" t="s">
        <v>123</v>
      </c>
      <c r="T244" s="16" t="s">
        <v>129</v>
      </c>
      <c r="U244" s="16" t="s">
        <v>134</v>
      </c>
      <c r="V244" s="16" t="s">
        <v>138</v>
      </c>
      <c r="W244" s="16" t="s">
        <v>166</v>
      </c>
      <c r="X244" s="16" t="s">
        <v>620</v>
      </c>
    </row>
    <row r="245" customFormat="false" ht="15" hidden="false" customHeight="false" outlineLevel="0" collapsed="false">
      <c r="A245" s="7" t="s">
        <v>621</v>
      </c>
      <c r="B245" s="7" t="s">
        <v>165</v>
      </c>
      <c r="C245" s="16" t="s">
        <v>32</v>
      </c>
      <c r="D245" s="16" t="s">
        <v>37</v>
      </c>
      <c r="E245" s="16" t="s">
        <v>43</v>
      </c>
      <c r="F245" s="16" t="s">
        <v>49</v>
      </c>
      <c r="G245" s="16" t="s">
        <v>49</v>
      </c>
      <c r="H245" s="16" t="s">
        <v>59</v>
      </c>
      <c r="I245" s="16" t="s">
        <v>65</v>
      </c>
      <c r="J245" s="16" t="s">
        <v>70</v>
      </c>
      <c r="K245" s="16" t="s">
        <v>74</v>
      </c>
      <c r="L245" s="16" t="s">
        <v>82</v>
      </c>
      <c r="M245" s="16" t="s">
        <v>85</v>
      </c>
      <c r="N245" s="16" t="s">
        <v>91</v>
      </c>
      <c r="O245" s="16" t="s">
        <v>99</v>
      </c>
      <c r="P245" s="16" t="s">
        <v>106</v>
      </c>
      <c r="Q245" s="16" t="s">
        <v>109</v>
      </c>
      <c r="R245" s="16" t="s">
        <v>116</v>
      </c>
      <c r="S245" s="16" t="s">
        <v>123</v>
      </c>
      <c r="T245" s="16" t="s">
        <v>127</v>
      </c>
      <c r="U245" s="16" t="s">
        <v>132</v>
      </c>
      <c r="V245" s="16" t="s">
        <v>140</v>
      </c>
      <c r="W245" s="16" t="s">
        <v>166</v>
      </c>
      <c r="X245" s="16" t="s">
        <v>622</v>
      </c>
    </row>
    <row r="246" customFormat="false" ht="15" hidden="false" customHeight="false" outlineLevel="0" collapsed="false">
      <c r="A246" s="7" t="s">
        <v>623</v>
      </c>
      <c r="B246" s="7" t="s">
        <v>165</v>
      </c>
      <c r="C246" s="16" t="s">
        <v>31</v>
      </c>
      <c r="D246" s="16" t="s">
        <v>37</v>
      </c>
      <c r="E246" s="16" t="s">
        <v>43</v>
      </c>
      <c r="F246" s="16" t="s">
        <v>49</v>
      </c>
      <c r="G246" s="16" t="s">
        <v>49</v>
      </c>
      <c r="H246" s="16" t="s">
        <v>59</v>
      </c>
      <c r="I246" s="16" t="s">
        <v>65</v>
      </c>
      <c r="J246" s="16" t="s">
        <v>70</v>
      </c>
      <c r="K246" s="16" t="s">
        <v>74</v>
      </c>
      <c r="L246" s="16" t="s">
        <v>79</v>
      </c>
      <c r="M246" s="16" t="s">
        <v>85</v>
      </c>
      <c r="N246" s="16" t="s">
        <v>92</v>
      </c>
      <c r="O246" s="16" t="s">
        <v>99</v>
      </c>
      <c r="P246" s="16" t="s">
        <v>103</v>
      </c>
      <c r="Q246" s="16" t="s">
        <v>109</v>
      </c>
      <c r="R246" s="16" t="s">
        <v>118</v>
      </c>
      <c r="S246" s="16" t="s">
        <v>121</v>
      </c>
      <c r="T246" s="16" t="s">
        <v>127</v>
      </c>
      <c r="U246" s="16" t="s">
        <v>132</v>
      </c>
      <c r="V246" s="16" t="s">
        <v>139</v>
      </c>
      <c r="W246" s="16" t="s">
        <v>166</v>
      </c>
      <c r="X246" s="16" t="s">
        <v>624</v>
      </c>
    </row>
    <row r="247" customFormat="false" ht="15" hidden="false" customHeight="false" outlineLevel="0" collapsed="false">
      <c r="A247" s="7" t="s">
        <v>625</v>
      </c>
      <c r="B247" s="7" t="s">
        <v>165</v>
      </c>
      <c r="C247" s="16" t="s">
        <v>32</v>
      </c>
      <c r="D247" s="16" t="s">
        <v>37</v>
      </c>
      <c r="E247" s="16" t="s">
        <v>46</v>
      </c>
      <c r="F247" s="16" t="s">
        <v>49</v>
      </c>
      <c r="G247" s="16" t="s">
        <v>49</v>
      </c>
      <c r="H247" s="16" t="s">
        <v>59</v>
      </c>
      <c r="I247" s="16" t="s">
        <v>65</v>
      </c>
      <c r="J247" s="16" t="s">
        <v>70</v>
      </c>
      <c r="K247" s="16" t="s">
        <v>75</v>
      </c>
      <c r="L247" s="16" t="s">
        <v>81</v>
      </c>
      <c r="M247" s="16" t="s">
        <v>85</v>
      </c>
      <c r="N247" s="16" t="s">
        <v>92</v>
      </c>
      <c r="O247" s="16" t="s">
        <v>99</v>
      </c>
      <c r="P247" s="16" t="s">
        <v>105</v>
      </c>
      <c r="Q247" s="16" t="s">
        <v>111</v>
      </c>
      <c r="R247" s="16" t="s">
        <v>115</v>
      </c>
      <c r="S247" s="16" t="s">
        <v>121</v>
      </c>
      <c r="T247" s="16" t="s">
        <v>122</v>
      </c>
      <c r="U247" s="16" t="s">
        <v>132</v>
      </c>
      <c r="V247" s="16" t="s">
        <v>138</v>
      </c>
      <c r="W247" s="16" t="s">
        <v>166</v>
      </c>
      <c r="X247" s="16" t="s">
        <v>626</v>
      </c>
    </row>
    <row r="248" customFormat="false" ht="15" hidden="false" customHeight="false" outlineLevel="0" collapsed="false">
      <c r="A248" s="7" t="s">
        <v>627</v>
      </c>
      <c r="B248" s="7" t="s">
        <v>165</v>
      </c>
      <c r="C248" s="16" t="s">
        <v>32</v>
      </c>
      <c r="D248" s="16" t="s">
        <v>37</v>
      </c>
      <c r="E248" s="16" t="s">
        <v>43</v>
      </c>
      <c r="F248" s="16" t="s">
        <v>49</v>
      </c>
      <c r="G248" s="16" t="s">
        <v>49</v>
      </c>
      <c r="H248" s="16" t="s">
        <v>59</v>
      </c>
      <c r="I248" s="16" t="s">
        <v>68</v>
      </c>
      <c r="J248" s="16" t="s">
        <v>70</v>
      </c>
      <c r="K248" s="16" t="s">
        <v>75</v>
      </c>
      <c r="L248" s="16" t="s">
        <v>81</v>
      </c>
      <c r="M248" s="16" t="s">
        <v>88</v>
      </c>
      <c r="N248" s="16" t="s">
        <v>91</v>
      </c>
      <c r="O248" s="16" t="s">
        <v>99</v>
      </c>
      <c r="P248" s="16" t="s">
        <v>105</v>
      </c>
      <c r="Q248" s="16" t="s">
        <v>111</v>
      </c>
      <c r="R248" s="16" t="s">
        <v>115</v>
      </c>
      <c r="S248" s="16" t="s">
        <v>122</v>
      </c>
      <c r="T248" s="16" t="s">
        <v>129</v>
      </c>
      <c r="U248" s="16" t="s">
        <v>132</v>
      </c>
      <c r="V248" s="16" t="s">
        <v>138</v>
      </c>
      <c r="W248" s="16" t="s">
        <v>166</v>
      </c>
      <c r="X248" s="16" t="s">
        <v>628</v>
      </c>
    </row>
    <row r="249" customFormat="false" ht="15" hidden="false" customHeight="false" outlineLevel="0" collapsed="false">
      <c r="A249" s="7" t="s">
        <v>629</v>
      </c>
      <c r="B249" s="7" t="s">
        <v>165</v>
      </c>
      <c r="C249" s="16" t="s">
        <v>31</v>
      </c>
      <c r="D249" s="16" t="s">
        <v>37</v>
      </c>
      <c r="E249" s="16" t="s">
        <v>44</v>
      </c>
      <c r="F249" s="16" t="s">
        <v>49</v>
      </c>
      <c r="G249" s="16" t="s">
        <v>49</v>
      </c>
      <c r="H249" s="16" t="s">
        <v>59</v>
      </c>
      <c r="I249" s="16" t="s">
        <v>65</v>
      </c>
      <c r="J249" s="16" t="s">
        <v>70</v>
      </c>
      <c r="K249" s="16" t="s">
        <v>75</v>
      </c>
      <c r="L249" s="16" t="s">
        <v>81</v>
      </c>
      <c r="M249" s="16" t="s">
        <v>87</v>
      </c>
      <c r="N249" s="16" t="s">
        <v>91</v>
      </c>
      <c r="O249" s="16" t="s">
        <v>99</v>
      </c>
      <c r="P249" s="16" t="s">
        <v>103</v>
      </c>
      <c r="Q249" s="16" t="s">
        <v>109</v>
      </c>
      <c r="R249" s="16" t="s">
        <v>115</v>
      </c>
      <c r="S249" s="16" t="s">
        <v>121</v>
      </c>
      <c r="T249" s="16" t="s">
        <v>127</v>
      </c>
      <c r="U249" s="16" t="s">
        <v>133</v>
      </c>
      <c r="V249" s="16" t="s">
        <v>138</v>
      </c>
      <c r="W249" s="16" t="s">
        <v>166</v>
      </c>
      <c r="X249" s="16" t="s">
        <v>347</v>
      </c>
    </row>
    <row r="250" customFormat="false" ht="15" hidden="false" customHeight="false" outlineLevel="0" collapsed="false">
      <c r="A250" s="7" t="s">
        <v>630</v>
      </c>
      <c r="B250" s="7" t="s">
        <v>165</v>
      </c>
      <c r="C250" s="16" t="s">
        <v>31</v>
      </c>
      <c r="D250" s="16" t="s">
        <v>37</v>
      </c>
      <c r="E250" s="16" t="s">
        <v>43</v>
      </c>
      <c r="F250" s="16" t="s">
        <v>49</v>
      </c>
      <c r="G250" s="16" t="s">
        <v>49</v>
      </c>
      <c r="H250" s="16" t="s">
        <v>59</v>
      </c>
      <c r="I250" s="16" t="s">
        <v>65</v>
      </c>
      <c r="J250" s="16" t="s">
        <v>70</v>
      </c>
      <c r="K250" s="16" t="s">
        <v>74</v>
      </c>
      <c r="L250" s="16" t="s">
        <v>80</v>
      </c>
      <c r="M250" s="16" t="s">
        <v>86</v>
      </c>
      <c r="N250" s="16" t="s">
        <v>93</v>
      </c>
      <c r="O250" s="16" t="s">
        <v>99</v>
      </c>
      <c r="P250" s="16" t="s">
        <v>105</v>
      </c>
      <c r="Q250" s="16" t="s">
        <v>110</v>
      </c>
      <c r="R250" s="16" t="s">
        <v>115</v>
      </c>
      <c r="S250" s="16" t="s">
        <v>122</v>
      </c>
      <c r="T250" s="16" t="s">
        <v>127</v>
      </c>
      <c r="U250" s="16" t="s">
        <v>132</v>
      </c>
      <c r="V250" s="16" t="s">
        <v>138</v>
      </c>
      <c r="W250" s="16" t="s">
        <v>166</v>
      </c>
      <c r="X250" s="16" t="s">
        <v>413</v>
      </c>
    </row>
    <row r="251" customFormat="false" ht="15" hidden="false" customHeight="false" outlineLevel="0" collapsed="false">
      <c r="A251" s="7" t="s">
        <v>631</v>
      </c>
      <c r="B251" s="7" t="s">
        <v>193</v>
      </c>
      <c r="C251" s="16" t="s">
        <v>35</v>
      </c>
      <c r="D251" s="16" t="s">
        <v>38</v>
      </c>
      <c r="E251" s="16" t="s">
        <v>45</v>
      </c>
      <c r="F251" s="16" t="s">
        <v>49</v>
      </c>
      <c r="G251" s="16" t="s">
        <v>49</v>
      </c>
      <c r="H251" s="16" t="s">
        <v>59</v>
      </c>
      <c r="I251" s="16" t="s">
        <v>65</v>
      </c>
      <c r="J251" s="16" t="s">
        <v>71</v>
      </c>
      <c r="K251" s="16" t="s">
        <v>76</v>
      </c>
      <c r="L251" s="16" t="s">
        <v>82</v>
      </c>
      <c r="M251" s="16" t="s">
        <v>85</v>
      </c>
      <c r="N251" s="16" t="s">
        <v>93</v>
      </c>
      <c r="O251" s="16" t="s">
        <v>99</v>
      </c>
      <c r="P251" s="16" t="s">
        <v>106</v>
      </c>
      <c r="Q251" s="16" t="s">
        <v>109</v>
      </c>
      <c r="R251" s="16" t="s">
        <v>118</v>
      </c>
      <c r="S251" s="16" t="s">
        <v>121</v>
      </c>
      <c r="T251" s="16" t="s">
        <v>129</v>
      </c>
      <c r="U251" s="16" t="s">
        <v>133</v>
      </c>
      <c r="V251" s="16" t="s">
        <v>138</v>
      </c>
      <c r="W251" s="16" t="s">
        <v>166</v>
      </c>
      <c r="X251" s="16" t="s">
        <v>608</v>
      </c>
    </row>
    <row r="252" customFormat="false" ht="15" hidden="false" customHeight="false" outlineLevel="0" collapsed="false">
      <c r="A252" s="7" t="s">
        <v>632</v>
      </c>
      <c r="B252" s="7" t="s">
        <v>165</v>
      </c>
      <c r="C252" s="16" t="s">
        <v>31</v>
      </c>
      <c r="D252" s="16" t="s">
        <v>37</v>
      </c>
      <c r="E252" s="16" t="s">
        <v>46</v>
      </c>
      <c r="F252" s="16" t="s">
        <v>49</v>
      </c>
      <c r="G252" s="16" t="s">
        <v>55</v>
      </c>
      <c r="H252" s="16" t="s">
        <v>59</v>
      </c>
      <c r="I252" s="16" t="s">
        <v>65</v>
      </c>
      <c r="J252" s="16" t="s">
        <v>70</v>
      </c>
      <c r="K252" s="16" t="s">
        <v>74</v>
      </c>
      <c r="L252" s="16" t="s">
        <v>81</v>
      </c>
      <c r="M252" s="16" t="s">
        <v>85</v>
      </c>
      <c r="N252" s="16" t="s">
        <v>91</v>
      </c>
      <c r="O252" s="16" t="s">
        <v>97</v>
      </c>
      <c r="P252" s="16" t="s">
        <v>106</v>
      </c>
      <c r="Q252" s="16" t="s">
        <v>109</v>
      </c>
      <c r="R252" s="16" t="s">
        <v>115</v>
      </c>
      <c r="S252" s="16" t="s">
        <v>123</v>
      </c>
      <c r="T252" s="16" t="s">
        <v>128</v>
      </c>
      <c r="U252" s="16" t="s">
        <v>132</v>
      </c>
      <c r="V252" s="16" t="s">
        <v>138</v>
      </c>
      <c r="W252" s="16" t="s">
        <v>166</v>
      </c>
      <c r="X252" s="16" t="s">
        <v>633</v>
      </c>
    </row>
    <row r="253" customFormat="false" ht="15" hidden="false" customHeight="false" outlineLevel="0" collapsed="false">
      <c r="A253" s="7" t="s">
        <v>634</v>
      </c>
      <c r="B253" s="7" t="s">
        <v>165</v>
      </c>
      <c r="C253" s="16" t="s">
        <v>31</v>
      </c>
      <c r="D253" s="16" t="s">
        <v>37</v>
      </c>
      <c r="E253" s="16" t="s">
        <v>45</v>
      </c>
      <c r="F253" s="16" t="s">
        <v>49</v>
      </c>
      <c r="G253" s="16" t="s">
        <v>49</v>
      </c>
      <c r="H253" s="16" t="s">
        <v>59</v>
      </c>
      <c r="I253" s="16" t="s">
        <v>67</v>
      </c>
      <c r="J253" s="16" t="s">
        <v>70</v>
      </c>
      <c r="K253" s="16" t="s">
        <v>74</v>
      </c>
      <c r="L253" s="16" t="s">
        <v>80</v>
      </c>
      <c r="M253" s="16" t="s">
        <v>85</v>
      </c>
      <c r="N253" s="16" t="s">
        <v>91</v>
      </c>
      <c r="O253" s="16" t="s">
        <v>100</v>
      </c>
      <c r="P253" s="16" t="s">
        <v>105</v>
      </c>
      <c r="Q253" s="16" t="s">
        <v>109</v>
      </c>
      <c r="R253" s="16" t="s">
        <v>115</v>
      </c>
      <c r="S253" s="16" t="s">
        <v>121</v>
      </c>
      <c r="T253" s="16" t="s">
        <v>127</v>
      </c>
      <c r="U253" s="16" t="s">
        <v>132</v>
      </c>
      <c r="V253" s="16" t="s">
        <v>139</v>
      </c>
      <c r="W253" s="16" t="s">
        <v>166</v>
      </c>
      <c r="X253" s="16" t="s">
        <v>382</v>
      </c>
    </row>
    <row r="254" customFormat="false" ht="15" hidden="false" customHeight="false" outlineLevel="0" collapsed="false">
      <c r="A254" s="7" t="s">
        <v>635</v>
      </c>
      <c r="B254" s="7" t="s">
        <v>165</v>
      </c>
      <c r="C254" s="16" t="s">
        <v>31</v>
      </c>
      <c r="D254" s="16" t="s">
        <v>37</v>
      </c>
      <c r="E254" s="16" t="s">
        <v>43</v>
      </c>
      <c r="F254" s="16" t="s">
        <v>49</v>
      </c>
      <c r="G254" s="16" t="s">
        <v>49</v>
      </c>
      <c r="H254" s="16" t="s">
        <v>59</v>
      </c>
      <c r="I254" s="16" t="s">
        <v>65</v>
      </c>
      <c r="J254" s="16" t="s">
        <v>70</v>
      </c>
      <c r="K254" s="16" t="s">
        <v>75</v>
      </c>
      <c r="L254" s="16" t="s">
        <v>81</v>
      </c>
      <c r="M254" s="16" t="s">
        <v>86</v>
      </c>
      <c r="N254" s="16" t="s">
        <v>91</v>
      </c>
      <c r="O254" s="16" t="s">
        <v>99</v>
      </c>
      <c r="P254" s="16" t="s">
        <v>106</v>
      </c>
      <c r="Q254" s="16" t="s">
        <v>111</v>
      </c>
      <c r="R254" s="16" t="s">
        <v>118</v>
      </c>
      <c r="S254" s="16" t="s">
        <v>121</v>
      </c>
      <c r="T254" s="16" t="s">
        <v>122</v>
      </c>
      <c r="U254" s="16" t="s">
        <v>132</v>
      </c>
      <c r="V254" s="16" t="s">
        <v>138</v>
      </c>
      <c r="W254" s="16" t="s">
        <v>166</v>
      </c>
      <c r="X254" s="16" t="s">
        <v>636</v>
      </c>
    </row>
    <row r="255" customFormat="false" ht="15" hidden="false" customHeight="false" outlineLevel="0" collapsed="false">
      <c r="A255" s="7" t="s">
        <v>637</v>
      </c>
      <c r="B255" s="7" t="s">
        <v>165</v>
      </c>
      <c r="C255" s="16" t="s">
        <v>31</v>
      </c>
      <c r="D255" s="16" t="s">
        <v>37</v>
      </c>
      <c r="E255" s="16" t="s">
        <v>43</v>
      </c>
      <c r="F255" s="16" t="s">
        <v>49</v>
      </c>
      <c r="G255" s="16" t="s">
        <v>49</v>
      </c>
      <c r="H255" s="16" t="s">
        <v>59</v>
      </c>
      <c r="I255" s="16" t="s">
        <v>65</v>
      </c>
      <c r="J255" s="16" t="s">
        <v>70</v>
      </c>
      <c r="K255" s="16" t="s">
        <v>75</v>
      </c>
      <c r="L255" s="16" t="s">
        <v>80</v>
      </c>
      <c r="M255" s="16" t="s">
        <v>85</v>
      </c>
      <c r="N255" s="16" t="s">
        <v>91</v>
      </c>
      <c r="O255" s="16" t="s">
        <v>99</v>
      </c>
      <c r="P255" s="16" t="s">
        <v>105</v>
      </c>
      <c r="Q255" s="16" t="s">
        <v>110</v>
      </c>
      <c r="R255" s="16" t="s">
        <v>115</v>
      </c>
      <c r="S255" s="16" t="s">
        <v>121</v>
      </c>
      <c r="T255" s="16" t="s">
        <v>122</v>
      </c>
      <c r="U255" s="16" t="s">
        <v>135</v>
      </c>
      <c r="V255" s="16" t="s">
        <v>140</v>
      </c>
      <c r="W255" s="16" t="s">
        <v>166</v>
      </c>
      <c r="X255" s="16" t="s">
        <v>638</v>
      </c>
    </row>
    <row r="256" customFormat="false" ht="15" hidden="false" customHeight="false" outlineLevel="0" collapsed="false">
      <c r="A256" s="7" t="s">
        <v>639</v>
      </c>
      <c r="B256" s="7" t="s">
        <v>165</v>
      </c>
      <c r="C256" s="16" t="s">
        <v>31</v>
      </c>
      <c r="D256" s="16" t="s">
        <v>37</v>
      </c>
      <c r="E256" s="16" t="s">
        <v>45</v>
      </c>
      <c r="F256" s="16" t="s">
        <v>49</v>
      </c>
      <c r="G256" s="16" t="s">
        <v>49</v>
      </c>
      <c r="H256" s="16" t="s">
        <v>59</v>
      </c>
      <c r="I256" s="16" t="s">
        <v>65</v>
      </c>
      <c r="J256" s="16" t="s">
        <v>70</v>
      </c>
      <c r="K256" s="16" t="s">
        <v>73</v>
      </c>
      <c r="L256" s="16" t="s">
        <v>80</v>
      </c>
      <c r="M256" s="16" t="s">
        <v>86</v>
      </c>
      <c r="N256" s="16" t="s">
        <v>91</v>
      </c>
      <c r="O256" s="16" t="s">
        <v>98</v>
      </c>
      <c r="P256" s="16" t="s">
        <v>105</v>
      </c>
      <c r="Q256" s="16" t="s">
        <v>109</v>
      </c>
      <c r="R256" s="16" t="s">
        <v>116</v>
      </c>
      <c r="S256" s="16" t="s">
        <v>123</v>
      </c>
      <c r="T256" s="16" t="s">
        <v>127</v>
      </c>
      <c r="U256" s="16" t="s">
        <v>132</v>
      </c>
      <c r="V256" s="16" t="s">
        <v>138</v>
      </c>
      <c r="W256" s="16" t="s">
        <v>166</v>
      </c>
      <c r="X256" s="16" t="s">
        <v>640</v>
      </c>
    </row>
    <row r="257" customFormat="false" ht="15" hidden="false" customHeight="false" outlineLevel="0" collapsed="false">
      <c r="A257" s="7" t="s">
        <v>641</v>
      </c>
      <c r="B257" s="7" t="s">
        <v>165</v>
      </c>
      <c r="C257" s="16" t="s">
        <v>31</v>
      </c>
      <c r="D257" s="16" t="s">
        <v>37</v>
      </c>
      <c r="E257" s="16" t="s">
        <v>46</v>
      </c>
      <c r="F257" s="16" t="s">
        <v>49</v>
      </c>
      <c r="G257" s="16" t="s">
        <v>49</v>
      </c>
      <c r="H257" s="16" t="s">
        <v>59</v>
      </c>
      <c r="I257" s="16" t="s">
        <v>65</v>
      </c>
      <c r="J257" s="16" t="s">
        <v>70</v>
      </c>
      <c r="K257" s="16" t="s">
        <v>74</v>
      </c>
      <c r="L257" s="16" t="s">
        <v>80</v>
      </c>
      <c r="M257" s="16" t="s">
        <v>87</v>
      </c>
      <c r="N257" s="16" t="s">
        <v>91</v>
      </c>
      <c r="O257" s="16" t="s">
        <v>99</v>
      </c>
      <c r="P257" s="16" t="s">
        <v>106</v>
      </c>
      <c r="Q257" s="16" t="s">
        <v>109</v>
      </c>
      <c r="R257" s="16" t="s">
        <v>115</v>
      </c>
      <c r="S257" s="16" t="s">
        <v>121</v>
      </c>
      <c r="T257" s="16" t="s">
        <v>127</v>
      </c>
      <c r="U257" s="16" t="s">
        <v>132</v>
      </c>
      <c r="V257" s="16" t="s">
        <v>138</v>
      </c>
      <c r="W257" s="16" t="s">
        <v>166</v>
      </c>
      <c r="X257" s="16" t="s">
        <v>194</v>
      </c>
    </row>
    <row r="258" customFormat="false" ht="15" hidden="false" customHeight="false" outlineLevel="0" collapsed="false">
      <c r="A258" s="7" t="s">
        <v>642</v>
      </c>
      <c r="B258" s="7" t="s">
        <v>165</v>
      </c>
      <c r="C258" s="16" t="s">
        <v>31</v>
      </c>
      <c r="D258" s="16" t="s">
        <v>37</v>
      </c>
      <c r="E258" s="16" t="s">
        <v>45</v>
      </c>
      <c r="F258" s="16" t="s">
        <v>49</v>
      </c>
      <c r="G258" s="16" t="s">
        <v>49</v>
      </c>
      <c r="H258" s="16" t="s">
        <v>59</v>
      </c>
      <c r="I258" s="16" t="s">
        <v>65</v>
      </c>
      <c r="J258" s="16" t="s">
        <v>70</v>
      </c>
      <c r="K258" s="16" t="s">
        <v>74</v>
      </c>
      <c r="L258" s="16" t="s">
        <v>81</v>
      </c>
      <c r="M258" s="16" t="s">
        <v>85</v>
      </c>
      <c r="N258" s="16" t="s">
        <v>91</v>
      </c>
      <c r="O258" s="16" t="s">
        <v>100</v>
      </c>
      <c r="P258" s="16" t="s">
        <v>106</v>
      </c>
      <c r="Q258" s="16" t="s">
        <v>111</v>
      </c>
      <c r="R258" s="16" t="s">
        <v>115</v>
      </c>
      <c r="S258" s="16" t="s">
        <v>122</v>
      </c>
      <c r="T258" s="16" t="s">
        <v>127</v>
      </c>
      <c r="U258" s="16" t="s">
        <v>132</v>
      </c>
      <c r="V258" s="16" t="s">
        <v>138</v>
      </c>
      <c r="W258" s="16" t="s">
        <v>166</v>
      </c>
      <c r="X258" s="16" t="s">
        <v>643</v>
      </c>
    </row>
    <row r="259" customFormat="false" ht="15" hidden="false" customHeight="false" outlineLevel="0" collapsed="false">
      <c r="A259" s="7" t="s">
        <v>644</v>
      </c>
      <c r="B259" s="7" t="s">
        <v>165</v>
      </c>
      <c r="C259" s="16" t="s">
        <v>31</v>
      </c>
      <c r="D259" s="16" t="s">
        <v>37</v>
      </c>
      <c r="E259" s="16" t="s">
        <v>44</v>
      </c>
      <c r="F259" s="16" t="s">
        <v>49</v>
      </c>
      <c r="G259" s="16" t="s">
        <v>49</v>
      </c>
      <c r="H259" s="16" t="s">
        <v>59</v>
      </c>
      <c r="I259" s="16" t="s">
        <v>66</v>
      </c>
      <c r="J259" s="16" t="s">
        <v>71</v>
      </c>
      <c r="K259" s="16" t="s">
        <v>73</v>
      </c>
      <c r="L259" s="16" t="s">
        <v>79</v>
      </c>
      <c r="M259" s="16" t="s">
        <v>86</v>
      </c>
      <c r="N259" s="16" t="s">
        <v>91</v>
      </c>
      <c r="O259" s="16" t="s">
        <v>99</v>
      </c>
      <c r="P259" s="16" t="s">
        <v>105</v>
      </c>
      <c r="Q259" s="16" t="s">
        <v>109</v>
      </c>
      <c r="R259" s="16" t="s">
        <v>115</v>
      </c>
      <c r="S259" s="16" t="s">
        <v>121</v>
      </c>
      <c r="T259" s="16" t="s">
        <v>127</v>
      </c>
      <c r="U259" s="16" t="s">
        <v>132</v>
      </c>
      <c r="V259" s="16" t="s">
        <v>138</v>
      </c>
      <c r="W259" s="16" t="s">
        <v>166</v>
      </c>
      <c r="X259" s="16" t="s">
        <v>645</v>
      </c>
    </row>
    <row r="260" customFormat="false" ht="15" hidden="false" customHeight="false" outlineLevel="0" collapsed="false">
      <c r="A260" s="7" t="s">
        <v>646</v>
      </c>
      <c r="B260" s="7" t="s">
        <v>165</v>
      </c>
      <c r="C260" s="16" t="s">
        <v>32</v>
      </c>
      <c r="D260" s="16" t="s">
        <v>37</v>
      </c>
      <c r="E260" s="16" t="s">
        <v>43</v>
      </c>
      <c r="F260" s="16" t="s">
        <v>49</v>
      </c>
      <c r="G260" s="16" t="s">
        <v>54</v>
      </c>
      <c r="H260" s="16" t="s">
        <v>59</v>
      </c>
      <c r="I260" s="16" t="s">
        <v>65</v>
      </c>
      <c r="J260" s="16" t="s">
        <v>70</v>
      </c>
      <c r="K260" s="16" t="s">
        <v>75</v>
      </c>
      <c r="L260" s="16" t="s">
        <v>81</v>
      </c>
      <c r="M260" s="16" t="s">
        <v>85</v>
      </c>
      <c r="N260" s="16" t="s">
        <v>91</v>
      </c>
      <c r="O260" s="16" t="s">
        <v>100</v>
      </c>
      <c r="P260" s="16" t="s">
        <v>105</v>
      </c>
      <c r="Q260" s="16" t="s">
        <v>109</v>
      </c>
      <c r="R260" s="16" t="s">
        <v>115</v>
      </c>
      <c r="S260" s="16" t="s">
        <v>122</v>
      </c>
      <c r="T260" s="16" t="s">
        <v>127</v>
      </c>
      <c r="U260" s="16" t="s">
        <v>132</v>
      </c>
      <c r="V260" s="16" t="s">
        <v>138</v>
      </c>
      <c r="W260" s="16" t="s">
        <v>166</v>
      </c>
      <c r="X260" s="16" t="s">
        <v>267</v>
      </c>
    </row>
    <row r="261" customFormat="false" ht="15" hidden="false" customHeight="false" outlineLevel="0" collapsed="false">
      <c r="A261" s="7" t="s">
        <v>647</v>
      </c>
      <c r="B261" s="7" t="s">
        <v>165</v>
      </c>
      <c r="C261" s="16" t="s">
        <v>31</v>
      </c>
      <c r="D261" s="16" t="s">
        <v>37</v>
      </c>
      <c r="E261" s="16" t="s">
        <v>43</v>
      </c>
      <c r="F261" s="16" t="s">
        <v>49</v>
      </c>
      <c r="G261" s="16" t="s">
        <v>49</v>
      </c>
      <c r="H261" s="16" t="s">
        <v>59</v>
      </c>
      <c r="I261" s="16" t="s">
        <v>65</v>
      </c>
      <c r="J261" s="16" t="s">
        <v>70</v>
      </c>
      <c r="K261" s="16" t="s">
        <v>75</v>
      </c>
      <c r="L261" s="16" t="s">
        <v>79</v>
      </c>
      <c r="M261" s="16" t="s">
        <v>85</v>
      </c>
      <c r="N261" s="16" t="s">
        <v>91</v>
      </c>
      <c r="O261" s="16" t="s">
        <v>100</v>
      </c>
      <c r="P261" s="16" t="s">
        <v>105</v>
      </c>
      <c r="Q261" s="16" t="s">
        <v>111</v>
      </c>
      <c r="R261" s="16" t="s">
        <v>115</v>
      </c>
      <c r="S261" s="16" t="s">
        <v>121</v>
      </c>
      <c r="T261" s="16" t="s">
        <v>127</v>
      </c>
      <c r="U261" s="16" t="s">
        <v>133</v>
      </c>
      <c r="V261" s="16" t="s">
        <v>138</v>
      </c>
      <c r="W261" s="16" t="s">
        <v>166</v>
      </c>
      <c r="X261" s="16" t="s">
        <v>648</v>
      </c>
    </row>
    <row r="262" customFormat="false" ht="15" hidden="false" customHeight="false" outlineLevel="0" collapsed="false">
      <c r="A262" s="7" t="s">
        <v>649</v>
      </c>
      <c r="B262" s="7" t="s">
        <v>206</v>
      </c>
      <c r="C262" s="16" t="s">
        <v>32</v>
      </c>
      <c r="D262" s="16" t="s">
        <v>37</v>
      </c>
      <c r="E262" s="16" t="s">
        <v>46</v>
      </c>
      <c r="F262" s="16" t="s">
        <v>49</v>
      </c>
      <c r="G262" s="16" t="s">
        <v>49</v>
      </c>
      <c r="H262" s="16" t="s">
        <v>59</v>
      </c>
      <c r="I262" s="16" t="s">
        <v>66</v>
      </c>
      <c r="J262" s="16" t="s">
        <v>63</v>
      </c>
      <c r="K262" s="16" t="s">
        <v>76</v>
      </c>
      <c r="L262" s="16" t="s">
        <v>81</v>
      </c>
      <c r="M262" s="16" t="s">
        <v>85</v>
      </c>
      <c r="N262" s="16" t="s">
        <v>91</v>
      </c>
      <c r="O262" s="16" t="s">
        <v>99</v>
      </c>
      <c r="P262" s="16" t="s">
        <v>106</v>
      </c>
      <c r="Q262" s="16" t="s">
        <v>109</v>
      </c>
      <c r="R262" s="16" t="s">
        <v>117</v>
      </c>
      <c r="S262" s="16" t="s">
        <v>123</v>
      </c>
      <c r="T262" s="16" t="s">
        <v>127</v>
      </c>
      <c r="U262" s="16" t="s">
        <v>133</v>
      </c>
      <c r="V262" s="16" t="s">
        <v>139</v>
      </c>
      <c r="W262" s="16" t="s">
        <v>166</v>
      </c>
      <c r="X262" s="16" t="s">
        <v>585</v>
      </c>
    </row>
    <row r="263" customFormat="false" ht="15" hidden="false" customHeight="false" outlineLevel="0" collapsed="false">
      <c r="A263" s="7" t="s">
        <v>650</v>
      </c>
      <c r="B263" s="7" t="s">
        <v>193</v>
      </c>
      <c r="C263" s="16" t="s">
        <v>33</v>
      </c>
      <c r="D263" s="16" t="s">
        <v>38</v>
      </c>
      <c r="E263" s="16" t="s">
        <v>44</v>
      </c>
      <c r="F263" s="16" t="s">
        <v>49</v>
      </c>
      <c r="G263" s="16" t="s">
        <v>49</v>
      </c>
      <c r="H263" s="16" t="s">
        <v>59</v>
      </c>
      <c r="I263" s="16" t="s">
        <v>65</v>
      </c>
      <c r="J263" s="16" t="s">
        <v>71</v>
      </c>
      <c r="K263" s="16" t="s">
        <v>77</v>
      </c>
      <c r="L263" s="16" t="s">
        <v>83</v>
      </c>
      <c r="M263" s="16" t="s">
        <v>85</v>
      </c>
      <c r="N263" s="16" t="s">
        <v>93</v>
      </c>
      <c r="O263" s="16" t="s">
        <v>99</v>
      </c>
      <c r="P263" s="16" t="s">
        <v>106</v>
      </c>
      <c r="Q263" s="16" t="s">
        <v>112</v>
      </c>
      <c r="R263" s="16" t="s">
        <v>117</v>
      </c>
      <c r="S263" s="16" t="s">
        <v>122</v>
      </c>
      <c r="T263" s="16" t="s">
        <v>122</v>
      </c>
      <c r="U263" s="16" t="s">
        <v>135</v>
      </c>
      <c r="V263" s="16" t="s">
        <v>138</v>
      </c>
      <c r="W263" s="16" t="s">
        <v>166</v>
      </c>
      <c r="X263" s="16" t="s">
        <v>651</v>
      </c>
    </row>
    <row r="264" customFormat="false" ht="15" hidden="false" customHeight="false" outlineLevel="0" collapsed="false">
      <c r="A264" s="7" t="s">
        <v>652</v>
      </c>
      <c r="B264" s="7" t="s">
        <v>165</v>
      </c>
      <c r="C264" s="16" t="s">
        <v>31</v>
      </c>
      <c r="D264" s="16" t="s">
        <v>37</v>
      </c>
      <c r="E264" s="16" t="s">
        <v>43</v>
      </c>
      <c r="F264" s="16" t="s">
        <v>49</v>
      </c>
      <c r="G264" s="16" t="s">
        <v>49</v>
      </c>
      <c r="H264" s="16" t="s">
        <v>59</v>
      </c>
      <c r="I264" s="16" t="s">
        <v>65</v>
      </c>
      <c r="J264" s="16" t="s">
        <v>70</v>
      </c>
      <c r="K264" s="16" t="s">
        <v>74</v>
      </c>
      <c r="L264" s="16" t="s">
        <v>81</v>
      </c>
      <c r="M264" s="16" t="s">
        <v>86</v>
      </c>
      <c r="N264" s="16" t="s">
        <v>91</v>
      </c>
      <c r="O264" s="16" t="s">
        <v>97</v>
      </c>
      <c r="P264" s="16" t="s">
        <v>106</v>
      </c>
      <c r="Q264" s="16" t="s">
        <v>109</v>
      </c>
      <c r="R264" s="16" t="s">
        <v>115</v>
      </c>
      <c r="S264" s="16" t="s">
        <v>123</v>
      </c>
      <c r="T264" s="16" t="s">
        <v>127</v>
      </c>
      <c r="U264" s="16" t="s">
        <v>135</v>
      </c>
      <c r="V264" s="16" t="s">
        <v>138</v>
      </c>
      <c r="W264" s="16" t="s">
        <v>166</v>
      </c>
      <c r="X264" s="16" t="s">
        <v>653</v>
      </c>
    </row>
    <row r="265" customFormat="false" ht="15" hidden="false" customHeight="false" outlineLevel="0" collapsed="false">
      <c r="A265" s="7" t="s">
        <v>654</v>
      </c>
      <c r="B265" s="7" t="s">
        <v>165</v>
      </c>
      <c r="C265" s="16" t="s">
        <v>31</v>
      </c>
      <c r="D265" s="16" t="s">
        <v>37</v>
      </c>
      <c r="E265" s="16" t="s">
        <v>45</v>
      </c>
      <c r="F265" s="16" t="s">
        <v>49</v>
      </c>
      <c r="G265" s="16" t="s">
        <v>49</v>
      </c>
      <c r="H265" s="16" t="s">
        <v>59</v>
      </c>
      <c r="I265" s="16" t="s">
        <v>65</v>
      </c>
      <c r="J265" s="16" t="s">
        <v>62</v>
      </c>
      <c r="K265" s="16" t="s">
        <v>75</v>
      </c>
      <c r="L265" s="16" t="s">
        <v>80</v>
      </c>
      <c r="M265" s="16" t="s">
        <v>87</v>
      </c>
      <c r="N265" s="16" t="s">
        <v>91</v>
      </c>
      <c r="O265" s="16" t="s">
        <v>99</v>
      </c>
      <c r="P265" s="16" t="s">
        <v>105</v>
      </c>
      <c r="Q265" s="16" t="s">
        <v>111</v>
      </c>
      <c r="R265" s="16" t="s">
        <v>116</v>
      </c>
      <c r="S265" s="16" t="s">
        <v>121</v>
      </c>
      <c r="T265" s="16" t="s">
        <v>127</v>
      </c>
      <c r="U265" s="16" t="s">
        <v>132</v>
      </c>
      <c r="V265" s="16" t="s">
        <v>138</v>
      </c>
      <c r="W265" s="16" t="s">
        <v>166</v>
      </c>
      <c r="X265" s="16" t="s">
        <v>655</v>
      </c>
    </row>
    <row r="266" customFormat="false" ht="15" hidden="false" customHeight="false" outlineLevel="0" collapsed="false">
      <c r="A266" s="7" t="s">
        <v>656</v>
      </c>
      <c r="B266" s="7" t="s">
        <v>165</v>
      </c>
      <c r="C266" s="16" t="s">
        <v>31</v>
      </c>
      <c r="D266" s="16" t="s">
        <v>37</v>
      </c>
      <c r="E266" s="16" t="s">
        <v>44</v>
      </c>
      <c r="F266" s="16" t="s">
        <v>49</v>
      </c>
      <c r="G266" s="16" t="s">
        <v>49</v>
      </c>
      <c r="H266" s="16" t="s">
        <v>59</v>
      </c>
      <c r="I266" s="16" t="s">
        <v>65</v>
      </c>
      <c r="J266" s="16" t="s">
        <v>70</v>
      </c>
      <c r="K266" s="16" t="s">
        <v>74</v>
      </c>
      <c r="L266" s="16" t="s">
        <v>80</v>
      </c>
      <c r="M266" s="16" t="s">
        <v>85</v>
      </c>
      <c r="N266" s="16" t="s">
        <v>91</v>
      </c>
      <c r="O266" s="16" t="s">
        <v>98</v>
      </c>
      <c r="P266" s="16" t="s">
        <v>106</v>
      </c>
      <c r="Q266" s="16" t="s">
        <v>111</v>
      </c>
      <c r="R266" s="16" t="s">
        <v>115</v>
      </c>
      <c r="S266" s="16" t="s">
        <v>122</v>
      </c>
      <c r="T266" s="16" t="s">
        <v>127</v>
      </c>
      <c r="U266" s="16" t="s">
        <v>132</v>
      </c>
      <c r="V266" s="16" t="s">
        <v>138</v>
      </c>
      <c r="W266" s="16" t="s">
        <v>166</v>
      </c>
      <c r="X266" s="16" t="s">
        <v>655</v>
      </c>
    </row>
    <row r="267" customFormat="false" ht="15" hidden="false" customHeight="false" outlineLevel="0" collapsed="false">
      <c r="A267" s="7" t="s">
        <v>657</v>
      </c>
      <c r="B267" s="7" t="s">
        <v>165</v>
      </c>
      <c r="C267" s="16" t="s">
        <v>31</v>
      </c>
      <c r="D267" s="16" t="s">
        <v>37</v>
      </c>
      <c r="E267" s="16" t="s">
        <v>43</v>
      </c>
      <c r="F267" s="16" t="s">
        <v>51</v>
      </c>
      <c r="G267" s="16" t="s">
        <v>49</v>
      </c>
      <c r="H267" s="16" t="s">
        <v>59</v>
      </c>
      <c r="I267" s="16" t="s">
        <v>65</v>
      </c>
      <c r="J267" s="16" t="s">
        <v>70</v>
      </c>
      <c r="K267" s="16" t="s">
        <v>74</v>
      </c>
      <c r="L267" s="16" t="s">
        <v>81</v>
      </c>
      <c r="M267" s="16" t="s">
        <v>86</v>
      </c>
      <c r="N267" s="16" t="s">
        <v>93</v>
      </c>
      <c r="O267" s="16" t="s">
        <v>99</v>
      </c>
      <c r="P267" s="16" t="s">
        <v>103</v>
      </c>
      <c r="Q267" s="16" t="s">
        <v>110</v>
      </c>
      <c r="R267" s="16" t="s">
        <v>115</v>
      </c>
      <c r="S267" s="16" t="s">
        <v>122</v>
      </c>
      <c r="T267" s="16" t="s">
        <v>122</v>
      </c>
      <c r="U267" s="16" t="s">
        <v>132</v>
      </c>
      <c r="V267" s="16" t="s">
        <v>138</v>
      </c>
      <c r="W267" s="16" t="s">
        <v>166</v>
      </c>
      <c r="X267" s="16" t="s">
        <v>658</v>
      </c>
    </row>
    <row r="268" customFormat="false" ht="15" hidden="false" customHeight="false" outlineLevel="0" collapsed="false">
      <c r="A268" s="7" t="s">
        <v>659</v>
      </c>
      <c r="B268" s="7" t="s">
        <v>165</v>
      </c>
      <c r="C268" s="16" t="s">
        <v>31</v>
      </c>
      <c r="D268" s="16" t="s">
        <v>37</v>
      </c>
      <c r="E268" s="16" t="s">
        <v>45</v>
      </c>
      <c r="F268" s="16" t="s">
        <v>49</v>
      </c>
      <c r="G268" s="16" t="s">
        <v>49</v>
      </c>
      <c r="H268" s="16" t="s">
        <v>59</v>
      </c>
      <c r="I268" s="16" t="s">
        <v>65</v>
      </c>
      <c r="J268" s="16" t="s">
        <v>70</v>
      </c>
      <c r="K268" s="16" t="s">
        <v>75</v>
      </c>
      <c r="L268" s="16" t="s">
        <v>81</v>
      </c>
      <c r="M268" s="16" t="s">
        <v>85</v>
      </c>
      <c r="N268" s="16" t="s">
        <v>92</v>
      </c>
      <c r="O268" s="16" t="s">
        <v>100</v>
      </c>
      <c r="P268" s="16" t="s">
        <v>105</v>
      </c>
      <c r="Q268" s="16" t="s">
        <v>110</v>
      </c>
      <c r="R268" s="16" t="s">
        <v>116</v>
      </c>
      <c r="S268" s="16" t="s">
        <v>122</v>
      </c>
      <c r="T268" s="16" t="s">
        <v>127</v>
      </c>
      <c r="U268" s="16" t="s">
        <v>132</v>
      </c>
      <c r="V268" s="16" t="s">
        <v>138</v>
      </c>
      <c r="W268" s="16" t="s">
        <v>166</v>
      </c>
      <c r="X268" s="16" t="s">
        <v>660</v>
      </c>
    </row>
    <row r="269" customFormat="false" ht="15" hidden="false" customHeight="false" outlineLevel="0" collapsed="false">
      <c r="A269" s="7" t="s">
        <v>661</v>
      </c>
      <c r="B269" s="7" t="s">
        <v>193</v>
      </c>
      <c r="C269" s="16" t="s">
        <v>34</v>
      </c>
      <c r="D269" s="16" t="s">
        <v>39</v>
      </c>
      <c r="E269" s="16" t="s">
        <v>45</v>
      </c>
      <c r="F269" s="16" t="s">
        <v>49</v>
      </c>
      <c r="G269" s="16" t="s">
        <v>54</v>
      </c>
      <c r="H269" s="16" t="s">
        <v>59</v>
      </c>
      <c r="I269" s="16" t="s">
        <v>65</v>
      </c>
      <c r="J269" s="16" t="s">
        <v>63</v>
      </c>
      <c r="K269" s="16" t="s">
        <v>76</v>
      </c>
      <c r="L269" s="16" t="s">
        <v>81</v>
      </c>
      <c r="M269" s="16" t="s">
        <v>85</v>
      </c>
      <c r="N269" s="16" t="s">
        <v>93</v>
      </c>
      <c r="O269" s="16" t="s">
        <v>98</v>
      </c>
      <c r="P269" s="16" t="s">
        <v>103</v>
      </c>
      <c r="Q269" s="16" t="s">
        <v>109</v>
      </c>
      <c r="R269" s="16" t="s">
        <v>116</v>
      </c>
      <c r="S269" s="16" t="s">
        <v>122</v>
      </c>
      <c r="T269" s="16" t="s">
        <v>129</v>
      </c>
      <c r="U269" s="16" t="s">
        <v>133</v>
      </c>
      <c r="V269" s="16" t="s">
        <v>138</v>
      </c>
      <c r="W269" s="16" t="s">
        <v>166</v>
      </c>
      <c r="X269" s="16" t="s">
        <v>662</v>
      </c>
    </row>
    <row r="270" customFormat="false" ht="15" hidden="false" customHeight="false" outlineLevel="0" collapsed="false">
      <c r="A270" s="7" t="s">
        <v>663</v>
      </c>
      <c r="B270" s="7" t="s">
        <v>165</v>
      </c>
      <c r="C270" s="16" t="s">
        <v>31</v>
      </c>
      <c r="D270" s="16" t="s">
        <v>37</v>
      </c>
      <c r="E270" s="16" t="s">
        <v>44</v>
      </c>
      <c r="F270" s="16" t="s">
        <v>49</v>
      </c>
      <c r="G270" s="16" t="s">
        <v>49</v>
      </c>
      <c r="H270" s="16" t="s">
        <v>59</v>
      </c>
      <c r="I270" s="16" t="s">
        <v>65</v>
      </c>
      <c r="J270" s="16" t="s">
        <v>70</v>
      </c>
      <c r="K270" s="16" t="s">
        <v>74</v>
      </c>
      <c r="L270" s="16" t="s">
        <v>81</v>
      </c>
      <c r="M270" s="16" t="s">
        <v>86</v>
      </c>
      <c r="N270" s="16" t="s">
        <v>91</v>
      </c>
      <c r="O270" s="16" t="s">
        <v>99</v>
      </c>
      <c r="P270" s="16" t="s">
        <v>105</v>
      </c>
      <c r="Q270" s="16" t="s">
        <v>109</v>
      </c>
      <c r="R270" s="16" t="s">
        <v>116</v>
      </c>
      <c r="S270" s="16" t="s">
        <v>121</v>
      </c>
      <c r="T270" s="16" t="s">
        <v>128</v>
      </c>
      <c r="U270" s="16" t="s">
        <v>132</v>
      </c>
      <c r="V270" s="16" t="s">
        <v>139</v>
      </c>
      <c r="W270" s="16" t="s">
        <v>166</v>
      </c>
      <c r="X270" s="16" t="s">
        <v>664</v>
      </c>
    </row>
    <row r="271" customFormat="false" ht="15" hidden="false" customHeight="false" outlineLevel="0" collapsed="false">
      <c r="A271" s="7" t="s">
        <v>665</v>
      </c>
      <c r="B271" s="7" t="s">
        <v>206</v>
      </c>
      <c r="C271" s="16" t="s">
        <v>32</v>
      </c>
      <c r="D271" s="16" t="s">
        <v>37</v>
      </c>
      <c r="E271" s="16" t="s">
        <v>47</v>
      </c>
      <c r="F271" s="16" t="s">
        <v>49</v>
      </c>
      <c r="G271" s="16" t="s">
        <v>54</v>
      </c>
      <c r="H271" s="16" t="s">
        <v>59</v>
      </c>
      <c r="I271" s="16" t="s">
        <v>65</v>
      </c>
      <c r="J271" s="16" t="s">
        <v>70</v>
      </c>
      <c r="K271" s="16" t="s">
        <v>77</v>
      </c>
      <c r="L271" s="16" t="s">
        <v>81</v>
      </c>
      <c r="M271" s="16" t="s">
        <v>86</v>
      </c>
      <c r="N271" s="16" t="s">
        <v>91</v>
      </c>
      <c r="O271" s="16" t="s">
        <v>99</v>
      </c>
      <c r="P271" s="16" t="s">
        <v>105</v>
      </c>
      <c r="Q271" s="16" t="s">
        <v>109</v>
      </c>
      <c r="R271" s="16" t="s">
        <v>115</v>
      </c>
      <c r="S271" s="16" t="s">
        <v>121</v>
      </c>
      <c r="T271" s="16" t="s">
        <v>127</v>
      </c>
      <c r="U271" s="16" t="s">
        <v>135</v>
      </c>
      <c r="V271" s="16" t="s">
        <v>138</v>
      </c>
      <c r="W271" s="16" t="s">
        <v>166</v>
      </c>
      <c r="X271" s="16" t="s">
        <v>666</v>
      </c>
    </row>
    <row r="272" customFormat="false" ht="15" hidden="false" customHeight="false" outlineLevel="0" collapsed="false">
      <c r="A272" s="7" t="s">
        <v>667</v>
      </c>
      <c r="B272" s="7" t="s">
        <v>165</v>
      </c>
      <c r="C272" s="16" t="s">
        <v>31</v>
      </c>
      <c r="D272" s="16" t="s">
        <v>37</v>
      </c>
      <c r="E272" s="16" t="s">
        <v>45</v>
      </c>
      <c r="F272" s="16" t="s">
        <v>49</v>
      </c>
      <c r="G272" s="16" t="s">
        <v>49</v>
      </c>
      <c r="H272" s="16" t="s">
        <v>59</v>
      </c>
      <c r="I272" s="16" t="s">
        <v>65</v>
      </c>
      <c r="J272" s="16" t="s">
        <v>70</v>
      </c>
      <c r="K272" s="16" t="s">
        <v>75</v>
      </c>
      <c r="L272" s="16" t="s">
        <v>79</v>
      </c>
      <c r="M272" s="16" t="s">
        <v>87</v>
      </c>
      <c r="N272" s="16" t="s">
        <v>92</v>
      </c>
      <c r="O272" s="16" t="s">
        <v>99</v>
      </c>
      <c r="P272" s="16" t="s">
        <v>103</v>
      </c>
      <c r="Q272" s="16" t="s">
        <v>109</v>
      </c>
      <c r="R272" s="16" t="s">
        <v>116</v>
      </c>
      <c r="S272" s="16" t="s">
        <v>121</v>
      </c>
      <c r="T272" s="16" t="s">
        <v>127</v>
      </c>
      <c r="U272" s="16" t="s">
        <v>132</v>
      </c>
      <c r="V272" s="16" t="s">
        <v>138</v>
      </c>
      <c r="W272" s="16" t="s">
        <v>211</v>
      </c>
      <c r="X272" s="16" t="s">
        <v>668</v>
      </c>
    </row>
    <row r="273" customFormat="false" ht="15" hidden="false" customHeight="false" outlineLevel="0" collapsed="false">
      <c r="A273" s="7" t="s">
        <v>669</v>
      </c>
      <c r="B273" s="7" t="s">
        <v>165</v>
      </c>
      <c r="C273" s="16" t="s">
        <v>32</v>
      </c>
      <c r="D273" s="16" t="s">
        <v>37</v>
      </c>
      <c r="E273" s="16" t="s">
        <v>45</v>
      </c>
      <c r="F273" s="16" t="s">
        <v>49</v>
      </c>
      <c r="G273" s="16" t="s">
        <v>49</v>
      </c>
      <c r="H273" s="16" t="s">
        <v>59</v>
      </c>
      <c r="I273" s="16" t="s">
        <v>65</v>
      </c>
      <c r="J273" s="16" t="s">
        <v>70</v>
      </c>
      <c r="K273" s="16" t="s">
        <v>74</v>
      </c>
      <c r="L273" s="16" t="s">
        <v>81</v>
      </c>
      <c r="M273" s="16" t="s">
        <v>85</v>
      </c>
      <c r="N273" s="16" t="s">
        <v>91</v>
      </c>
      <c r="O273" s="16" t="s">
        <v>99</v>
      </c>
      <c r="P273" s="16" t="s">
        <v>106</v>
      </c>
      <c r="Q273" s="16" t="s">
        <v>109</v>
      </c>
      <c r="R273" s="16" t="s">
        <v>116</v>
      </c>
      <c r="S273" s="16" t="s">
        <v>121</v>
      </c>
      <c r="T273" s="16" t="s">
        <v>127</v>
      </c>
      <c r="U273" s="16" t="s">
        <v>132</v>
      </c>
      <c r="V273" s="16" t="s">
        <v>138</v>
      </c>
      <c r="W273" s="16" t="s">
        <v>166</v>
      </c>
      <c r="X273" s="16" t="s">
        <v>318</v>
      </c>
    </row>
    <row r="274" customFormat="false" ht="15" hidden="false" customHeight="false" outlineLevel="0" collapsed="false">
      <c r="A274" s="7" t="s">
        <v>670</v>
      </c>
      <c r="B274" s="7" t="s">
        <v>165</v>
      </c>
      <c r="C274" s="16" t="s">
        <v>31</v>
      </c>
      <c r="D274" s="16" t="s">
        <v>37</v>
      </c>
      <c r="E274" s="16" t="s">
        <v>45</v>
      </c>
      <c r="F274" s="16" t="s">
        <v>49</v>
      </c>
      <c r="G274" s="16" t="s">
        <v>54</v>
      </c>
      <c r="H274" s="16" t="s">
        <v>59</v>
      </c>
      <c r="I274" s="16" t="s">
        <v>66</v>
      </c>
      <c r="J274" s="16" t="s">
        <v>70</v>
      </c>
      <c r="K274" s="16" t="s">
        <v>75</v>
      </c>
      <c r="L274" s="16" t="s">
        <v>80</v>
      </c>
      <c r="M274" s="16" t="s">
        <v>86</v>
      </c>
      <c r="N274" s="16" t="s">
        <v>92</v>
      </c>
      <c r="O274" s="16" t="s">
        <v>99</v>
      </c>
      <c r="P274" s="16" t="s">
        <v>105</v>
      </c>
      <c r="Q274" s="16" t="s">
        <v>109</v>
      </c>
      <c r="R274" s="16" t="s">
        <v>115</v>
      </c>
      <c r="S274" s="16" t="s">
        <v>123</v>
      </c>
      <c r="T274" s="16" t="s">
        <v>127</v>
      </c>
      <c r="U274" s="16" t="s">
        <v>132</v>
      </c>
      <c r="V274" s="16" t="s">
        <v>138</v>
      </c>
      <c r="W274" s="16" t="s">
        <v>166</v>
      </c>
      <c r="X274" s="16" t="s">
        <v>671</v>
      </c>
    </row>
    <row r="275" customFormat="false" ht="15" hidden="false" customHeight="false" outlineLevel="0" collapsed="false">
      <c r="A275" s="7" t="s">
        <v>672</v>
      </c>
      <c r="B275" s="7" t="s">
        <v>165</v>
      </c>
      <c r="C275" s="16" t="s">
        <v>31</v>
      </c>
      <c r="D275" s="16" t="s">
        <v>37</v>
      </c>
      <c r="E275" s="16" t="s">
        <v>43</v>
      </c>
      <c r="F275" s="16" t="s">
        <v>49</v>
      </c>
      <c r="G275" s="16" t="s">
        <v>49</v>
      </c>
      <c r="H275" s="16" t="s">
        <v>59</v>
      </c>
      <c r="I275" s="16" t="s">
        <v>65</v>
      </c>
      <c r="J275" s="16" t="s">
        <v>70</v>
      </c>
      <c r="K275" s="16" t="s">
        <v>74</v>
      </c>
      <c r="L275" s="16" t="s">
        <v>80</v>
      </c>
      <c r="M275" s="16" t="s">
        <v>85</v>
      </c>
      <c r="N275" s="16" t="s">
        <v>91</v>
      </c>
      <c r="O275" s="16" t="s">
        <v>99</v>
      </c>
      <c r="P275" s="16" t="s">
        <v>105</v>
      </c>
      <c r="Q275" s="16" t="s">
        <v>109</v>
      </c>
      <c r="R275" s="16" t="s">
        <v>115</v>
      </c>
      <c r="S275" s="16" t="s">
        <v>122</v>
      </c>
      <c r="T275" s="16" t="s">
        <v>128</v>
      </c>
      <c r="U275" s="16" t="s">
        <v>132</v>
      </c>
      <c r="V275" s="16" t="s">
        <v>138</v>
      </c>
      <c r="W275" s="16" t="s">
        <v>166</v>
      </c>
      <c r="X275" s="16" t="s">
        <v>673</v>
      </c>
    </row>
    <row r="276" customFormat="false" ht="15" hidden="false" customHeight="false" outlineLevel="0" collapsed="false">
      <c r="A276" s="7" t="s">
        <v>674</v>
      </c>
      <c r="B276" s="7" t="s">
        <v>206</v>
      </c>
      <c r="C276" s="16" t="s">
        <v>32</v>
      </c>
      <c r="D276" s="16" t="s">
        <v>37</v>
      </c>
      <c r="E276" s="16" t="s">
        <v>46</v>
      </c>
      <c r="F276" s="16" t="s">
        <v>49</v>
      </c>
      <c r="G276" s="16" t="s">
        <v>49</v>
      </c>
      <c r="H276" s="16" t="s">
        <v>59</v>
      </c>
      <c r="I276" s="16" t="s">
        <v>65</v>
      </c>
      <c r="J276" s="16" t="s">
        <v>70</v>
      </c>
      <c r="K276" s="16" t="s">
        <v>76</v>
      </c>
      <c r="L276" s="16" t="s">
        <v>82</v>
      </c>
      <c r="M276" s="16" t="s">
        <v>87</v>
      </c>
      <c r="N276" s="16" t="s">
        <v>91</v>
      </c>
      <c r="O276" s="16" t="s">
        <v>99</v>
      </c>
      <c r="P276" s="16" t="s">
        <v>105</v>
      </c>
      <c r="Q276" s="16" t="s">
        <v>112</v>
      </c>
      <c r="R276" s="16" t="s">
        <v>115</v>
      </c>
      <c r="S276" s="16" t="s">
        <v>122</v>
      </c>
      <c r="T276" s="16" t="s">
        <v>127</v>
      </c>
      <c r="U276" s="16" t="s">
        <v>133</v>
      </c>
      <c r="V276" s="16" t="s">
        <v>139</v>
      </c>
      <c r="W276" s="16" t="s">
        <v>166</v>
      </c>
      <c r="X276" s="16" t="s">
        <v>675</v>
      </c>
    </row>
    <row r="277" customFormat="false" ht="15" hidden="false" customHeight="false" outlineLevel="0" collapsed="false">
      <c r="A277" s="7" t="s">
        <v>676</v>
      </c>
      <c r="B277" s="7" t="s">
        <v>165</v>
      </c>
      <c r="C277" s="16" t="s">
        <v>31</v>
      </c>
      <c r="D277" s="16" t="s">
        <v>37</v>
      </c>
      <c r="E277" s="16" t="s">
        <v>43</v>
      </c>
      <c r="F277" s="16" t="s">
        <v>49</v>
      </c>
      <c r="G277" s="16" t="s">
        <v>49</v>
      </c>
      <c r="H277" s="16" t="s">
        <v>59</v>
      </c>
      <c r="I277" s="16" t="s">
        <v>65</v>
      </c>
      <c r="J277" s="16" t="s">
        <v>70</v>
      </c>
      <c r="K277" s="16" t="s">
        <v>73</v>
      </c>
      <c r="L277" s="16" t="s">
        <v>81</v>
      </c>
      <c r="M277" s="16" t="s">
        <v>86</v>
      </c>
      <c r="N277" s="16" t="s">
        <v>91</v>
      </c>
      <c r="O277" s="16" t="s">
        <v>99</v>
      </c>
      <c r="P277" s="16" t="s">
        <v>103</v>
      </c>
      <c r="Q277" s="16" t="s">
        <v>109</v>
      </c>
      <c r="R277" s="16" t="s">
        <v>115</v>
      </c>
      <c r="S277" s="16" t="s">
        <v>122</v>
      </c>
      <c r="T277" s="16" t="s">
        <v>127</v>
      </c>
      <c r="U277" s="16" t="s">
        <v>132</v>
      </c>
      <c r="V277" s="16" t="s">
        <v>138</v>
      </c>
      <c r="W277" s="16" t="s">
        <v>166</v>
      </c>
      <c r="X277" s="16" t="s">
        <v>289</v>
      </c>
    </row>
    <row r="278" customFormat="false" ht="15" hidden="false" customHeight="false" outlineLevel="0" collapsed="false">
      <c r="A278" s="7" t="s">
        <v>677</v>
      </c>
      <c r="B278" s="7" t="s">
        <v>165</v>
      </c>
      <c r="C278" s="16" t="s">
        <v>32</v>
      </c>
      <c r="D278" s="16" t="s">
        <v>37</v>
      </c>
      <c r="E278" s="16" t="s">
        <v>45</v>
      </c>
      <c r="F278" s="16" t="s">
        <v>49</v>
      </c>
      <c r="G278" s="16" t="s">
        <v>49</v>
      </c>
      <c r="H278" s="16" t="s">
        <v>59</v>
      </c>
      <c r="I278" s="16" t="s">
        <v>66</v>
      </c>
      <c r="J278" s="16" t="s">
        <v>70</v>
      </c>
      <c r="K278" s="16" t="s">
        <v>75</v>
      </c>
      <c r="L278" s="16" t="s">
        <v>81</v>
      </c>
      <c r="M278" s="16" t="s">
        <v>88</v>
      </c>
      <c r="N278" s="16" t="s">
        <v>92</v>
      </c>
      <c r="O278" s="16" t="s">
        <v>99</v>
      </c>
      <c r="P278" s="16" t="s">
        <v>106</v>
      </c>
      <c r="Q278" s="16" t="s">
        <v>109</v>
      </c>
      <c r="R278" s="16" t="s">
        <v>116</v>
      </c>
      <c r="S278" s="16" t="s">
        <v>122</v>
      </c>
      <c r="T278" s="16" t="s">
        <v>127</v>
      </c>
      <c r="U278" s="16" t="s">
        <v>132</v>
      </c>
      <c r="V278" s="16" t="s">
        <v>138</v>
      </c>
      <c r="W278" s="16" t="s">
        <v>166</v>
      </c>
      <c r="X278" s="16" t="s">
        <v>678</v>
      </c>
    </row>
    <row r="279" customFormat="false" ht="15" hidden="false" customHeight="false" outlineLevel="0" collapsed="false">
      <c r="A279" s="7" t="s">
        <v>679</v>
      </c>
      <c r="B279" s="7" t="s">
        <v>165</v>
      </c>
      <c r="C279" s="16" t="s">
        <v>31</v>
      </c>
      <c r="D279" s="16" t="s">
        <v>37</v>
      </c>
      <c r="E279" s="16" t="s">
        <v>45</v>
      </c>
      <c r="F279" s="16" t="s">
        <v>49</v>
      </c>
      <c r="G279" s="16" t="s">
        <v>49</v>
      </c>
      <c r="H279" s="16" t="s">
        <v>59</v>
      </c>
      <c r="I279" s="16" t="s">
        <v>65</v>
      </c>
      <c r="J279" s="16" t="s">
        <v>71</v>
      </c>
      <c r="K279" s="16" t="s">
        <v>73</v>
      </c>
      <c r="L279" s="16" t="s">
        <v>80</v>
      </c>
      <c r="M279" s="16" t="s">
        <v>86</v>
      </c>
      <c r="N279" s="16" t="s">
        <v>91</v>
      </c>
      <c r="O279" s="16" t="s">
        <v>99</v>
      </c>
      <c r="P279" s="16" t="s">
        <v>105</v>
      </c>
      <c r="Q279" s="16" t="s">
        <v>111</v>
      </c>
      <c r="R279" s="16" t="s">
        <v>119</v>
      </c>
      <c r="S279" s="16" t="s">
        <v>123</v>
      </c>
      <c r="T279" s="16" t="s">
        <v>127</v>
      </c>
      <c r="U279" s="16" t="s">
        <v>132</v>
      </c>
      <c r="V279" s="16" t="s">
        <v>138</v>
      </c>
      <c r="W279" s="16" t="s">
        <v>166</v>
      </c>
      <c r="X279" s="16" t="s">
        <v>680</v>
      </c>
    </row>
    <row r="280" customFormat="false" ht="15" hidden="false" customHeight="false" outlineLevel="0" collapsed="false">
      <c r="A280" s="7" t="s">
        <v>681</v>
      </c>
      <c r="B280" s="7" t="s">
        <v>165</v>
      </c>
      <c r="C280" s="16" t="s">
        <v>31</v>
      </c>
      <c r="D280" s="16" t="s">
        <v>37</v>
      </c>
      <c r="E280" s="16" t="s">
        <v>44</v>
      </c>
      <c r="F280" s="16" t="s">
        <v>49</v>
      </c>
      <c r="G280" s="16" t="s">
        <v>49</v>
      </c>
      <c r="H280" s="16" t="s">
        <v>59</v>
      </c>
      <c r="I280" s="16" t="s">
        <v>65</v>
      </c>
      <c r="J280" s="16" t="s">
        <v>70</v>
      </c>
      <c r="K280" s="16" t="s">
        <v>74</v>
      </c>
      <c r="L280" s="16" t="s">
        <v>81</v>
      </c>
      <c r="M280" s="16" t="s">
        <v>86</v>
      </c>
      <c r="N280" s="16" t="s">
        <v>93</v>
      </c>
      <c r="O280" s="16" t="s">
        <v>99</v>
      </c>
      <c r="P280" s="16" t="s">
        <v>105</v>
      </c>
      <c r="Q280" s="16" t="s">
        <v>109</v>
      </c>
      <c r="R280" s="16" t="s">
        <v>115</v>
      </c>
      <c r="S280" s="16" t="s">
        <v>121</v>
      </c>
      <c r="T280" s="16" t="s">
        <v>127</v>
      </c>
      <c r="U280" s="16" t="s">
        <v>132</v>
      </c>
      <c r="V280" s="16" t="s">
        <v>138</v>
      </c>
      <c r="W280" s="16" t="s">
        <v>166</v>
      </c>
      <c r="X280" s="16" t="s">
        <v>682</v>
      </c>
    </row>
    <row r="281" customFormat="false" ht="15" hidden="false" customHeight="false" outlineLevel="0" collapsed="false">
      <c r="A281" s="7" t="s">
        <v>683</v>
      </c>
      <c r="B281" s="7" t="s">
        <v>165</v>
      </c>
      <c r="C281" s="16" t="s">
        <v>31</v>
      </c>
      <c r="D281" s="16" t="s">
        <v>37</v>
      </c>
      <c r="E281" s="16" t="s">
        <v>43</v>
      </c>
      <c r="F281" s="16" t="s">
        <v>49</v>
      </c>
      <c r="G281" s="16" t="s">
        <v>49</v>
      </c>
      <c r="H281" s="16" t="s">
        <v>59</v>
      </c>
      <c r="I281" s="16" t="s">
        <v>65</v>
      </c>
      <c r="J281" s="16" t="s">
        <v>70</v>
      </c>
      <c r="K281" s="16" t="s">
        <v>74</v>
      </c>
      <c r="L281" s="16" t="s">
        <v>79</v>
      </c>
      <c r="M281" s="16" t="s">
        <v>85</v>
      </c>
      <c r="N281" s="16" t="s">
        <v>92</v>
      </c>
      <c r="O281" s="16" t="s">
        <v>99</v>
      </c>
      <c r="P281" s="16" t="s">
        <v>103</v>
      </c>
      <c r="Q281" s="16" t="s">
        <v>109</v>
      </c>
      <c r="R281" s="16" t="s">
        <v>116</v>
      </c>
      <c r="S281" s="16" t="s">
        <v>123</v>
      </c>
      <c r="T281" s="16" t="s">
        <v>127</v>
      </c>
      <c r="U281" s="16" t="s">
        <v>132</v>
      </c>
      <c r="V281" s="16" t="s">
        <v>138</v>
      </c>
      <c r="W281" s="16" t="s">
        <v>166</v>
      </c>
      <c r="X281" s="16" t="s">
        <v>684</v>
      </c>
    </row>
    <row r="282" customFormat="false" ht="15" hidden="false" customHeight="false" outlineLevel="0" collapsed="false">
      <c r="A282" s="7" t="s">
        <v>685</v>
      </c>
      <c r="B282" s="7" t="s">
        <v>206</v>
      </c>
      <c r="C282" s="16" t="s">
        <v>32</v>
      </c>
      <c r="D282" s="16" t="s">
        <v>37</v>
      </c>
      <c r="E282" s="16" t="s">
        <v>44</v>
      </c>
      <c r="F282" s="16" t="s">
        <v>49</v>
      </c>
      <c r="G282" s="16" t="s">
        <v>49</v>
      </c>
      <c r="H282" s="16" t="s">
        <v>59</v>
      </c>
      <c r="I282" s="16" t="s">
        <v>65</v>
      </c>
      <c r="J282" s="16" t="s">
        <v>71</v>
      </c>
      <c r="K282" s="16" t="s">
        <v>76</v>
      </c>
      <c r="L282" s="16" t="s">
        <v>83</v>
      </c>
      <c r="M282" s="16" t="s">
        <v>88</v>
      </c>
      <c r="N282" s="16" t="s">
        <v>91</v>
      </c>
      <c r="O282" s="16" t="s">
        <v>100</v>
      </c>
      <c r="P282" s="16" t="s">
        <v>105</v>
      </c>
      <c r="Q282" s="16" t="s">
        <v>109</v>
      </c>
      <c r="R282" s="16" t="s">
        <v>117</v>
      </c>
      <c r="S282" s="16" t="s">
        <v>124</v>
      </c>
      <c r="T282" s="16" t="s">
        <v>127</v>
      </c>
      <c r="U282" s="16" t="s">
        <v>132</v>
      </c>
      <c r="V282" s="16" t="s">
        <v>138</v>
      </c>
      <c r="W282" s="16" t="s">
        <v>166</v>
      </c>
      <c r="X282" s="16" t="s">
        <v>686</v>
      </c>
    </row>
    <row r="283" customFormat="false" ht="15" hidden="false" customHeight="false" outlineLevel="0" collapsed="false">
      <c r="A283" s="7" t="s">
        <v>687</v>
      </c>
      <c r="B283" s="7" t="s">
        <v>165</v>
      </c>
      <c r="C283" s="16" t="s">
        <v>31</v>
      </c>
      <c r="D283" s="16" t="s">
        <v>37</v>
      </c>
      <c r="E283" s="16" t="s">
        <v>45</v>
      </c>
      <c r="F283" s="16" t="s">
        <v>49</v>
      </c>
      <c r="G283" s="16" t="s">
        <v>49</v>
      </c>
      <c r="H283" s="16" t="s">
        <v>59</v>
      </c>
      <c r="I283" s="16" t="s">
        <v>65</v>
      </c>
      <c r="J283" s="16" t="s">
        <v>70</v>
      </c>
      <c r="K283" s="16" t="s">
        <v>74</v>
      </c>
      <c r="L283" s="16" t="s">
        <v>80</v>
      </c>
      <c r="M283" s="16" t="s">
        <v>87</v>
      </c>
      <c r="N283" s="16" t="s">
        <v>91</v>
      </c>
      <c r="O283" s="16" t="s">
        <v>99</v>
      </c>
      <c r="P283" s="16" t="s">
        <v>103</v>
      </c>
      <c r="Q283" s="16" t="s">
        <v>109</v>
      </c>
      <c r="R283" s="16" t="s">
        <v>116</v>
      </c>
      <c r="S283" s="16" t="s">
        <v>123</v>
      </c>
      <c r="T283" s="16" t="s">
        <v>127</v>
      </c>
      <c r="U283" s="16" t="s">
        <v>132</v>
      </c>
      <c r="V283" s="16" t="s">
        <v>138</v>
      </c>
      <c r="W283" s="16" t="s">
        <v>166</v>
      </c>
      <c r="X283" s="16" t="s">
        <v>688</v>
      </c>
    </row>
    <row r="284" customFormat="false" ht="15" hidden="false" customHeight="false" outlineLevel="0" collapsed="false">
      <c r="A284" s="7" t="s">
        <v>689</v>
      </c>
      <c r="B284" s="7" t="s">
        <v>165</v>
      </c>
      <c r="C284" s="16" t="s">
        <v>31</v>
      </c>
      <c r="D284" s="16" t="s">
        <v>37</v>
      </c>
      <c r="E284" s="16" t="s">
        <v>43</v>
      </c>
      <c r="F284" s="16" t="s">
        <v>49</v>
      </c>
      <c r="G284" s="16" t="s">
        <v>49</v>
      </c>
      <c r="H284" s="16" t="s">
        <v>59</v>
      </c>
      <c r="I284" s="16" t="s">
        <v>65</v>
      </c>
      <c r="J284" s="16" t="s">
        <v>70</v>
      </c>
      <c r="K284" s="16" t="s">
        <v>74</v>
      </c>
      <c r="L284" s="16" t="s">
        <v>81</v>
      </c>
      <c r="M284" s="16" t="s">
        <v>86</v>
      </c>
      <c r="N284" s="16" t="s">
        <v>91</v>
      </c>
      <c r="O284" s="16" t="s">
        <v>101</v>
      </c>
      <c r="P284" s="16" t="s">
        <v>105</v>
      </c>
      <c r="Q284" s="16" t="s">
        <v>109</v>
      </c>
      <c r="R284" s="16" t="s">
        <v>115</v>
      </c>
      <c r="S284" s="16" t="s">
        <v>122</v>
      </c>
      <c r="T284" s="16" t="s">
        <v>127</v>
      </c>
      <c r="U284" s="16" t="s">
        <v>133</v>
      </c>
      <c r="V284" s="16" t="s">
        <v>138</v>
      </c>
      <c r="W284" s="16" t="s">
        <v>166</v>
      </c>
      <c r="X284" s="16" t="s">
        <v>690</v>
      </c>
    </row>
    <row r="285" customFormat="false" ht="15" hidden="false" customHeight="false" outlineLevel="0" collapsed="false">
      <c r="A285" s="7" t="s">
        <v>691</v>
      </c>
      <c r="B285" s="7" t="s">
        <v>165</v>
      </c>
      <c r="C285" s="16" t="s">
        <v>31</v>
      </c>
      <c r="D285" s="16" t="s">
        <v>37</v>
      </c>
      <c r="E285" s="16" t="s">
        <v>46</v>
      </c>
      <c r="F285" s="16" t="s">
        <v>49</v>
      </c>
      <c r="G285" s="16" t="s">
        <v>49</v>
      </c>
      <c r="H285" s="16" t="s">
        <v>59</v>
      </c>
      <c r="I285" s="16" t="s">
        <v>65</v>
      </c>
      <c r="J285" s="16" t="s">
        <v>70</v>
      </c>
      <c r="K285" s="16" t="s">
        <v>74</v>
      </c>
      <c r="L285" s="16" t="s">
        <v>80</v>
      </c>
      <c r="M285" s="16" t="s">
        <v>85</v>
      </c>
      <c r="N285" s="16" t="s">
        <v>91</v>
      </c>
      <c r="O285" s="16" t="s">
        <v>97</v>
      </c>
      <c r="P285" s="16" t="s">
        <v>105</v>
      </c>
      <c r="Q285" s="16" t="s">
        <v>109</v>
      </c>
      <c r="R285" s="16" t="s">
        <v>115</v>
      </c>
      <c r="S285" s="16" t="s">
        <v>121</v>
      </c>
      <c r="T285" s="16" t="s">
        <v>122</v>
      </c>
      <c r="U285" s="16" t="s">
        <v>132</v>
      </c>
      <c r="V285" s="16" t="s">
        <v>138</v>
      </c>
      <c r="W285" s="16" t="s">
        <v>166</v>
      </c>
      <c r="X285" s="16" t="s">
        <v>409</v>
      </c>
    </row>
    <row r="286" customFormat="false" ht="15" hidden="false" customHeight="false" outlineLevel="0" collapsed="false">
      <c r="A286" s="7" t="s">
        <v>692</v>
      </c>
      <c r="B286" s="7" t="s">
        <v>165</v>
      </c>
      <c r="C286" s="16" t="s">
        <v>32</v>
      </c>
      <c r="D286" s="16" t="s">
        <v>37</v>
      </c>
      <c r="E286" s="16" t="s">
        <v>43</v>
      </c>
      <c r="F286" s="16" t="s">
        <v>49</v>
      </c>
      <c r="G286" s="16" t="s">
        <v>49</v>
      </c>
      <c r="H286" s="16" t="s">
        <v>59</v>
      </c>
      <c r="I286" s="16" t="s">
        <v>65</v>
      </c>
      <c r="J286" s="16" t="s">
        <v>70</v>
      </c>
      <c r="K286" s="16" t="s">
        <v>74</v>
      </c>
      <c r="L286" s="16" t="s">
        <v>80</v>
      </c>
      <c r="M286" s="16" t="s">
        <v>85</v>
      </c>
      <c r="N286" s="16" t="s">
        <v>92</v>
      </c>
      <c r="O286" s="16" t="s">
        <v>99</v>
      </c>
      <c r="P286" s="16" t="s">
        <v>106</v>
      </c>
      <c r="Q286" s="16" t="s">
        <v>109</v>
      </c>
      <c r="R286" s="16" t="s">
        <v>115</v>
      </c>
      <c r="S286" s="16" t="s">
        <v>121</v>
      </c>
      <c r="T286" s="16" t="s">
        <v>127</v>
      </c>
      <c r="U286" s="16" t="s">
        <v>132</v>
      </c>
      <c r="V286" s="16" t="s">
        <v>139</v>
      </c>
      <c r="W286" s="16" t="s">
        <v>166</v>
      </c>
      <c r="X286" s="16" t="s">
        <v>693</v>
      </c>
    </row>
    <row r="287" customFormat="false" ht="15" hidden="false" customHeight="false" outlineLevel="0" collapsed="false">
      <c r="A287" s="7" t="s">
        <v>694</v>
      </c>
      <c r="B287" s="7" t="s">
        <v>165</v>
      </c>
      <c r="C287" s="16" t="s">
        <v>32</v>
      </c>
      <c r="D287" s="16" t="s">
        <v>37</v>
      </c>
      <c r="E287" s="16" t="s">
        <v>45</v>
      </c>
      <c r="F287" s="16" t="s">
        <v>49</v>
      </c>
      <c r="G287" s="16" t="s">
        <v>49</v>
      </c>
      <c r="H287" s="16" t="s">
        <v>59</v>
      </c>
      <c r="I287" s="16" t="s">
        <v>65</v>
      </c>
      <c r="J287" s="16" t="s">
        <v>70</v>
      </c>
      <c r="K287" s="16" t="s">
        <v>74</v>
      </c>
      <c r="L287" s="16" t="s">
        <v>81</v>
      </c>
      <c r="M287" s="16" t="s">
        <v>85</v>
      </c>
      <c r="N287" s="16" t="s">
        <v>91</v>
      </c>
      <c r="O287" s="16" t="s">
        <v>99</v>
      </c>
      <c r="P287" s="16" t="s">
        <v>105</v>
      </c>
      <c r="Q287" s="16" t="s">
        <v>109</v>
      </c>
      <c r="R287" s="16" t="s">
        <v>115</v>
      </c>
      <c r="S287" s="16" t="s">
        <v>125</v>
      </c>
      <c r="T287" s="16" t="s">
        <v>127</v>
      </c>
      <c r="U287" s="16" t="s">
        <v>133</v>
      </c>
      <c r="V287" s="16" t="s">
        <v>138</v>
      </c>
      <c r="W287" s="16" t="s">
        <v>166</v>
      </c>
      <c r="X287" s="16" t="s">
        <v>695</v>
      </c>
    </row>
    <row r="288" customFormat="false" ht="15" hidden="false" customHeight="false" outlineLevel="0" collapsed="false">
      <c r="A288" s="7" t="s">
        <v>696</v>
      </c>
      <c r="B288" s="7" t="s">
        <v>165</v>
      </c>
      <c r="C288" s="16" t="s">
        <v>31</v>
      </c>
      <c r="D288" s="16" t="s">
        <v>37</v>
      </c>
      <c r="E288" s="16" t="s">
        <v>45</v>
      </c>
      <c r="F288" s="16" t="s">
        <v>49</v>
      </c>
      <c r="G288" s="16" t="s">
        <v>49</v>
      </c>
      <c r="H288" s="16" t="s">
        <v>59</v>
      </c>
      <c r="I288" s="16" t="s">
        <v>65</v>
      </c>
      <c r="J288" s="16" t="s">
        <v>70</v>
      </c>
      <c r="K288" s="16" t="s">
        <v>75</v>
      </c>
      <c r="L288" s="16" t="s">
        <v>80</v>
      </c>
      <c r="M288" s="16" t="s">
        <v>85</v>
      </c>
      <c r="N288" s="16" t="s">
        <v>92</v>
      </c>
      <c r="O288" s="16" t="s">
        <v>97</v>
      </c>
      <c r="P288" s="16" t="s">
        <v>105</v>
      </c>
      <c r="Q288" s="16" t="s">
        <v>109</v>
      </c>
      <c r="R288" s="16" t="s">
        <v>115</v>
      </c>
      <c r="S288" s="16" t="s">
        <v>121</v>
      </c>
      <c r="T288" s="16" t="s">
        <v>127</v>
      </c>
      <c r="U288" s="16" t="s">
        <v>132</v>
      </c>
      <c r="V288" s="16" t="s">
        <v>138</v>
      </c>
      <c r="W288" s="16" t="s">
        <v>166</v>
      </c>
      <c r="X288" s="16" t="s">
        <v>351</v>
      </c>
    </row>
    <row r="289" customFormat="false" ht="15" hidden="false" customHeight="false" outlineLevel="0" collapsed="false">
      <c r="A289" s="7" t="s">
        <v>697</v>
      </c>
      <c r="B289" s="7" t="s">
        <v>206</v>
      </c>
      <c r="C289" s="16" t="s">
        <v>32</v>
      </c>
      <c r="D289" s="16" t="s">
        <v>37</v>
      </c>
      <c r="E289" s="16" t="s">
        <v>46</v>
      </c>
      <c r="F289" s="16" t="s">
        <v>49</v>
      </c>
      <c r="G289" s="16" t="s">
        <v>49</v>
      </c>
      <c r="H289" s="16" t="s">
        <v>59</v>
      </c>
      <c r="I289" s="16" t="s">
        <v>65</v>
      </c>
      <c r="J289" s="16" t="s">
        <v>71</v>
      </c>
      <c r="K289" s="16" t="s">
        <v>76</v>
      </c>
      <c r="L289" s="16" t="s">
        <v>82</v>
      </c>
      <c r="M289" s="16" t="s">
        <v>85</v>
      </c>
      <c r="N289" s="16" t="s">
        <v>91</v>
      </c>
      <c r="O289" s="16" t="s">
        <v>99</v>
      </c>
      <c r="P289" s="16" t="s">
        <v>103</v>
      </c>
      <c r="Q289" s="16" t="s">
        <v>109</v>
      </c>
      <c r="R289" s="16" t="s">
        <v>116</v>
      </c>
      <c r="S289" s="16" t="s">
        <v>124</v>
      </c>
      <c r="T289" s="16" t="s">
        <v>122</v>
      </c>
      <c r="U289" s="16" t="s">
        <v>136</v>
      </c>
      <c r="V289" s="16" t="s">
        <v>140</v>
      </c>
      <c r="W289" s="16" t="s">
        <v>166</v>
      </c>
      <c r="X289" s="16" t="s">
        <v>698</v>
      </c>
    </row>
    <row r="290" customFormat="false" ht="15" hidden="false" customHeight="false" outlineLevel="0" collapsed="false">
      <c r="A290" s="7" t="s">
        <v>699</v>
      </c>
      <c r="B290" s="7" t="s">
        <v>193</v>
      </c>
      <c r="C290" s="16" t="s">
        <v>34</v>
      </c>
      <c r="D290" s="16" t="s">
        <v>40</v>
      </c>
      <c r="E290" s="16" t="s">
        <v>47</v>
      </c>
      <c r="F290" s="16" t="s">
        <v>49</v>
      </c>
      <c r="G290" s="16" t="s">
        <v>49</v>
      </c>
      <c r="H290" s="16" t="s">
        <v>59</v>
      </c>
      <c r="I290" s="16" t="s">
        <v>65</v>
      </c>
      <c r="J290" s="16" t="s">
        <v>70</v>
      </c>
      <c r="K290" s="16" t="s">
        <v>77</v>
      </c>
      <c r="L290" s="16" t="s">
        <v>83</v>
      </c>
      <c r="M290" s="16" t="s">
        <v>86</v>
      </c>
      <c r="N290" s="16" t="s">
        <v>93</v>
      </c>
      <c r="O290" s="16" t="s">
        <v>99</v>
      </c>
      <c r="P290" s="16" t="s">
        <v>104</v>
      </c>
      <c r="Q290" s="16" t="s">
        <v>109</v>
      </c>
      <c r="R290" s="16" t="s">
        <v>116</v>
      </c>
      <c r="S290" s="16" t="s">
        <v>123</v>
      </c>
      <c r="T290" s="16" t="s">
        <v>127</v>
      </c>
      <c r="U290" s="16" t="s">
        <v>133</v>
      </c>
      <c r="V290" s="16" t="s">
        <v>138</v>
      </c>
      <c r="W290" s="16" t="s">
        <v>166</v>
      </c>
      <c r="X290" s="16" t="s">
        <v>700</v>
      </c>
    </row>
    <row r="291" customFormat="false" ht="15" hidden="false" customHeight="false" outlineLevel="0" collapsed="false">
      <c r="A291" s="7" t="s">
        <v>701</v>
      </c>
      <c r="B291" s="7" t="s">
        <v>165</v>
      </c>
      <c r="C291" s="16" t="s">
        <v>31</v>
      </c>
      <c r="D291" s="16" t="s">
        <v>37</v>
      </c>
      <c r="E291" s="16" t="s">
        <v>45</v>
      </c>
      <c r="F291" s="16" t="s">
        <v>49</v>
      </c>
      <c r="G291" s="16" t="s">
        <v>49</v>
      </c>
      <c r="H291" s="16" t="s">
        <v>59</v>
      </c>
      <c r="I291" s="16" t="s">
        <v>65</v>
      </c>
      <c r="J291" s="16" t="s">
        <v>70</v>
      </c>
      <c r="K291" s="16" t="s">
        <v>75</v>
      </c>
      <c r="L291" s="16" t="s">
        <v>81</v>
      </c>
      <c r="M291" s="16" t="s">
        <v>85</v>
      </c>
      <c r="N291" s="16" t="s">
        <v>91</v>
      </c>
      <c r="O291" s="16" t="s">
        <v>100</v>
      </c>
      <c r="P291" s="16" t="s">
        <v>103</v>
      </c>
      <c r="Q291" s="16" t="s">
        <v>110</v>
      </c>
      <c r="R291" s="16" t="s">
        <v>115</v>
      </c>
      <c r="S291" s="16" t="s">
        <v>121</v>
      </c>
      <c r="T291" s="16" t="s">
        <v>122</v>
      </c>
      <c r="U291" s="16" t="s">
        <v>132</v>
      </c>
      <c r="V291" s="16" t="s">
        <v>138</v>
      </c>
      <c r="W291" s="16" t="s">
        <v>166</v>
      </c>
      <c r="X291" s="16" t="s">
        <v>702</v>
      </c>
    </row>
    <row r="292" customFormat="false" ht="15" hidden="false" customHeight="false" outlineLevel="0" collapsed="false">
      <c r="A292" s="7" t="s">
        <v>703</v>
      </c>
      <c r="B292" s="7" t="s">
        <v>165</v>
      </c>
      <c r="C292" s="16" t="s">
        <v>31</v>
      </c>
      <c r="D292" s="16" t="s">
        <v>37</v>
      </c>
      <c r="E292" s="16" t="s">
        <v>45</v>
      </c>
      <c r="F292" s="16" t="s">
        <v>49</v>
      </c>
      <c r="G292" s="16" t="s">
        <v>49</v>
      </c>
      <c r="H292" s="16" t="s">
        <v>59</v>
      </c>
      <c r="I292" s="16" t="s">
        <v>65</v>
      </c>
      <c r="J292" s="16" t="s">
        <v>71</v>
      </c>
      <c r="K292" s="16" t="s">
        <v>74</v>
      </c>
      <c r="L292" s="16" t="s">
        <v>81</v>
      </c>
      <c r="M292" s="16" t="s">
        <v>87</v>
      </c>
      <c r="N292" s="16" t="s">
        <v>91</v>
      </c>
      <c r="O292" s="16" t="s">
        <v>100</v>
      </c>
      <c r="P292" s="16" t="s">
        <v>105</v>
      </c>
      <c r="Q292" s="16" t="s">
        <v>109</v>
      </c>
      <c r="R292" s="16" t="s">
        <v>115</v>
      </c>
      <c r="S292" s="16" t="s">
        <v>122</v>
      </c>
      <c r="T292" s="16" t="s">
        <v>122</v>
      </c>
      <c r="U292" s="16" t="s">
        <v>132</v>
      </c>
      <c r="V292" s="16" t="s">
        <v>138</v>
      </c>
      <c r="W292" s="16" t="s">
        <v>166</v>
      </c>
      <c r="X292" s="16" t="s">
        <v>704</v>
      </c>
    </row>
    <row r="293" customFormat="false" ht="15" hidden="false" customHeight="false" outlineLevel="0" collapsed="false">
      <c r="A293" s="7" t="s">
        <v>705</v>
      </c>
      <c r="B293" s="7" t="s">
        <v>165</v>
      </c>
      <c r="C293" s="16" t="s">
        <v>31</v>
      </c>
      <c r="D293" s="16" t="s">
        <v>37</v>
      </c>
      <c r="E293" s="16" t="s">
        <v>43</v>
      </c>
      <c r="F293" s="16" t="s">
        <v>49</v>
      </c>
      <c r="G293" s="16" t="s">
        <v>49</v>
      </c>
      <c r="H293" s="16" t="s">
        <v>59</v>
      </c>
      <c r="I293" s="16" t="s">
        <v>65</v>
      </c>
      <c r="J293" s="16" t="s">
        <v>71</v>
      </c>
      <c r="K293" s="16" t="s">
        <v>75</v>
      </c>
      <c r="L293" s="16" t="s">
        <v>80</v>
      </c>
      <c r="M293" s="16" t="s">
        <v>86</v>
      </c>
      <c r="N293" s="16" t="s">
        <v>91</v>
      </c>
      <c r="O293" s="16" t="s">
        <v>99</v>
      </c>
      <c r="P293" s="16" t="s">
        <v>105</v>
      </c>
      <c r="Q293" s="16" t="s">
        <v>110</v>
      </c>
      <c r="R293" s="16" t="s">
        <v>116</v>
      </c>
      <c r="S293" s="16" t="s">
        <v>121</v>
      </c>
      <c r="T293" s="16" t="s">
        <v>127</v>
      </c>
      <c r="U293" s="16" t="s">
        <v>132</v>
      </c>
      <c r="V293" s="16" t="s">
        <v>138</v>
      </c>
      <c r="W293" s="16" t="s">
        <v>166</v>
      </c>
      <c r="X293" s="16" t="s">
        <v>706</v>
      </c>
    </row>
    <row r="294" customFormat="false" ht="15" hidden="false" customHeight="false" outlineLevel="0" collapsed="false">
      <c r="A294" s="7" t="s">
        <v>707</v>
      </c>
      <c r="B294" s="7" t="s">
        <v>206</v>
      </c>
      <c r="C294" s="16" t="s">
        <v>32</v>
      </c>
      <c r="D294" s="16" t="s">
        <v>37</v>
      </c>
      <c r="E294" s="16" t="s">
        <v>46</v>
      </c>
      <c r="F294" s="16" t="s">
        <v>50</v>
      </c>
      <c r="G294" s="16" t="s">
        <v>49</v>
      </c>
      <c r="H294" s="16" t="s">
        <v>59</v>
      </c>
      <c r="I294" s="16" t="s">
        <v>65</v>
      </c>
      <c r="J294" s="16" t="s">
        <v>70</v>
      </c>
      <c r="K294" s="16" t="s">
        <v>76</v>
      </c>
      <c r="L294" s="16" t="s">
        <v>83</v>
      </c>
      <c r="M294" s="16" t="s">
        <v>87</v>
      </c>
      <c r="N294" s="16" t="s">
        <v>91</v>
      </c>
      <c r="O294" s="16" t="s">
        <v>99</v>
      </c>
      <c r="P294" s="16" t="s">
        <v>104</v>
      </c>
      <c r="Q294" s="16" t="s">
        <v>111</v>
      </c>
      <c r="R294" s="16" t="s">
        <v>116</v>
      </c>
      <c r="S294" s="16" t="s">
        <v>122</v>
      </c>
      <c r="T294" s="16" t="s">
        <v>127</v>
      </c>
      <c r="U294" s="16" t="s">
        <v>134</v>
      </c>
      <c r="V294" s="16" t="s">
        <v>138</v>
      </c>
      <c r="W294" s="16" t="s">
        <v>166</v>
      </c>
      <c r="X294" s="16" t="s">
        <v>708</v>
      </c>
    </row>
    <row r="295" customFormat="false" ht="15" hidden="false" customHeight="false" outlineLevel="0" collapsed="false">
      <c r="A295" s="7" t="s">
        <v>709</v>
      </c>
      <c r="B295" s="7" t="s">
        <v>165</v>
      </c>
      <c r="C295" s="16" t="s">
        <v>31</v>
      </c>
      <c r="D295" s="16" t="s">
        <v>37</v>
      </c>
      <c r="E295" s="16" t="s">
        <v>43</v>
      </c>
      <c r="F295" s="16" t="s">
        <v>49</v>
      </c>
      <c r="G295" s="16" t="s">
        <v>49</v>
      </c>
      <c r="H295" s="16" t="s">
        <v>59</v>
      </c>
      <c r="I295" s="16" t="s">
        <v>66</v>
      </c>
      <c r="J295" s="16" t="s">
        <v>70</v>
      </c>
      <c r="K295" s="16" t="s">
        <v>74</v>
      </c>
      <c r="L295" s="16" t="s">
        <v>81</v>
      </c>
      <c r="M295" s="16" t="s">
        <v>85</v>
      </c>
      <c r="N295" s="16" t="s">
        <v>91</v>
      </c>
      <c r="O295" s="16" t="s">
        <v>97</v>
      </c>
      <c r="P295" s="16" t="s">
        <v>106</v>
      </c>
      <c r="Q295" s="16" t="s">
        <v>109</v>
      </c>
      <c r="R295" s="16" t="s">
        <v>115</v>
      </c>
      <c r="S295" s="16" t="s">
        <v>123</v>
      </c>
      <c r="T295" s="16" t="s">
        <v>127</v>
      </c>
      <c r="U295" s="16" t="s">
        <v>132</v>
      </c>
      <c r="V295" s="16" t="s">
        <v>138</v>
      </c>
      <c r="W295" s="16" t="s">
        <v>166</v>
      </c>
      <c r="X295" s="16" t="s">
        <v>285</v>
      </c>
    </row>
    <row r="296" customFormat="false" ht="15" hidden="false" customHeight="false" outlineLevel="0" collapsed="false">
      <c r="A296" s="7" t="s">
        <v>710</v>
      </c>
      <c r="B296" s="7" t="s">
        <v>165</v>
      </c>
      <c r="C296" s="16" t="s">
        <v>32</v>
      </c>
      <c r="D296" s="16" t="s">
        <v>37</v>
      </c>
      <c r="E296" s="16" t="s">
        <v>43</v>
      </c>
      <c r="F296" s="16" t="s">
        <v>49</v>
      </c>
      <c r="G296" s="16" t="s">
        <v>49</v>
      </c>
      <c r="H296" s="16" t="s">
        <v>59</v>
      </c>
      <c r="I296" s="16" t="s">
        <v>65</v>
      </c>
      <c r="J296" s="16" t="s">
        <v>70</v>
      </c>
      <c r="K296" s="16" t="s">
        <v>74</v>
      </c>
      <c r="L296" s="16" t="s">
        <v>81</v>
      </c>
      <c r="M296" s="16" t="s">
        <v>85</v>
      </c>
      <c r="N296" s="16" t="s">
        <v>91</v>
      </c>
      <c r="O296" s="16" t="s">
        <v>99</v>
      </c>
      <c r="P296" s="16" t="s">
        <v>105</v>
      </c>
      <c r="Q296" s="16" t="s">
        <v>109</v>
      </c>
      <c r="R296" s="16" t="s">
        <v>115</v>
      </c>
      <c r="S296" s="16" t="s">
        <v>123</v>
      </c>
      <c r="T296" s="16" t="s">
        <v>127</v>
      </c>
      <c r="U296" s="16" t="s">
        <v>132</v>
      </c>
      <c r="V296" s="16" t="s">
        <v>138</v>
      </c>
      <c r="W296" s="16" t="s">
        <v>166</v>
      </c>
      <c r="X296" s="16" t="s">
        <v>711</v>
      </c>
    </row>
    <row r="297" customFormat="false" ht="15" hidden="false" customHeight="false" outlineLevel="0" collapsed="false">
      <c r="A297" s="7" t="s">
        <v>712</v>
      </c>
      <c r="B297" s="7" t="s">
        <v>165</v>
      </c>
      <c r="C297" s="16" t="s">
        <v>31</v>
      </c>
      <c r="D297" s="16" t="s">
        <v>37</v>
      </c>
      <c r="E297" s="16" t="s">
        <v>47</v>
      </c>
      <c r="F297" s="16" t="s">
        <v>49</v>
      </c>
      <c r="G297" s="16" t="s">
        <v>49</v>
      </c>
      <c r="H297" s="16" t="s">
        <v>59</v>
      </c>
      <c r="I297" s="16" t="s">
        <v>65</v>
      </c>
      <c r="J297" s="16" t="s">
        <v>70</v>
      </c>
      <c r="K297" s="16" t="s">
        <v>73</v>
      </c>
      <c r="L297" s="16" t="s">
        <v>81</v>
      </c>
      <c r="M297" s="16" t="s">
        <v>86</v>
      </c>
      <c r="N297" s="16" t="s">
        <v>92</v>
      </c>
      <c r="O297" s="16" t="s">
        <v>99</v>
      </c>
      <c r="P297" s="16" t="s">
        <v>105</v>
      </c>
      <c r="Q297" s="16" t="s">
        <v>109</v>
      </c>
      <c r="R297" s="16" t="s">
        <v>115</v>
      </c>
      <c r="S297" s="16" t="s">
        <v>122</v>
      </c>
      <c r="T297" s="16" t="s">
        <v>127</v>
      </c>
      <c r="U297" s="16" t="s">
        <v>132</v>
      </c>
      <c r="V297" s="16" t="s">
        <v>138</v>
      </c>
      <c r="W297" s="16" t="s">
        <v>166</v>
      </c>
      <c r="X297" s="16" t="s">
        <v>713</v>
      </c>
    </row>
    <row r="298" customFormat="false" ht="15" hidden="false" customHeight="false" outlineLevel="0" collapsed="false">
      <c r="A298" s="7" t="s">
        <v>714</v>
      </c>
      <c r="B298" s="7" t="s">
        <v>206</v>
      </c>
      <c r="C298" s="16" t="s">
        <v>32</v>
      </c>
      <c r="D298" s="16" t="s">
        <v>37</v>
      </c>
      <c r="E298" s="16" t="s">
        <v>46</v>
      </c>
      <c r="F298" s="16" t="s">
        <v>49</v>
      </c>
      <c r="G298" s="16" t="s">
        <v>49</v>
      </c>
      <c r="H298" s="16" t="s">
        <v>59</v>
      </c>
      <c r="I298" s="16" t="s">
        <v>65</v>
      </c>
      <c r="J298" s="16" t="s">
        <v>70</v>
      </c>
      <c r="K298" s="16" t="s">
        <v>77</v>
      </c>
      <c r="L298" s="16" t="s">
        <v>80</v>
      </c>
      <c r="M298" s="16" t="s">
        <v>86</v>
      </c>
      <c r="N298" s="16" t="s">
        <v>91</v>
      </c>
      <c r="O298" s="16" t="s">
        <v>99</v>
      </c>
      <c r="P298" s="16" t="s">
        <v>105</v>
      </c>
      <c r="Q298" s="16" t="s">
        <v>111</v>
      </c>
      <c r="R298" s="16" t="s">
        <v>117</v>
      </c>
      <c r="S298" s="16" t="s">
        <v>125</v>
      </c>
      <c r="T298" s="16" t="s">
        <v>127</v>
      </c>
      <c r="U298" s="16" t="s">
        <v>134</v>
      </c>
      <c r="V298" s="16" t="s">
        <v>138</v>
      </c>
      <c r="W298" s="16" t="s">
        <v>166</v>
      </c>
      <c r="X298" s="16" t="s">
        <v>715</v>
      </c>
    </row>
    <row r="299" customFormat="false" ht="15" hidden="false" customHeight="false" outlineLevel="0" collapsed="false">
      <c r="A299" s="7" t="s">
        <v>716</v>
      </c>
      <c r="B299" s="7" t="s">
        <v>165</v>
      </c>
      <c r="C299" s="16" t="s">
        <v>32</v>
      </c>
      <c r="D299" s="16" t="s">
        <v>37</v>
      </c>
      <c r="E299" s="16" t="s">
        <v>45</v>
      </c>
      <c r="F299" s="16" t="s">
        <v>49</v>
      </c>
      <c r="G299" s="16" t="s">
        <v>49</v>
      </c>
      <c r="H299" s="16" t="s">
        <v>59</v>
      </c>
      <c r="I299" s="16" t="s">
        <v>65</v>
      </c>
      <c r="J299" s="16" t="s">
        <v>70</v>
      </c>
      <c r="K299" s="16" t="s">
        <v>73</v>
      </c>
      <c r="L299" s="16" t="s">
        <v>80</v>
      </c>
      <c r="M299" s="16" t="s">
        <v>86</v>
      </c>
      <c r="N299" s="16" t="s">
        <v>91</v>
      </c>
      <c r="O299" s="16" t="s">
        <v>99</v>
      </c>
      <c r="P299" s="16" t="s">
        <v>105</v>
      </c>
      <c r="Q299" s="16" t="s">
        <v>109</v>
      </c>
      <c r="R299" s="16" t="s">
        <v>116</v>
      </c>
      <c r="S299" s="16" t="s">
        <v>121</v>
      </c>
      <c r="T299" s="16" t="s">
        <v>127</v>
      </c>
      <c r="U299" s="16" t="s">
        <v>132</v>
      </c>
      <c r="V299" s="16" t="s">
        <v>138</v>
      </c>
      <c r="W299" s="16" t="s">
        <v>166</v>
      </c>
      <c r="X299" s="16" t="s">
        <v>717</v>
      </c>
    </row>
    <row r="300" customFormat="false" ht="15" hidden="false" customHeight="false" outlineLevel="0" collapsed="false">
      <c r="A300" s="7" t="s">
        <v>718</v>
      </c>
      <c r="B300" s="7" t="s">
        <v>165</v>
      </c>
      <c r="C300" s="16" t="s">
        <v>31</v>
      </c>
      <c r="D300" s="16" t="s">
        <v>37</v>
      </c>
      <c r="E300" s="16" t="s">
        <v>43</v>
      </c>
      <c r="F300" s="16" t="s">
        <v>49</v>
      </c>
      <c r="G300" s="16" t="s">
        <v>49</v>
      </c>
      <c r="H300" s="16" t="s">
        <v>59</v>
      </c>
      <c r="I300" s="16" t="s">
        <v>65</v>
      </c>
      <c r="J300" s="16" t="s">
        <v>70</v>
      </c>
      <c r="K300" s="16" t="s">
        <v>75</v>
      </c>
      <c r="L300" s="16" t="s">
        <v>81</v>
      </c>
      <c r="M300" s="16" t="s">
        <v>85</v>
      </c>
      <c r="N300" s="16" t="s">
        <v>91</v>
      </c>
      <c r="O300" s="16" t="s">
        <v>99</v>
      </c>
      <c r="P300" s="16" t="s">
        <v>103</v>
      </c>
      <c r="Q300" s="16" t="s">
        <v>109</v>
      </c>
      <c r="R300" s="16" t="s">
        <v>115</v>
      </c>
      <c r="S300" s="16" t="s">
        <v>122</v>
      </c>
      <c r="T300" s="16" t="s">
        <v>127</v>
      </c>
      <c r="U300" s="16" t="s">
        <v>132</v>
      </c>
      <c r="V300" s="16" t="s">
        <v>138</v>
      </c>
      <c r="W300" s="16" t="s">
        <v>166</v>
      </c>
      <c r="X300" s="16" t="s">
        <v>719</v>
      </c>
    </row>
    <row r="301" customFormat="false" ht="15" hidden="false" customHeight="false" outlineLevel="0" collapsed="false">
      <c r="A301" s="7" t="s">
        <v>720</v>
      </c>
      <c r="B301" s="7" t="s">
        <v>206</v>
      </c>
      <c r="C301" s="16" t="s">
        <v>32</v>
      </c>
      <c r="D301" s="16" t="s">
        <v>37</v>
      </c>
      <c r="E301" s="16" t="s">
        <v>45</v>
      </c>
      <c r="F301" s="16" t="s">
        <v>49</v>
      </c>
      <c r="G301" s="16" t="s">
        <v>49</v>
      </c>
      <c r="H301" s="16" t="s">
        <v>59</v>
      </c>
      <c r="I301" s="16" t="s">
        <v>65</v>
      </c>
      <c r="J301" s="16" t="s">
        <v>70</v>
      </c>
      <c r="K301" s="16" t="s">
        <v>76</v>
      </c>
      <c r="L301" s="16" t="s">
        <v>82</v>
      </c>
      <c r="M301" s="16" t="s">
        <v>85</v>
      </c>
      <c r="N301" s="16" t="s">
        <v>91</v>
      </c>
      <c r="O301" s="16" t="s">
        <v>97</v>
      </c>
      <c r="P301" s="16" t="s">
        <v>106</v>
      </c>
      <c r="Q301" s="16" t="s">
        <v>109</v>
      </c>
      <c r="R301" s="16" t="s">
        <v>116</v>
      </c>
      <c r="S301" s="16" t="s">
        <v>123</v>
      </c>
      <c r="T301" s="16" t="s">
        <v>127</v>
      </c>
      <c r="U301" s="16" t="s">
        <v>133</v>
      </c>
      <c r="V301" s="16" t="s">
        <v>138</v>
      </c>
      <c r="W301" s="16" t="s">
        <v>166</v>
      </c>
      <c r="X301" s="16" t="s">
        <v>671</v>
      </c>
    </row>
    <row r="302" customFormat="false" ht="15" hidden="false" customHeight="false" outlineLevel="0" collapsed="false">
      <c r="A302" s="7" t="s">
        <v>721</v>
      </c>
      <c r="B302" s="7" t="s">
        <v>165</v>
      </c>
      <c r="C302" s="16" t="s">
        <v>31</v>
      </c>
      <c r="D302" s="16" t="s">
        <v>37</v>
      </c>
      <c r="E302" s="16" t="s">
        <v>46</v>
      </c>
      <c r="F302" s="16" t="s">
        <v>49</v>
      </c>
      <c r="G302" s="16" t="s">
        <v>49</v>
      </c>
      <c r="H302" s="16" t="s">
        <v>59</v>
      </c>
      <c r="I302" s="16" t="s">
        <v>65</v>
      </c>
      <c r="J302" s="16" t="s">
        <v>70</v>
      </c>
      <c r="K302" s="16" t="s">
        <v>74</v>
      </c>
      <c r="L302" s="16" t="s">
        <v>80</v>
      </c>
      <c r="M302" s="16" t="s">
        <v>86</v>
      </c>
      <c r="N302" s="16" t="s">
        <v>91</v>
      </c>
      <c r="O302" s="16" t="s">
        <v>99</v>
      </c>
      <c r="P302" s="16" t="s">
        <v>105</v>
      </c>
      <c r="Q302" s="16" t="s">
        <v>110</v>
      </c>
      <c r="R302" s="16" t="s">
        <v>115</v>
      </c>
      <c r="S302" s="16" t="s">
        <v>121</v>
      </c>
      <c r="T302" s="16" t="s">
        <v>127</v>
      </c>
      <c r="U302" s="16" t="s">
        <v>133</v>
      </c>
      <c r="V302" s="16" t="s">
        <v>138</v>
      </c>
      <c r="W302" s="16" t="s">
        <v>166</v>
      </c>
      <c r="X302" s="16" t="s">
        <v>722</v>
      </c>
    </row>
    <row r="303" customFormat="false" ht="15" hidden="false" customHeight="false" outlineLevel="0" collapsed="false">
      <c r="A303" s="7" t="s">
        <v>723</v>
      </c>
      <c r="B303" s="7" t="s">
        <v>165</v>
      </c>
      <c r="C303" s="16" t="s">
        <v>31</v>
      </c>
      <c r="D303" s="16" t="s">
        <v>37</v>
      </c>
      <c r="E303" s="16" t="s">
        <v>45</v>
      </c>
      <c r="F303" s="16" t="s">
        <v>49</v>
      </c>
      <c r="G303" s="16" t="s">
        <v>49</v>
      </c>
      <c r="H303" s="16" t="s">
        <v>59</v>
      </c>
      <c r="I303" s="16" t="s">
        <v>65</v>
      </c>
      <c r="J303" s="16" t="s">
        <v>70</v>
      </c>
      <c r="K303" s="16" t="s">
        <v>74</v>
      </c>
      <c r="L303" s="16" t="s">
        <v>80</v>
      </c>
      <c r="M303" s="16" t="s">
        <v>85</v>
      </c>
      <c r="N303" s="16" t="s">
        <v>92</v>
      </c>
      <c r="O303" s="16" t="s">
        <v>99</v>
      </c>
      <c r="P303" s="16" t="s">
        <v>106</v>
      </c>
      <c r="Q303" s="16" t="s">
        <v>109</v>
      </c>
      <c r="R303" s="16" t="s">
        <v>115</v>
      </c>
      <c r="S303" s="16" t="s">
        <v>121</v>
      </c>
      <c r="T303" s="16" t="s">
        <v>128</v>
      </c>
      <c r="U303" s="16" t="s">
        <v>132</v>
      </c>
      <c r="V303" s="16" t="s">
        <v>138</v>
      </c>
      <c r="W303" s="16" t="s">
        <v>166</v>
      </c>
      <c r="X303" s="16" t="s">
        <v>527</v>
      </c>
    </row>
    <row r="304" customFormat="false" ht="15" hidden="false" customHeight="false" outlineLevel="0" collapsed="false">
      <c r="A304" s="7" t="s">
        <v>724</v>
      </c>
      <c r="B304" s="7" t="s">
        <v>193</v>
      </c>
      <c r="C304" s="16" t="s">
        <v>33</v>
      </c>
      <c r="D304" s="16" t="s">
        <v>38</v>
      </c>
      <c r="E304" s="16" t="s">
        <v>44</v>
      </c>
      <c r="F304" s="16" t="s">
        <v>49</v>
      </c>
      <c r="G304" s="16" t="s">
        <v>54</v>
      </c>
      <c r="H304" s="16" t="s">
        <v>59</v>
      </c>
      <c r="I304" s="16" t="s">
        <v>65</v>
      </c>
      <c r="J304" s="16" t="s">
        <v>70</v>
      </c>
      <c r="K304" s="16" t="s">
        <v>76</v>
      </c>
      <c r="L304" s="16" t="s">
        <v>82</v>
      </c>
      <c r="M304" s="16" t="s">
        <v>87</v>
      </c>
      <c r="N304" s="16" t="s">
        <v>93</v>
      </c>
      <c r="O304" s="16" t="s">
        <v>100</v>
      </c>
      <c r="P304" s="16" t="s">
        <v>105</v>
      </c>
      <c r="Q304" s="16" t="s">
        <v>109</v>
      </c>
      <c r="R304" s="16" t="s">
        <v>116</v>
      </c>
      <c r="S304" s="16" t="s">
        <v>121</v>
      </c>
      <c r="T304" s="16" t="s">
        <v>122</v>
      </c>
      <c r="U304" s="16" t="s">
        <v>134</v>
      </c>
      <c r="V304" s="16" t="s">
        <v>138</v>
      </c>
      <c r="W304" s="16" t="s">
        <v>166</v>
      </c>
      <c r="X304" s="16" t="s">
        <v>725</v>
      </c>
    </row>
    <row r="305" customFormat="false" ht="15" hidden="false" customHeight="false" outlineLevel="0" collapsed="false">
      <c r="A305" s="7" t="s">
        <v>726</v>
      </c>
      <c r="B305" s="7" t="s">
        <v>165</v>
      </c>
      <c r="C305" s="16" t="s">
        <v>31</v>
      </c>
      <c r="D305" s="16" t="s">
        <v>37</v>
      </c>
      <c r="E305" s="16" t="s">
        <v>43</v>
      </c>
      <c r="F305" s="16" t="s">
        <v>49</v>
      </c>
      <c r="G305" s="16" t="s">
        <v>49</v>
      </c>
      <c r="H305" s="16" t="s">
        <v>59</v>
      </c>
      <c r="I305" s="16" t="s">
        <v>65</v>
      </c>
      <c r="J305" s="16" t="s">
        <v>70</v>
      </c>
      <c r="K305" s="16" t="s">
        <v>74</v>
      </c>
      <c r="L305" s="16" t="s">
        <v>80</v>
      </c>
      <c r="M305" s="16" t="s">
        <v>85</v>
      </c>
      <c r="N305" s="16" t="s">
        <v>91</v>
      </c>
      <c r="O305" s="16" t="s">
        <v>98</v>
      </c>
      <c r="P305" s="16" t="s">
        <v>105</v>
      </c>
      <c r="Q305" s="16" t="s">
        <v>109</v>
      </c>
      <c r="R305" s="16" t="s">
        <v>115</v>
      </c>
      <c r="S305" s="16" t="s">
        <v>122</v>
      </c>
      <c r="T305" s="16" t="s">
        <v>128</v>
      </c>
      <c r="U305" s="16" t="s">
        <v>132</v>
      </c>
      <c r="V305" s="16" t="s">
        <v>138</v>
      </c>
      <c r="W305" s="16" t="s">
        <v>166</v>
      </c>
      <c r="X305" s="16" t="s">
        <v>727</v>
      </c>
    </row>
    <row r="306" customFormat="false" ht="15" hidden="false" customHeight="false" outlineLevel="0" collapsed="false">
      <c r="A306" s="7" t="s">
        <v>728</v>
      </c>
      <c r="B306" s="7" t="s">
        <v>165</v>
      </c>
      <c r="C306" s="16" t="s">
        <v>31</v>
      </c>
      <c r="D306" s="16" t="s">
        <v>37</v>
      </c>
      <c r="E306" s="16" t="s">
        <v>44</v>
      </c>
      <c r="F306" s="16" t="s">
        <v>49</v>
      </c>
      <c r="G306" s="16" t="s">
        <v>49</v>
      </c>
      <c r="H306" s="16" t="s">
        <v>59</v>
      </c>
      <c r="I306" s="16" t="s">
        <v>65</v>
      </c>
      <c r="J306" s="16" t="s">
        <v>71</v>
      </c>
      <c r="K306" s="16" t="s">
        <v>74</v>
      </c>
      <c r="L306" s="16" t="s">
        <v>81</v>
      </c>
      <c r="M306" s="16" t="s">
        <v>85</v>
      </c>
      <c r="N306" s="16" t="s">
        <v>91</v>
      </c>
      <c r="O306" s="16" t="s">
        <v>99</v>
      </c>
      <c r="P306" s="16" t="s">
        <v>105</v>
      </c>
      <c r="Q306" s="16" t="s">
        <v>109</v>
      </c>
      <c r="R306" s="16" t="s">
        <v>115</v>
      </c>
      <c r="S306" s="16" t="s">
        <v>122</v>
      </c>
      <c r="T306" s="16" t="s">
        <v>127</v>
      </c>
      <c r="U306" s="16" t="s">
        <v>132</v>
      </c>
      <c r="V306" s="16" t="s">
        <v>139</v>
      </c>
      <c r="W306" s="16" t="s">
        <v>166</v>
      </c>
      <c r="X306" s="16" t="s">
        <v>729</v>
      </c>
    </row>
    <row r="307" customFormat="false" ht="15" hidden="false" customHeight="false" outlineLevel="0" collapsed="false">
      <c r="A307" s="7" t="s">
        <v>730</v>
      </c>
      <c r="B307" s="7" t="s">
        <v>193</v>
      </c>
      <c r="C307" s="16" t="s">
        <v>33</v>
      </c>
      <c r="D307" s="16" t="s">
        <v>38</v>
      </c>
      <c r="E307" s="16" t="s">
        <v>47</v>
      </c>
      <c r="F307" s="16" t="s">
        <v>49</v>
      </c>
      <c r="G307" s="16" t="s">
        <v>49</v>
      </c>
      <c r="H307" s="16" t="s">
        <v>59</v>
      </c>
      <c r="I307" s="16" t="s">
        <v>65</v>
      </c>
      <c r="J307" s="16" t="s">
        <v>61</v>
      </c>
      <c r="K307" s="16" t="s">
        <v>76</v>
      </c>
      <c r="L307" s="16" t="s">
        <v>79</v>
      </c>
      <c r="M307" s="16" t="s">
        <v>87</v>
      </c>
      <c r="N307" s="16" t="s">
        <v>91</v>
      </c>
      <c r="O307" s="16" t="s">
        <v>99</v>
      </c>
      <c r="P307" s="16" t="s">
        <v>107</v>
      </c>
      <c r="Q307" s="16" t="s">
        <v>109</v>
      </c>
      <c r="R307" s="16" t="s">
        <v>116</v>
      </c>
      <c r="S307" s="16" t="s">
        <v>123</v>
      </c>
      <c r="T307" s="16" t="s">
        <v>127</v>
      </c>
      <c r="U307" s="16" t="s">
        <v>133</v>
      </c>
      <c r="V307" s="16" t="s">
        <v>139</v>
      </c>
      <c r="W307" s="16" t="s">
        <v>166</v>
      </c>
      <c r="X307" s="16" t="s">
        <v>731</v>
      </c>
    </row>
    <row r="308" customFormat="false" ht="15" hidden="false" customHeight="false" outlineLevel="0" collapsed="false">
      <c r="A308" s="7" t="s">
        <v>732</v>
      </c>
      <c r="B308" s="7" t="s">
        <v>165</v>
      </c>
      <c r="C308" s="16" t="s">
        <v>31</v>
      </c>
      <c r="D308" s="16" t="s">
        <v>37</v>
      </c>
      <c r="E308" s="16" t="s">
        <v>43</v>
      </c>
      <c r="F308" s="16" t="s">
        <v>49</v>
      </c>
      <c r="G308" s="16" t="s">
        <v>49</v>
      </c>
      <c r="H308" s="16" t="s">
        <v>59</v>
      </c>
      <c r="I308" s="16" t="s">
        <v>65</v>
      </c>
      <c r="J308" s="16" t="s">
        <v>71</v>
      </c>
      <c r="K308" s="16" t="s">
        <v>75</v>
      </c>
      <c r="L308" s="16" t="s">
        <v>80</v>
      </c>
      <c r="M308" s="16" t="s">
        <v>88</v>
      </c>
      <c r="N308" s="16" t="s">
        <v>92</v>
      </c>
      <c r="O308" s="16" t="s">
        <v>99</v>
      </c>
      <c r="P308" s="16" t="s">
        <v>105</v>
      </c>
      <c r="Q308" s="16" t="s">
        <v>109</v>
      </c>
      <c r="R308" s="16" t="s">
        <v>115</v>
      </c>
      <c r="S308" s="16" t="s">
        <v>122</v>
      </c>
      <c r="T308" s="16" t="s">
        <v>122</v>
      </c>
      <c r="U308" s="16" t="s">
        <v>133</v>
      </c>
      <c r="V308" s="16" t="s">
        <v>138</v>
      </c>
      <c r="W308" s="16" t="s">
        <v>166</v>
      </c>
      <c r="X308" s="16" t="s">
        <v>333</v>
      </c>
    </row>
    <row r="309" customFormat="false" ht="15" hidden="false" customHeight="false" outlineLevel="0" collapsed="false">
      <c r="A309" s="7" t="s">
        <v>733</v>
      </c>
      <c r="B309" s="7" t="s">
        <v>206</v>
      </c>
      <c r="C309" s="16" t="s">
        <v>32</v>
      </c>
      <c r="D309" s="16" t="s">
        <v>37</v>
      </c>
      <c r="E309" s="16" t="s">
        <v>43</v>
      </c>
      <c r="F309" s="16" t="s">
        <v>49</v>
      </c>
      <c r="G309" s="16" t="s">
        <v>49</v>
      </c>
      <c r="H309" s="16" t="s">
        <v>59</v>
      </c>
      <c r="I309" s="16" t="s">
        <v>65</v>
      </c>
      <c r="J309" s="16" t="s">
        <v>70</v>
      </c>
      <c r="K309" s="16" t="s">
        <v>76</v>
      </c>
      <c r="L309" s="16" t="s">
        <v>82</v>
      </c>
      <c r="M309" s="16" t="s">
        <v>86</v>
      </c>
      <c r="N309" s="16" t="s">
        <v>93</v>
      </c>
      <c r="O309" s="16" t="s">
        <v>99</v>
      </c>
      <c r="P309" s="16" t="s">
        <v>106</v>
      </c>
      <c r="Q309" s="16" t="s">
        <v>109</v>
      </c>
      <c r="R309" s="16" t="s">
        <v>117</v>
      </c>
      <c r="S309" s="16" t="s">
        <v>123</v>
      </c>
      <c r="T309" s="16" t="s">
        <v>127</v>
      </c>
      <c r="U309" s="16" t="s">
        <v>133</v>
      </c>
      <c r="V309" s="16" t="s">
        <v>138</v>
      </c>
      <c r="W309" s="16" t="s">
        <v>166</v>
      </c>
      <c r="X309" s="16" t="s">
        <v>734</v>
      </c>
    </row>
    <row r="310" customFormat="false" ht="15" hidden="false" customHeight="false" outlineLevel="0" collapsed="false">
      <c r="A310" s="7" t="s">
        <v>735</v>
      </c>
      <c r="B310" s="7" t="s">
        <v>165</v>
      </c>
      <c r="C310" s="16" t="s">
        <v>31</v>
      </c>
      <c r="D310" s="16" t="s">
        <v>37</v>
      </c>
      <c r="E310" s="16" t="s">
        <v>45</v>
      </c>
      <c r="F310" s="16" t="s">
        <v>49</v>
      </c>
      <c r="G310" s="16" t="s">
        <v>49</v>
      </c>
      <c r="H310" s="16" t="s">
        <v>59</v>
      </c>
      <c r="I310" s="16" t="s">
        <v>65</v>
      </c>
      <c r="J310" s="16" t="s">
        <v>71</v>
      </c>
      <c r="K310" s="16" t="s">
        <v>74</v>
      </c>
      <c r="L310" s="16" t="s">
        <v>80</v>
      </c>
      <c r="M310" s="16" t="s">
        <v>86</v>
      </c>
      <c r="N310" s="16" t="s">
        <v>92</v>
      </c>
      <c r="O310" s="16" t="s">
        <v>100</v>
      </c>
      <c r="P310" s="16" t="s">
        <v>105</v>
      </c>
      <c r="Q310" s="16" t="s">
        <v>112</v>
      </c>
      <c r="R310" s="16" t="s">
        <v>118</v>
      </c>
      <c r="S310" s="16" t="s">
        <v>122</v>
      </c>
      <c r="T310" s="16" t="s">
        <v>122</v>
      </c>
      <c r="U310" s="16" t="s">
        <v>132</v>
      </c>
      <c r="V310" s="16" t="s">
        <v>138</v>
      </c>
      <c r="W310" s="16" t="s">
        <v>166</v>
      </c>
      <c r="X310" s="16" t="s">
        <v>736</v>
      </c>
    </row>
    <row r="311" customFormat="false" ht="15" hidden="false" customHeight="false" outlineLevel="0" collapsed="false">
      <c r="A311" s="7" t="s">
        <v>737</v>
      </c>
      <c r="B311" s="7" t="s">
        <v>165</v>
      </c>
      <c r="C311" s="16" t="s">
        <v>31</v>
      </c>
      <c r="D311" s="16" t="s">
        <v>37</v>
      </c>
      <c r="E311" s="16" t="s">
        <v>45</v>
      </c>
      <c r="F311" s="16" t="s">
        <v>49</v>
      </c>
      <c r="G311" s="16" t="s">
        <v>49</v>
      </c>
      <c r="H311" s="16" t="s">
        <v>59</v>
      </c>
      <c r="I311" s="16" t="s">
        <v>65</v>
      </c>
      <c r="J311" s="16" t="s">
        <v>71</v>
      </c>
      <c r="K311" s="16" t="s">
        <v>74</v>
      </c>
      <c r="L311" s="16" t="s">
        <v>82</v>
      </c>
      <c r="M311" s="16" t="s">
        <v>87</v>
      </c>
      <c r="N311" s="16" t="s">
        <v>92</v>
      </c>
      <c r="O311" s="16" t="s">
        <v>98</v>
      </c>
      <c r="P311" s="16" t="s">
        <v>105</v>
      </c>
      <c r="Q311" s="16" t="s">
        <v>109</v>
      </c>
      <c r="R311" s="16" t="s">
        <v>115</v>
      </c>
      <c r="S311" s="16" t="s">
        <v>121</v>
      </c>
      <c r="T311" s="16" t="s">
        <v>127</v>
      </c>
      <c r="U311" s="16" t="s">
        <v>132</v>
      </c>
      <c r="V311" s="16" t="s">
        <v>138</v>
      </c>
      <c r="W311" s="16" t="s">
        <v>166</v>
      </c>
      <c r="X311" s="16" t="s">
        <v>738</v>
      </c>
    </row>
    <row r="312" customFormat="false" ht="15" hidden="false" customHeight="false" outlineLevel="0" collapsed="false">
      <c r="A312" s="7" t="s">
        <v>739</v>
      </c>
      <c r="B312" s="7" t="s">
        <v>193</v>
      </c>
      <c r="C312" s="16" t="s">
        <v>33</v>
      </c>
      <c r="D312" s="16" t="s">
        <v>39</v>
      </c>
      <c r="E312" s="16" t="s">
        <v>46</v>
      </c>
      <c r="F312" s="16" t="s">
        <v>49</v>
      </c>
      <c r="G312" s="16" t="s">
        <v>57</v>
      </c>
      <c r="H312" s="16" t="s">
        <v>59</v>
      </c>
      <c r="I312" s="16" t="s">
        <v>65</v>
      </c>
      <c r="J312" s="16" t="s">
        <v>71</v>
      </c>
      <c r="K312" s="16" t="s">
        <v>76</v>
      </c>
      <c r="L312" s="16" t="s">
        <v>82</v>
      </c>
      <c r="M312" s="16" t="s">
        <v>85</v>
      </c>
      <c r="N312" s="16" t="s">
        <v>91</v>
      </c>
      <c r="O312" s="16" t="s">
        <v>97</v>
      </c>
      <c r="P312" s="16" t="s">
        <v>105</v>
      </c>
      <c r="Q312" s="16" t="s">
        <v>110</v>
      </c>
      <c r="R312" s="16" t="s">
        <v>116</v>
      </c>
      <c r="S312" s="16" t="s">
        <v>124</v>
      </c>
      <c r="T312" s="16" t="s">
        <v>127</v>
      </c>
      <c r="U312" s="16" t="s">
        <v>135</v>
      </c>
      <c r="V312" s="16" t="s">
        <v>138</v>
      </c>
      <c r="W312" s="16" t="s">
        <v>166</v>
      </c>
      <c r="X312" s="16" t="s">
        <v>740</v>
      </c>
    </row>
    <row r="313" customFormat="false" ht="15" hidden="false" customHeight="false" outlineLevel="0" collapsed="false">
      <c r="A313" s="7" t="s">
        <v>741</v>
      </c>
      <c r="B313" s="7" t="s">
        <v>206</v>
      </c>
      <c r="C313" s="16" t="s">
        <v>32</v>
      </c>
      <c r="D313" s="16" t="s">
        <v>37</v>
      </c>
      <c r="E313" s="16" t="s">
        <v>44</v>
      </c>
      <c r="F313" s="16" t="s">
        <v>49</v>
      </c>
      <c r="G313" s="16" t="s">
        <v>49</v>
      </c>
      <c r="H313" s="16" t="s">
        <v>59</v>
      </c>
      <c r="I313" s="16" t="s">
        <v>65</v>
      </c>
      <c r="J313" s="16" t="s">
        <v>70</v>
      </c>
      <c r="K313" s="16" t="s">
        <v>77</v>
      </c>
      <c r="L313" s="16" t="s">
        <v>83</v>
      </c>
      <c r="M313" s="16" t="s">
        <v>85</v>
      </c>
      <c r="N313" s="16" t="s">
        <v>91</v>
      </c>
      <c r="O313" s="16" t="s">
        <v>99</v>
      </c>
      <c r="P313" s="16" t="s">
        <v>105</v>
      </c>
      <c r="Q313" s="16" t="s">
        <v>109</v>
      </c>
      <c r="R313" s="16" t="s">
        <v>118</v>
      </c>
      <c r="S313" s="16" t="s">
        <v>124</v>
      </c>
      <c r="T313" s="16" t="s">
        <v>122</v>
      </c>
      <c r="U313" s="16" t="s">
        <v>132</v>
      </c>
      <c r="V313" s="16" t="s">
        <v>140</v>
      </c>
      <c r="W313" s="16" t="s">
        <v>166</v>
      </c>
      <c r="X313" s="16" t="s">
        <v>499</v>
      </c>
    </row>
    <row r="314" customFormat="false" ht="15" hidden="false" customHeight="false" outlineLevel="0" collapsed="false">
      <c r="A314" s="7" t="s">
        <v>742</v>
      </c>
      <c r="B314" s="7" t="s">
        <v>165</v>
      </c>
      <c r="C314" s="16" t="s">
        <v>32</v>
      </c>
      <c r="D314" s="16" t="s">
        <v>37</v>
      </c>
      <c r="E314" s="16" t="s">
        <v>43</v>
      </c>
      <c r="F314" s="16" t="s">
        <v>49</v>
      </c>
      <c r="G314" s="16" t="s">
        <v>49</v>
      </c>
      <c r="H314" s="16" t="s">
        <v>59</v>
      </c>
      <c r="I314" s="16" t="s">
        <v>65</v>
      </c>
      <c r="J314" s="16" t="s">
        <v>70</v>
      </c>
      <c r="K314" s="16" t="s">
        <v>75</v>
      </c>
      <c r="L314" s="16" t="s">
        <v>80</v>
      </c>
      <c r="M314" s="16" t="s">
        <v>87</v>
      </c>
      <c r="N314" s="16" t="s">
        <v>93</v>
      </c>
      <c r="O314" s="16" t="s">
        <v>100</v>
      </c>
      <c r="P314" s="16" t="s">
        <v>105</v>
      </c>
      <c r="Q314" s="16" t="s">
        <v>109</v>
      </c>
      <c r="R314" s="16" t="s">
        <v>115</v>
      </c>
      <c r="S314" s="16" t="s">
        <v>122</v>
      </c>
      <c r="T314" s="16" t="s">
        <v>127</v>
      </c>
      <c r="U314" s="16" t="s">
        <v>132</v>
      </c>
      <c r="V314" s="16" t="s">
        <v>138</v>
      </c>
      <c r="W314" s="16" t="s">
        <v>166</v>
      </c>
      <c r="X314" s="16" t="s">
        <v>743</v>
      </c>
    </row>
    <row r="315" customFormat="false" ht="15" hidden="false" customHeight="false" outlineLevel="0" collapsed="false">
      <c r="A315" s="7" t="s">
        <v>744</v>
      </c>
      <c r="B315" s="7" t="s">
        <v>165</v>
      </c>
      <c r="C315" s="16" t="s">
        <v>31</v>
      </c>
      <c r="D315" s="16" t="s">
        <v>37</v>
      </c>
      <c r="E315" s="16" t="s">
        <v>43</v>
      </c>
      <c r="F315" s="16" t="s">
        <v>49</v>
      </c>
      <c r="G315" s="16" t="s">
        <v>49</v>
      </c>
      <c r="H315" s="16" t="s">
        <v>59</v>
      </c>
      <c r="I315" s="16" t="s">
        <v>65</v>
      </c>
      <c r="J315" s="16" t="s">
        <v>70</v>
      </c>
      <c r="K315" s="16" t="s">
        <v>75</v>
      </c>
      <c r="L315" s="16" t="s">
        <v>80</v>
      </c>
      <c r="M315" s="16" t="s">
        <v>85</v>
      </c>
      <c r="N315" s="16" t="s">
        <v>91</v>
      </c>
      <c r="O315" s="16" t="s">
        <v>99</v>
      </c>
      <c r="P315" s="16" t="s">
        <v>105</v>
      </c>
      <c r="Q315" s="16" t="s">
        <v>109</v>
      </c>
      <c r="R315" s="16" t="s">
        <v>116</v>
      </c>
      <c r="S315" s="16" t="s">
        <v>122</v>
      </c>
      <c r="T315" s="16" t="s">
        <v>127</v>
      </c>
      <c r="U315" s="16" t="s">
        <v>132</v>
      </c>
      <c r="V315" s="16" t="s">
        <v>138</v>
      </c>
      <c r="W315" s="16" t="s">
        <v>166</v>
      </c>
      <c r="X315" s="16" t="s">
        <v>487</v>
      </c>
    </row>
    <row r="316" customFormat="false" ht="15" hidden="false" customHeight="false" outlineLevel="0" collapsed="false">
      <c r="A316" s="7" t="s">
        <v>745</v>
      </c>
      <c r="B316" s="7" t="s">
        <v>165</v>
      </c>
      <c r="C316" s="16" t="s">
        <v>32</v>
      </c>
      <c r="D316" s="16" t="s">
        <v>37</v>
      </c>
      <c r="E316" s="16" t="s">
        <v>45</v>
      </c>
      <c r="F316" s="16" t="s">
        <v>49</v>
      </c>
      <c r="G316" s="16" t="s">
        <v>54</v>
      </c>
      <c r="H316" s="16" t="s">
        <v>59</v>
      </c>
      <c r="I316" s="16" t="s">
        <v>65</v>
      </c>
      <c r="J316" s="16" t="s">
        <v>70</v>
      </c>
      <c r="K316" s="16" t="s">
        <v>75</v>
      </c>
      <c r="L316" s="16" t="s">
        <v>80</v>
      </c>
      <c r="M316" s="16" t="s">
        <v>86</v>
      </c>
      <c r="N316" s="16" t="s">
        <v>91</v>
      </c>
      <c r="O316" s="16" t="s">
        <v>99</v>
      </c>
      <c r="P316" s="16" t="s">
        <v>105</v>
      </c>
      <c r="Q316" s="16" t="s">
        <v>109</v>
      </c>
      <c r="R316" s="16" t="s">
        <v>115</v>
      </c>
      <c r="S316" s="16" t="s">
        <v>121</v>
      </c>
      <c r="T316" s="16" t="s">
        <v>122</v>
      </c>
      <c r="U316" s="16" t="s">
        <v>134</v>
      </c>
      <c r="V316" s="16" t="s">
        <v>138</v>
      </c>
      <c r="W316" s="16" t="s">
        <v>166</v>
      </c>
      <c r="X316" s="16" t="s">
        <v>746</v>
      </c>
    </row>
    <row r="317" customFormat="false" ht="15" hidden="false" customHeight="false" outlineLevel="0" collapsed="false">
      <c r="A317" s="7" t="s">
        <v>747</v>
      </c>
      <c r="B317" s="7" t="s">
        <v>165</v>
      </c>
      <c r="C317" s="16" t="s">
        <v>31</v>
      </c>
      <c r="D317" s="16" t="s">
        <v>37</v>
      </c>
      <c r="E317" s="16" t="s">
        <v>43</v>
      </c>
      <c r="F317" s="16" t="s">
        <v>49</v>
      </c>
      <c r="G317" s="16" t="s">
        <v>49</v>
      </c>
      <c r="H317" s="16" t="s">
        <v>59</v>
      </c>
      <c r="I317" s="16" t="s">
        <v>65</v>
      </c>
      <c r="J317" s="16" t="s">
        <v>70</v>
      </c>
      <c r="K317" s="16" t="s">
        <v>74</v>
      </c>
      <c r="L317" s="16" t="s">
        <v>80</v>
      </c>
      <c r="M317" s="16" t="s">
        <v>86</v>
      </c>
      <c r="N317" s="16" t="s">
        <v>91</v>
      </c>
      <c r="O317" s="16" t="s">
        <v>97</v>
      </c>
      <c r="P317" s="16" t="s">
        <v>105</v>
      </c>
      <c r="Q317" s="16" t="s">
        <v>111</v>
      </c>
      <c r="R317" s="16" t="s">
        <v>115</v>
      </c>
      <c r="S317" s="16" t="s">
        <v>123</v>
      </c>
      <c r="T317" s="16" t="s">
        <v>127</v>
      </c>
      <c r="U317" s="16" t="s">
        <v>132</v>
      </c>
      <c r="V317" s="16" t="s">
        <v>138</v>
      </c>
      <c r="W317" s="16" t="s">
        <v>166</v>
      </c>
      <c r="X317" s="16" t="s">
        <v>748</v>
      </c>
    </row>
    <row r="318" customFormat="false" ht="15" hidden="false" customHeight="false" outlineLevel="0" collapsed="false">
      <c r="A318" s="7" t="s">
        <v>749</v>
      </c>
      <c r="B318" s="7" t="s">
        <v>165</v>
      </c>
      <c r="C318" s="16" t="s">
        <v>31</v>
      </c>
      <c r="D318" s="16" t="s">
        <v>37</v>
      </c>
      <c r="E318" s="16" t="s">
        <v>43</v>
      </c>
      <c r="F318" s="16" t="s">
        <v>49</v>
      </c>
      <c r="G318" s="16" t="s">
        <v>49</v>
      </c>
      <c r="H318" s="16" t="s">
        <v>59</v>
      </c>
      <c r="I318" s="16" t="s">
        <v>65</v>
      </c>
      <c r="J318" s="16" t="s">
        <v>70</v>
      </c>
      <c r="K318" s="16" t="s">
        <v>73</v>
      </c>
      <c r="L318" s="16" t="s">
        <v>81</v>
      </c>
      <c r="M318" s="16" t="s">
        <v>85</v>
      </c>
      <c r="N318" s="16" t="s">
        <v>92</v>
      </c>
      <c r="O318" s="16" t="s">
        <v>99</v>
      </c>
      <c r="P318" s="16" t="s">
        <v>106</v>
      </c>
      <c r="Q318" s="16" t="s">
        <v>109</v>
      </c>
      <c r="R318" s="16" t="s">
        <v>115</v>
      </c>
      <c r="S318" s="16" t="s">
        <v>122</v>
      </c>
      <c r="T318" s="16" t="s">
        <v>127</v>
      </c>
      <c r="U318" s="16" t="s">
        <v>133</v>
      </c>
      <c r="V318" s="16" t="s">
        <v>138</v>
      </c>
      <c r="W318" s="16" t="s">
        <v>166</v>
      </c>
      <c r="X318" s="16" t="s">
        <v>750</v>
      </c>
    </row>
    <row r="319" customFormat="false" ht="15" hidden="false" customHeight="false" outlineLevel="0" collapsed="false">
      <c r="A319" s="7" t="s">
        <v>751</v>
      </c>
      <c r="B319" s="7" t="s">
        <v>165</v>
      </c>
      <c r="C319" s="16" t="s">
        <v>31</v>
      </c>
      <c r="D319" s="16" t="s">
        <v>37</v>
      </c>
      <c r="E319" s="16" t="s">
        <v>43</v>
      </c>
      <c r="F319" s="16" t="s">
        <v>49</v>
      </c>
      <c r="G319" s="16" t="s">
        <v>49</v>
      </c>
      <c r="H319" s="16" t="s">
        <v>59</v>
      </c>
      <c r="I319" s="16" t="s">
        <v>65</v>
      </c>
      <c r="J319" s="16" t="s">
        <v>70</v>
      </c>
      <c r="K319" s="16" t="s">
        <v>74</v>
      </c>
      <c r="L319" s="16" t="s">
        <v>82</v>
      </c>
      <c r="M319" s="16" t="s">
        <v>85</v>
      </c>
      <c r="N319" s="16" t="s">
        <v>92</v>
      </c>
      <c r="O319" s="16" t="s">
        <v>97</v>
      </c>
      <c r="P319" s="16" t="s">
        <v>103</v>
      </c>
      <c r="Q319" s="16" t="s">
        <v>109</v>
      </c>
      <c r="R319" s="16" t="s">
        <v>115</v>
      </c>
      <c r="S319" s="16" t="s">
        <v>122</v>
      </c>
      <c r="T319" s="16" t="s">
        <v>127</v>
      </c>
      <c r="U319" s="16" t="s">
        <v>132</v>
      </c>
      <c r="V319" s="16" t="s">
        <v>138</v>
      </c>
      <c r="W319" s="16" t="s">
        <v>166</v>
      </c>
      <c r="X319" s="16" t="s">
        <v>752</v>
      </c>
    </row>
    <row r="320" customFormat="false" ht="15" hidden="false" customHeight="false" outlineLevel="0" collapsed="false">
      <c r="A320" s="7" t="s">
        <v>753</v>
      </c>
      <c r="B320" s="7" t="s">
        <v>206</v>
      </c>
      <c r="C320" s="16" t="s">
        <v>32</v>
      </c>
      <c r="D320" s="16" t="s">
        <v>37</v>
      </c>
      <c r="E320" s="16" t="s">
        <v>44</v>
      </c>
      <c r="F320" s="16" t="s">
        <v>49</v>
      </c>
      <c r="G320" s="16" t="s">
        <v>49</v>
      </c>
      <c r="H320" s="16" t="s">
        <v>59</v>
      </c>
      <c r="I320" s="16" t="s">
        <v>65</v>
      </c>
      <c r="J320" s="16" t="s">
        <v>71</v>
      </c>
      <c r="K320" s="16" t="s">
        <v>77</v>
      </c>
      <c r="L320" s="16" t="s">
        <v>82</v>
      </c>
      <c r="M320" s="16" t="s">
        <v>88</v>
      </c>
      <c r="N320" s="16" t="s">
        <v>91</v>
      </c>
      <c r="O320" s="16" t="s">
        <v>99</v>
      </c>
      <c r="P320" s="16" t="s">
        <v>106</v>
      </c>
      <c r="Q320" s="16" t="s">
        <v>109</v>
      </c>
      <c r="R320" s="16" t="s">
        <v>116</v>
      </c>
      <c r="S320" s="16" t="s">
        <v>123</v>
      </c>
      <c r="T320" s="16" t="s">
        <v>128</v>
      </c>
      <c r="U320" s="16" t="s">
        <v>134</v>
      </c>
      <c r="V320" s="16" t="s">
        <v>139</v>
      </c>
      <c r="W320" s="16" t="s">
        <v>166</v>
      </c>
      <c r="X320" s="16" t="s">
        <v>754</v>
      </c>
    </row>
    <row r="321" customFormat="false" ht="15" hidden="false" customHeight="false" outlineLevel="0" collapsed="false">
      <c r="A321" s="7" t="s">
        <v>755</v>
      </c>
      <c r="B321" s="7" t="s">
        <v>165</v>
      </c>
      <c r="C321" s="16" t="s">
        <v>31</v>
      </c>
      <c r="D321" s="16" t="s">
        <v>37</v>
      </c>
      <c r="E321" s="16" t="s">
        <v>43</v>
      </c>
      <c r="F321" s="16" t="s">
        <v>49</v>
      </c>
      <c r="G321" s="16" t="s">
        <v>49</v>
      </c>
      <c r="H321" s="16" t="s">
        <v>59</v>
      </c>
      <c r="I321" s="16" t="s">
        <v>65</v>
      </c>
      <c r="J321" s="16" t="s">
        <v>71</v>
      </c>
      <c r="K321" s="16" t="s">
        <v>74</v>
      </c>
      <c r="L321" s="16" t="s">
        <v>80</v>
      </c>
      <c r="M321" s="16" t="s">
        <v>87</v>
      </c>
      <c r="N321" s="16" t="s">
        <v>91</v>
      </c>
      <c r="O321" s="16" t="s">
        <v>98</v>
      </c>
      <c r="P321" s="16" t="s">
        <v>105</v>
      </c>
      <c r="Q321" s="16" t="s">
        <v>110</v>
      </c>
      <c r="R321" s="16" t="s">
        <v>118</v>
      </c>
      <c r="S321" s="16" t="s">
        <v>122</v>
      </c>
      <c r="T321" s="16" t="s">
        <v>129</v>
      </c>
      <c r="U321" s="16" t="s">
        <v>132</v>
      </c>
      <c r="V321" s="16" t="s">
        <v>138</v>
      </c>
      <c r="W321" s="16" t="s">
        <v>166</v>
      </c>
      <c r="X321" s="16" t="s">
        <v>756</v>
      </c>
    </row>
    <row r="322" customFormat="false" ht="15" hidden="false" customHeight="false" outlineLevel="0" collapsed="false">
      <c r="A322" s="7" t="s">
        <v>757</v>
      </c>
      <c r="B322" s="7" t="s">
        <v>206</v>
      </c>
      <c r="C322" s="16" t="s">
        <v>32</v>
      </c>
      <c r="D322" s="16" t="s">
        <v>37</v>
      </c>
      <c r="E322" s="16" t="s">
        <v>45</v>
      </c>
      <c r="F322" s="16" t="s">
        <v>49</v>
      </c>
      <c r="G322" s="16" t="s">
        <v>49</v>
      </c>
      <c r="H322" s="16" t="s">
        <v>59</v>
      </c>
      <c r="I322" s="16" t="s">
        <v>65</v>
      </c>
      <c r="J322" s="16" t="s">
        <v>70</v>
      </c>
      <c r="K322" s="16" t="s">
        <v>76</v>
      </c>
      <c r="L322" s="16" t="s">
        <v>83</v>
      </c>
      <c r="M322" s="16" t="s">
        <v>85</v>
      </c>
      <c r="N322" s="16" t="s">
        <v>92</v>
      </c>
      <c r="O322" s="16" t="s">
        <v>100</v>
      </c>
      <c r="P322" s="16" t="s">
        <v>105</v>
      </c>
      <c r="Q322" s="16" t="s">
        <v>109</v>
      </c>
      <c r="R322" s="16" t="s">
        <v>118</v>
      </c>
      <c r="S322" s="16" t="s">
        <v>123</v>
      </c>
      <c r="T322" s="16" t="s">
        <v>127</v>
      </c>
      <c r="U322" s="16" t="s">
        <v>132</v>
      </c>
      <c r="V322" s="16" t="s">
        <v>138</v>
      </c>
      <c r="W322" s="16" t="s">
        <v>166</v>
      </c>
      <c r="X322" s="16" t="s">
        <v>189</v>
      </c>
    </row>
    <row r="323" customFormat="false" ht="15" hidden="false" customHeight="false" outlineLevel="0" collapsed="false">
      <c r="A323" s="7" t="s">
        <v>758</v>
      </c>
      <c r="B323" s="7" t="s">
        <v>165</v>
      </c>
      <c r="C323" s="16" t="s">
        <v>31</v>
      </c>
      <c r="D323" s="16" t="s">
        <v>37</v>
      </c>
      <c r="E323" s="16" t="s">
        <v>44</v>
      </c>
      <c r="F323" s="16" t="s">
        <v>49</v>
      </c>
      <c r="G323" s="16" t="s">
        <v>49</v>
      </c>
      <c r="H323" s="16" t="s">
        <v>59</v>
      </c>
      <c r="I323" s="16" t="s">
        <v>66</v>
      </c>
      <c r="J323" s="16" t="s">
        <v>70</v>
      </c>
      <c r="K323" s="16" t="s">
        <v>75</v>
      </c>
      <c r="L323" s="16" t="s">
        <v>81</v>
      </c>
      <c r="M323" s="16" t="s">
        <v>86</v>
      </c>
      <c r="N323" s="16" t="s">
        <v>92</v>
      </c>
      <c r="O323" s="16" t="s">
        <v>100</v>
      </c>
      <c r="P323" s="16" t="s">
        <v>103</v>
      </c>
      <c r="Q323" s="16" t="s">
        <v>110</v>
      </c>
      <c r="R323" s="16" t="s">
        <v>116</v>
      </c>
      <c r="S323" s="16" t="s">
        <v>121</v>
      </c>
      <c r="T323" s="16" t="s">
        <v>122</v>
      </c>
      <c r="U323" s="16" t="s">
        <v>133</v>
      </c>
      <c r="V323" s="16" t="s">
        <v>138</v>
      </c>
      <c r="W323" s="16" t="s">
        <v>166</v>
      </c>
      <c r="X323" s="16" t="s">
        <v>759</v>
      </c>
    </row>
    <row r="324" customFormat="false" ht="15" hidden="false" customHeight="false" outlineLevel="0" collapsed="false">
      <c r="A324" s="7" t="s">
        <v>760</v>
      </c>
      <c r="B324" s="7" t="s">
        <v>206</v>
      </c>
      <c r="C324" s="16" t="s">
        <v>32</v>
      </c>
      <c r="D324" s="16" t="s">
        <v>37</v>
      </c>
      <c r="E324" s="16" t="s">
        <v>47</v>
      </c>
      <c r="F324" s="16" t="s">
        <v>49</v>
      </c>
      <c r="G324" s="16" t="s">
        <v>56</v>
      </c>
      <c r="H324" s="16" t="s">
        <v>59</v>
      </c>
      <c r="I324" s="16" t="s">
        <v>65</v>
      </c>
      <c r="J324" s="16" t="s">
        <v>70</v>
      </c>
      <c r="K324" s="16" t="s">
        <v>76</v>
      </c>
      <c r="L324" s="16" t="s">
        <v>81</v>
      </c>
      <c r="M324" s="16" t="s">
        <v>85</v>
      </c>
      <c r="N324" s="16" t="s">
        <v>91</v>
      </c>
      <c r="O324" s="16" t="s">
        <v>97</v>
      </c>
      <c r="P324" s="16" t="s">
        <v>105</v>
      </c>
      <c r="Q324" s="16" t="s">
        <v>109</v>
      </c>
      <c r="R324" s="16" t="s">
        <v>116</v>
      </c>
      <c r="S324" s="16" t="s">
        <v>124</v>
      </c>
      <c r="T324" s="16" t="s">
        <v>127</v>
      </c>
      <c r="U324" s="16" t="s">
        <v>136</v>
      </c>
      <c r="V324" s="16" t="s">
        <v>141</v>
      </c>
      <c r="W324" s="16" t="s">
        <v>166</v>
      </c>
      <c r="X324" s="16" t="s">
        <v>761</v>
      </c>
    </row>
    <row r="325" customFormat="false" ht="15" hidden="false" customHeight="false" outlineLevel="0" collapsed="false">
      <c r="A325" s="7" t="s">
        <v>762</v>
      </c>
      <c r="B325" s="7" t="s">
        <v>165</v>
      </c>
      <c r="C325" s="16" t="s">
        <v>31</v>
      </c>
      <c r="D325" s="16" t="s">
        <v>37</v>
      </c>
      <c r="E325" s="16" t="s">
        <v>43</v>
      </c>
      <c r="F325" s="16" t="s">
        <v>49</v>
      </c>
      <c r="G325" s="16" t="s">
        <v>49</v>
      </c>
      <c r="H325" s="16" t="s">
        <v>59</v>
      </c>
      <c r="I325" s="16" t="s">
        <v>65</v>
      </c>
      <c r="J325" s="16" t="s">
        <v>70</v>
      </c>
      <c r="K325" s="16" t="s">
        <v>73</v>
      </c>
      <c r="L325" s="16" t="s">
        <v>80</v>
      </c>
      <c r="M325" s="16" t="s">
        <v>85</v>
      </c>
      <c r="N325" s="16" t="s">
        <v>91</v>
      </c>
      <c r="O325" s="16" t="s">
        <v>99</v>
      </c>
      <c r="P325" s="16" t="s">
        <v>103</v>
      </c>
      <c r="Q325" s="16" t="s">
        <v>109</v>
      </c>
      <c r="R325" s="16" t="s">
        <v>115</v>
      </c>
      <c r="S325" s="16" t="s">
        <v>122</v>
      </c>
      <c r="T325" s="16" t="s">
        <v>127</v>
      </c>
      <c r="U325" s="16" t="s">
        <v>132</v>
      </c>
      <c r="V325" s="16" t="s">
        <v>138</v>
      </c>
      <c r="W325" s="16" t="s">
        <v>166</v>
      </c>
      <c r="X325" s="16" t="s">
        <v>392</v>
      </c>
    </row>
    <row r="326" customFormat="false" ht="15" hidden="false" customHeight="false" outlineLevel="0" collapsed="false">
      <c r="A326" s="7" t="s">
        <v>763</v>
      </c>
      <c r="B326" s="7" t="s">
        <v>165</v>
      </c>
      <c r="C326" s="16" t="s">
        <v>32</v>
      </c>
      <c r="D326" s="16" t="s">
        <v>37</v>
      </c>
      <c r="E326" s="16" t="s">
        <v>45</v>
      </c>
      <c r="F326" s="16" t="s">
        <v>49</v>
      </c>
      <c r="G326" s="16" t="s">
        <v>49</v>
      </c>
      <c r="H326" s="16" t="s">
        <v>59</v>
      </c>
      <c r="I326" s="16" t="s">
        <v>65</v>
      </c>
      <c r="J326" s="16" t="s">
        <v>61</v>
      </c>
      <c r="K326" s="16" t="s">
        <v>75</v>
      </c>
      <c r="L326" s="16" t="s">
        <v>81</v>
      </c>
      <c r="M326" s="16" t="s">
        <v>85</v>
      </c>
      <c r="N326" s="16" t="s">
        <v>91</v>
      </c>
      <c r="O326" s="16" t="s">
        <v>99</v>
      </c>
      <c r="P326" s="16" t="s">
        <v>106</v>
      </c>
      <c r="Q326" s="16" t="s">
        <v>109</v>
      </c>
      <c r="R326" s="16" t="s">
        <v>115</v>
      </c>
      <c r="S326" s="16" t="s">
        <v>121</v>
      </c>
      <c r="T326" s="16" t="s">
        <v>122</v>
      </c>
      <c r="U326" s="16" t="s">
        <v>132</v>
      </c>
      <c r="V326" s="16" t="s">
        <v>138</v>
      </c>
      <c r="W326" s="16" t="s">
        <v>166</v>
      </c>
      <c r="X326" s="16" t="s">
        <v>764</v>
      </c>
    </row>
    <row r="327" customFormat="false" ht="15" hidden="false" customHeight="false" outlineLevel="0" collapsed="false">
      <c r="A327" s="7" t="s">
        <v>765</v>
      </c>
      <c r="B327" s="7" t="s">
        <v>165</v>
      </c>
      <c r="C327" s="16" t="s">
        <v>32</v>
      </c>
      <c r="D327" s="16" t="s">
        <v>37</v>
      </c>
      <c r="E327" s="16" t="s">
        <v>45</v>
      </c>
      <c r="F327" s="16" t="s">
        <v>49</v>
      </c>
      <c r="G327" s="16" t="s">
        <v>49</v>
      </c>
      <c r="H327" s="16" t="s">
        <v>59</v>
      </c>
      <c r="I327" s="16" t="s">
        <v>65</v>
      </c>
      <c r="J327" s="16" t="s">
        <v>70</v>
      </c>
      <c r="K327" s="16" t="s">
        <v>75</v>
      </c>
      <c r="L327" s="16" t="s">
        <v>81</v>
      </c>
      <c r="M327" s="16" t="s">
        <v>86</v>
      </c>
      <c r="N327" s="16" t="s">
        <v>91</v>
      </c>
      <c r="O327" s="16" t="s">
        <v>99</v>
      </c>
      <c r="P327" s="16" t="s">
        <v>103</v>
      </c>
      <c r="Q327" s="16" t="s">
        <v>109</v>
      </c>
      <c r="R327" s="16" t="s">
        <v>115</v>
      </c>
      <c r="S327" s="16" t="s">
        <v>121</v>
      </c>
      <c r="T327" s="16" t="s">
        <v>122</v>
      </c>
      <c r="U327" s="16" t="s">
        <v>133</v>
      </c>
      <c r="V327" s="16" t="s">
        <v>138</v>
      </c>
      <c r="W327" s="16" t="s">
        <v>166</v>
      </c>
      <c r="X327" s="16" t="s">
        <v>191</v>
      </c>
    </row>
    <row r="328" customFormat="false" ht="15" hidden="false" customHeight="false" outlineLevel="0" collapsed="false">
      <c r="A328" s="7" t="s">
        <v>766</v>
      </c>
      <c r="B328" s="7" t="s">
        <v>206</v>
      </c>
      <c r="C328" s="16" t="s">
        <v>32</v>
      </c>
      <c r="D328" s="16" t="s">
        <v>37</v>
      </c>
      <c r="E328" s="16" t="s">
        <v>45</v>
      </c>
      <c r="F328" s="16" t="s">
        <v>49</v>
      </c>
      <c r="G328" s="16" t="s">
        <v>49</v>
      </c>
      <c r="H328" s="16" t="s">
        <v>59</v>
      </c>
      <c r="I328" s="16" t="s">
        <v>65</v>
      </c>
      <c r="J328" s="16" t="s">
        <v>62</v>
      </c>
      <c r="K328" s="16" t="s">
        <v>76</v>
      </c>
      <c r="L328" s="16" t="s">
        <v>80</v>
      </c>
      <c r="M328" s="16" t="s">
        <v>87</v>
      </c>
      <c r="N328" s="16" t="s">
        <v>91</v>
      </c>
      <c r="O328" s="16" t="s">
        <v>99</v>
      </c>
      <c r="P328" s="16" t="s">
        <v>105</v>
      </c>
      <c r="Q328" s="16" t="s">
        <v>109</v>
      </c>
      <c r="R328" s="16" t="s">
        <v>117</v>
      </c>
      <c r="S328" s="16" t="s">
        <v>122</v>
      </c>
      <c r="T328" s="16" t="s">
        <v>127</v>
      </c>
      <c r="U328" s="16" t="s">
        <v>134</v>
      </c>
      <c r="V328" s="16" t="s">
        <v>138</v>
      </c>
      <c r="W328" s="16" t="s">
        <v>166</v>
      </c>
      <c r="X328" s="16" t="s">
        <v>509</v>
      </c>
    </row>
    <row r="329" customFormat="false" ht="15" hidden="false" customHeight="false" outlineLevel="0" collapsed="false">
      <c r="A329" s="7" t="s">
        <v>767</v>
      </c>
      <c r="B329" s="7" t="s">
        <v>165</v>
      </c>
      <c r="C329" s="16" t="s">
        <v>31</v>
      </c>
      <c r="D329" s="16" t="s">
        <v>37</v>
      </c>
      <c r="E329" s="16" t="s">
        <v>43</v>
      </c>
      <c r="F329" s="16" t="s">
        <v>49</v>
      </c>
      <c r="G329" s="16" t="s">
        <v>49</v>
      </c>
      <c r="H329" s="16" t="s">
        <v>59</v>
      </c>
      <c r="I329" s="16" t="s">
        <v>66</v>
      </c>
      <c r="J329" s="16" t="s">
        <v>70</v>
      </c>
      <c r="K329" s="16" t="s">
        <v>73</v>
      </c>
      <c r="L329" s="16" t="s">
        <v>81</v>
      </c>
      <c r="M329" s="16" t="s">
        <v>85</v>
      </c>
      <c r="N329" s="16" t="s">
        <v>91</v>
      </c>
      <c r="O329" s="16" t="s">
        <v>99</v>
      </c>
      <c r="P329" s="16" t="s">
        <v>105</v>
      </c>
      <c r="Q329" s="16" t="s">
        <v>109</v>
      </c>
      <c r="R329" s="16" t="s">
        <v>115</v>
      </c>
      <c r="S329" s="16" t="s">
        <v>121</v>
      </c>
      <c r="T329" s="16" t="s">
        <v>122</v>
      </c>
      <c r="U329" s="16" t="s">
        <v>132</v>
      </c>
      <c r="V329" s="16" t="s">
        <v>139</v>
      </c>
      <c r="W329" s="16" t="s">
        <v>166</v>
      </c>
      <c r="X329" s="16" t="s">
        <v>768</v>
      </c>
    </row>
    <row r="330" customFormat="false" ht="15" hidden="false" customHeight="false" outlineLevel="0" collapsed="false">
      <c r="A330" s="7" t="s">
        <v>769</v>
      </c>
      <c r="B330" s="7" t="s">
        <v>165</v>
      </c>
      <c r="C330" s="16" t="s">
        <v>31</v>
      </c>
      <c r="D330" s="16" t="s">
        <v>37</v>
      </c>
      <c r="E330" s="16" t="s">
        <v>43</v>
      </c>
      <c r="F330" s="16" t="s">
        <v>49</v>
      </c>
      <c r="G330" s="16" t="s">
        <v>49</v>
      </c>
      <c r="H330" s="16" t="s">
        <v>59</v>
      </c>
      <c r="I330" s="16" t="s">
        <v>65</v>
      </c>
      <c r="J330" s="16" t="s">
        <v>70</v>
      </c>
      <c r="K330" s="16" t="s">
        <v>74</v>
      </c>
      <c r="L330" s="16" t="s">
        <v>80</v>
      </c>
      <c r="M330" s="16" t="s">
        <v>86</v>
      </c>
      <c r="N330" s="16" t="s">
        <v>91</v>
      </c>
      <c r="O330" s="16" t="s">
        <v>101</v>
      </c>
      <c r="P330" s="16" t="s">
        <v>105</v>
      </c>
      <c r="Q330" s="16" t="s">
        <v>109</v>
      </c>
      <c r="R330" s="16" t="s">
        <v>116</v>
      </c>
      <c r="S330" s="16" t="s">
        <v>123</v>
      </c>
      <c r="T330" s="16" t="s">
        <v>122</v>
      </c>
      <c r="U330" s="16" t="s">
        <v>132</v>
      </c>
      <c r="V330" s="16" t="s">
        <v>138</v>
      </c>
      <c r="W330" s="16" t="s">
        <v>166</v>
      </c>
      <c r="X330" s="16" t="s">
        <v>567</v>
      </c>
    </row>
    <row r="331" customFormat="false" ht="15" hidden="false" customHeight="false" outlineLevel="0" collapsed="false">
      <c r="A331" s="7" t="s">
        <v>770</v>
      </c>
      <c r="B331" s="7" t="s">
        <v>165</v>
      </c>
      <c r="C331" s="16" t="s">
        <v>32</v>
      </c>
      <c r="D331" s="16" t="s">
        <v>37</v>
      </c>
      <c r="E331" s="16" t="s">
        <v>43</v>
      </c>
      <c r="F331" s="16" t="s">
        <v>50</v>
      </c>
      <c r="G331" s="16" t="s">
        <v>49</v>
      </c>
      <c r="H331" s="16" t="s">
        <v>59</v>
      </c>
      <c r="I331" s="16" t="s">
        <v>65</v>
      </c>
      <c r="J331" s="16" t="s">
        <v>70</v>
      </c>
      <c r="K331" s="16" t="s">
        <v>74</v>
      </c>
      <c r="L331" s="16" t="s">
        <v>80</v>
      </c>
      <c r="M331" s="16" t="s">
        <v>87</v>
      </c>
      <c r="N331" s="16" t="s">
        <v>91</v>
      </c>
      <c r="O331" s="16" t="s">
        <v>100</v>
      </c>
      <c r="P331" s="16" t="s">
        <v>106</v>
      </c>
      <c r="Q331" s="16" t="s">
        <v>113</v>
      </c>
      <c r="R331" s="16" t="s">
        <v>116</v>
      </c>
      <c r="S331" s="16" t="s">
        <v>122</v>
      </c>
      <c r="T331" s="16" t="s">
        <v>127</v>
      </c>
      <c r="U331" s="16" t="s">
        <v>135</v>
      </c>
      <c r="V331" s="16" t="s">
        <v>138</v>
      </c>
      <c r="W331" s="16" t="s">
        <v>166</v>
      </c>
      <c r="X331" s="16" t="s">
        <v>771</v>
      </c>
    </row>
    <row r="332" customFormat="false" ht="15" hidden="false" customHeight="false" outlineLevel="0" collapsed="false">
      <c r="A332" s="7" t="s">
        <v>772</v>
      </c>
      <c r="B332" s="7" t="s">
        <v>165</v>
      </c>
      <c r="C332" s="16" t="s">
        <v>31</v>
      </c>
      <c r="D332" s="16" t="s">
        <v>37</v>
      </c>
      <c r="E332" s="16" t="s">
        <v>45</v>
      </c>
      <c r="F332" s="16" t="s">
        <v>49</v>
      </c>
      <c r="G332" s="16" t="s">
        <v>49</v>
      </c>
      <c r="H332" s="16" t="s">
        <v>59</v>
      </c>
      <c r="I332" s="16" t="s">
        <v>65</v>
      </c>
      <c r="J332" s="16" t="s">
        <v>70</v>
      </c>
      <c r="K332" s="16" t="s">
        <v>73</v>
      </c>
      <c r="L332" s="16" t="s">
        <v>80</v>
      </c>
      <c r="M332" s="16" t="s">
        <v>87</v>
      </c>
      <c r="N332" s="16" t="s">
        <v>92</v>
      </c>
      <c r="O332" s="16" t="s">
        <v>100</v>
      </c>
      <c r="P332" s="16" t="s">
        <v>103</v>
      </c>
      <c r="Q332" s="16" t="s">
        <v>110</v>
      </c>
      <c r="R332" s="16" t="s">
        <v>115</v>
      </c>
      <c r="S332" s="16" t="s">
        <v>122</v>
      </c>
      <c r="T332" s="16" t="s">
        <v>127</v>
      </c>
      <c r="U332" s="16" t="s">
        <v>132</v>
      </c>
      <c r="V332" s="16" t="s">
        <v>138</v>
      </c>
      <c r="W332" s="16" t="s">
        <v>166</v>
      </c>
      <c r="X332" s="16" t="s">
        <v>773</v>
      </c>
    </row>
    <row r="333" customFormat="false" ht="15" hidden="false" customHeight="false" outlineLevel="0" collapsed="false">
      <c r="A333" s="7" t="s">
        <v>774</v>
      </c>
      <c r="B333" s="7" t="s">
        <v>206</v>
      </c>
      <c r="C333" s="16" t="s">
        <v>32</v>
      </c>
      <c r="D333" s="16" t="s">
        <v>37</v>
      </c>
      <c r="E333" s="16" t="s">
        <v>46</v>
      </c>
      <c r="F333" s="16" t="s">
        <v>49</v>
      </c>
      <c r="G333" s="16" t="s">
        <v>49</v>
      </c>
      <c r="H333" s="16" t="s">
        <v>59</v>
      </c>
      <c r="I333" s="16" t="s">
        <v>65</v>
      </c>
      <c r="J333" s="16" t="s">
        <v>71</v>
      </c>
      <c r="K333" s="16" t="s">
        <v>76</v>
      </c>
      <c r="L333" s="16" t="s">
        <v>82</v>
      </c>
      <c r="M333" s="16" t="s">
        <v>86</v>
      </c>
      <c r="N333" s="16" t="s">
        <v>91</v>
      </c>
      <c r="O333" s="16" t="s">
        <v>99</v>
      </c>
      <c r="P333" s="16" t="s">
        <v>105</v>
      </c>
      <c r="Q333" s="16" t="s">
        <v>112</v>
      </c>
      <c r="R333" s="16" t="s">
        <v>115</v>
      </c>
      <c r="S333" s="16" t="s">
        <v>123</v>
      </c>
      <c r="T333" s="16" t="s">
        <v>129</v>
      </c>
      <c r="U333" s="16" t="s">
        <v>133</v>
      </c>
      <c r="V333" s="16" t="s">
        <v>138</v>
      </c>
      <c r="W333" s="16" t="s">
        <v>166</v>
      </c>
      <c r="X333" s="16" t="s">
        <v>380</v>
      </c>
    </row>
    <row r="334" customFormat="false" ht="15" hidden="false" customHeight="false" outlineLevel="0" collapsed="false">
      <c r="A334" s="7" t="s">
        <v>775</v>
      </c>
      <c r="B334" s="7" t="s">
        <v>206</v>
      </c>
      <c r="C334" s="16" t="s">
        <v>32</v>
      </c>
      <c r="D334" s="16" t="s">
        <v>37</v>
      </c>
      <c r="E334" s="16" t="s">
        <v>45</v>
      </c>
      <c r="F334" s="16" t="s">
        <v>49</v>
      </c>
      <c r="G334" s="16" t="s">
        <v>55</v>
      </c>
      <c r="H334" s="16" t="s">
        <v>59</v>
      </c>
      <c r="I334" s="16" t="s">
        <v>65</v>
      </c>
      <c r="J334" s="16" t="s">
        <v>61</v>
      </c>
      <c r="K334" s="16" t="s">
        <v>76</v>
      </c>
      <c r="L334" s="16" t="s">
        <v>81</v>
      </c>
      <c r="M334" s="16" t="s">
        <v>86</v>
      </c>
      <c r="N334" s="16" t="s">
        <v>91</v>
      </c>
      <c r="O334" s="16" t="s">
        <v>100</v>
      </c>
      <c r="P334" s="16" t="s">
        <v>106</v>
      </c>
      <c r="Q334" s="16" t="s">
        <v>109</v>
      </c>
      <c r="R334" s="16" t="s">
        <v>116</v>
      </c>
      <c r="S334" s="16" t="s">
        <v>125</v>
      </c>
      <c r="T334" s="16" t="s">
        <v>128</v>
      </c>
      <c r="U334" s="16" t="s">
        <v>133</v>
      </c>
      <c r="V334" s="16" t="s">
        <v>139</v>
      </c>
      <c r="W334" s="16" t="s">
        <v>166</v>
      </c>
      <c r="X334" s="16" t="s">
        <v>776</v>
      </c>
    </row>
    <row r="335" customFormat="false" ht="15" hidden="false" customHeight="false" outlineLevel="0" collapsed="false">
      <c r="A335" s="7" t="s">
        <v>777</v>
      </c>
      <c r="B335" s="7" t="s">
        <v>206</v>
      </c>
      <c r="C335" s="16" t="s">
        <v>32</v>
      </c>
      <c r="D335" s="16" t="s">
        <v>37</v>
      </c>
      <c r="E335" s="16" t="s">
        <v>46</v>
      </c>
      <c r="F335" s="16" t="s">
        <v>49</v>
      </c>
      <c r="G335" s="16" t="s">
        <v>49</v>
      </c>
      <c r="H335" s="16" t="s">
        <v>59</v>
      </c>
      <c r="I335" s="16" t="s">
        <v>65</v>
      </c>
      <c r="J335" s="16" t="s">
        <v>70</v>
      </c>
      <c r="K335" s="16" t="s">
        <v>77</v>
      </c>
      <c r="L335" s="16" t="s">
        <v>81</v>
      </c>
      <c r="M335" s="16" t="s">
        <v>88</v>
      </c>
      <c r="N335" s="16" t="s">
        <v>91</v>
      </c>
      <c r="O335" s="16" t="s">
        <v>100</v>
      </c>
      <c r="P335" s="16" t="s">
        <v>105</v>
      </c>
      <c r="Q335" s="16" t="s">
        <v>112</v>
      </c>
      <c r="R335" s="16" t="s">
        <v>117</v>
      </c>
      <c r="S335" s="16" t="s">
        <v>123</v>
      </c>
      <c r="T335" s="16" t="s">
        <v>127</v>
      </c>
      <c r="U335" s="16" t="s">
        <v>132</v>
      </c>
      <c r="V335" s="16" t="s">
        <v>138</v>
      </c>
      <c r="W335" s="16" t="s">
        <v>166</v>
      </c>
      <c r="X335" s="16" t="s">
        <v>778</v>
      </c>
    </row>
    <row r="336" customFormat="false" ht="15" hidden="false" customHeight="false" outlineLevel="0" collapsed="false">
      <c r="A336" s="7" t="s">
        <v>779</v>
      </c>
      <c r="B336" s="7" t="s">
        <v>165</v>
      </c>
      <c r="C336" s="16" t="s">
        <v>31</v>
      </c>
      <c r="D336" s="16" t="s">
        <v>37</v>
      </c>
      <c r="E336" s="16" t="s">
        <v>44</v>
      </c>
      <c r="F336" s="16" t="s">
        <v>49</v>
      </c>
      <c r="G336" s="16" t="s">
        <v>49</v>
      </c>
      <c r="H336" s="16" t="s">
        <v>59</v>
      </c>
      <c r="I336" s="16" t="s">
        <v>66</v>
      </c>
      <c r="J336" s="16" t="s">
        <v>70</v>
      </c>
      <c r="K336" s="16" t="s">
        <v>74</v>
      </c>
      <c r="L336" s="16" t="s">
        <v>80</v>
      </c>
      <c r="M336" s="16" t="s">
        <v>85</v>
      </c>
      <c r="N336" s="16" t="s">
        <v>91</v>
      </c>
      <c r="O336" s="16" t="s">
        <v>97</v>
      </c>
      <c r="P336" s="16" t="s">
        <v>105</v>
      </c>
      <c r="Q336" s="16" t="s">
        <v>111</v>
      </c>
      <c r="R336" s="16" t="s">
        <v>115</v>
      </c>
      <c r="S336" s="16" t="s">
        <v>124</v>
      </c>
      <c r="T336" s="16" t="s">
        <v>122</v>
      </c>
      <c r="U336" s="16" t="s">
        <v>132</v>
      </c>
      <c r="V336" s="16" t="s">
        <v>138</v>
      </c>
      <c r="W336" s="16" t="s">
        <v>166</v>
      </c>
      <c r="X336" s="16" t="s">
        <v>780</v>
      </c>
    </row>
    <row r="337" customFormat="false" ht="15" hidden="false" customHeight="false" outlineLevel="0" collapsed="false">
      <c r="A337" s="7" t="s">
        <v>781</v>
      </c>
      <c r="B337" s="7" t="s">
        <v>206</v>
      </c>
      <c r="C337" s="16" t="s">
        <v>32</v>
      </c>
      <c r="D337" s="16" t="s">
        <v>37</v>
      </c>
      <c r="E337" s="16" t="s">
        <v>45</v>
      </c>
      <c r="F337" s="16" t="s">
        <v>49</v>
      </c>
      <c r="G337" s="16" t="s">
        <v>54</v>
      </c>
      <c r="H337" s="16" t="s">
        <v>59</v>
      </c>
      <c r="I337" s="16" t="s">
        <v>65</v>
      </c>
      <c r="J337" s="16" t="s">
        <v>70</v>
      </c>
      <c r="K337" s="16" t="s">
        <v>76</v>
      </c>
      <c r="L337" s="16" t="s">
        <v>82</v>
      </c>
      <c r="M337" s="16" t="s">
        <v>87</v>
      </c>
      <c r="N337" s="16" t="s">
        <v>91</v>
      </c>
      <c r="O337" s="16" t="s">
        <v>100</v>
      </c>
      <c r="P337" s="16" t="s">
        <v>105</v>
      </c>
      <c r="Q337" s="16" t="s">
        <v>109</v>
      </c>
      <c r="R337" s="16" t="s">
        <v>115</v>
      </c>
      <c r="S337" s="16" t="s">
        <v>124</v>
      </c>
      <c r="T337" s="16" t="s">
        <v>127</v>
      </c>
      <c r="U337" s="16" t="s">
        <v>134</v>
      </c>
      <c r="V337" s="16" t="s">
        <v>138</v>
      </c>
      <c r="W337" s="16" t="s">
        <v>166</v>
      </c>
      <c r="X337" s="16" t="s">
        <v>695</v>
      </c>
    </row>
    <row r="338" customFormat="false" ht="15" hidden="false" customHeight="false" outlineLevel="0" collapsed="false">
      <c r="A338" s="7" t="s">
        <v>782</v>
      </c>
      <c r="B338" s="7" t="s">
        <v>165</v>
      </c>
      <c r="C338" s="16" t="s">
        <v>31</v>
      </c>
      <c r="D338" s="16" t="s">
        <v>37</v>
      </c>
      <c r="E338" s="16" t="s">
        <v>43</v>
      </c>
      <c r="F338" s="16" t="s">
        <v>49</v>
      </c>
      <c r="G338" s="16" t="s">
        <v>49</v>
      </c>
      <c r="H338" s="16" t="s">
        <v>59</v>
      </c>
      <c r="I338" s="16" t="s">
        <v>66</v>
      </c>
      <c r="J338" s="16" t="s">
        <v>61</v>
      </c>
      <c r="K338" s="16" t="s">
        <v>75</v>
      </c>
      <c r="L338" s="16" t="s">
        <v>80</v>
      </c>
      <c r="M338" s="16" t="s">
        <v>88</v>
      </c>
      <c r="N338" s="16" t="s">
        <v>91</v>
      </c>
      <c r="O338" s="16" t="s">
        <v>100</v>
      </c>
      <c r="P338" s="16" t="s">
        <v>103</v>
      </c>
      <c r="Q338" s="16" t="s">
        <v>112</v>
      </c>
      <c r="R338" s="16" t="s">
        <v>115</v>
      </c>
      <c r="S338" s="16" t="s">
        <v>122</v>
      </c>
      <c r="T338" s="16" t="s">
        <v>127</v>
      </c>
      <c r="U338" s="16" t="s">
        <v>132</v>
      </c>
      <c r="V338" s="16" t="s">
        <v>138</v>
      </c>
      <c r="W338" s="16" t="s">
        <v>166</v>
      </c>
      <c r="X338" s="16" t="s">
        <v>783</v>
      </c>
    </row>
    <row r="339" customFormat="false" ht="15" hidden="false" customHeight="false" outlineLevel="0" collapsed="false">
      <c r="A339" s="7" t="s">
        <v>784</v>
      </c>
      <c r="B339" s="7" t="s">
        <v>193</v>
      </c>
      <c r="C339" s="16" t="s">
        <v>33</v>
      </c>
      <c r="D339" s="16" t="s">
        <v>38</v>
      </c>
      <c r="E339" s="16" t="s">
        <v>44</v>
      </c>
      <c r="F339" s="16" t="s">
        <v>49</v>
      </c>
      <c r="G339" s="16" t="s">
        <v>49</v>
      </c>
      <c r="H339" s="16" t="s">
        <v>59</v>
      </c>
      <c r="I339" s="16" t="s">
        <v>65</v>
      </c>
      <c r="J339" s="16" t="s">
        <v>70</v>
      </c>
      <c r="K339" s="16" t="s">
        <v>76</v>
      </c>
      <c r="L339" s="16" t="s">
        <v>80</v>
      </c>
      <c r="M339" s="16" t="s">
        <v>87</v>
      </c>
      <c r="N339" s="16" t="s">
        <v>95</v>
      </c>
      <c r="O339" s="16" t="s">
        <v>99</v>
      </c>
      <c r="P339" s="16" t="s">
        <v>105</v>
      </c>
      <c r="Q339" s="16" t="s">
        <v>111</v>
      </c>
      <c r="R339" s="16" t="s">
        <v>117</v>
      </c>
      <c r="S339" s="16" t="s">
        <v>124</v>
      </c>
      <c r="T339" s="16" t="s">
        <v>122</v>
      </c>
      <c r="U339" s="16" t="s">
        <v>132</v>
      </c>
      <c r="V339" s="16" t="s">
        <v>140</v>
      </c>
      <c r="W339" s="16" t="s">
        <v>166</v>
      </c>
      <c r="X339" s="16" t="s">
        <v>785</v>
      </c>
    </row>
    <row r="340" customFormat="false" ht="15" hidden="false" customHeight="false" outlineLevel="0" collapsed="false">
      <c r="A340" s="7" t="s">
        <v>786</v>
      </c>
      <c r="B340" s="7" t="s">
        <v>206</v>
      </c>
      <c r="C340" s="16" t="s">
        <v>32</v>
      </c>
      <c r="D340" s="16" t="s">
        <v>37</v>
      </c>
      <c r="E340" s="16" t="s">
        <v>44</v>
      </c>
      <c r="F340" s="16" t="s">
        <v>49</v>
      </c>
      <c r="G340" s="16" t="s">
        <v>49</v>
      </c>
      <c r="H340" s="16" t="s">
        <v>59</v>
      </c>
      <c r="I340" s="16" t="s">
        <v>65</v>
      </c>
      <c r="J340" s="16" t="s">
        <v>70</v>
      </c>
      <c r="K340" s="16" t="s">
        <v>76</v>
      </c>
      <c r="L340" s="16" t="s">
        <v>81</v>
      </c>
      <c r="M340" s="16" t="s">
        <v>85</v>
      </c>
      <c r="N340" s="16" t="s">
        <v>94</v>
      </c>
      <c r="O340" s="16" t="s">
        <v>99</v>
      </c>
      <c r="P340" s="16" t="s">
        <v>106</v>
      </c>
      <c r="Q340" s="16" t="s">
        <v>109</v>
      </c>
      <c r="R340" s="16" t="s">
        <v>118</v>
      </c>
      <c r="S340" s="16" t="s">
        <v>125</v>
      </c>
      <c r="T340" s="16" t="s">
        <v>127</v>
      </c>
      <c r="U340" s="16" t="s">
        <v>133</v>
      </c>
      <c r="V340" s="16" t="s">
        <v>138</v>
      </c>
      <c r="W340" s="16" t="s">
        <v>166</v>
      </c>
      <c r="X340" s="16" t="s">
        <v>620</v>
      </c>
    </row>
    <row r="341" customFormat="false" ht="15" hidden="false" customHeight="false" outlineLevel="0" collapsed="false">
      <c r="A341" s="7" t="s">
        <v>787</v>
      </c>
      <c r="B341" s="7" t="s">
        <v>165</v>
      </c>
      <c r="C341" s="16" t="s">
        <v>31</v>
      </c>
      <c r="D341" s="16" t="s">
        <v>37</v>
      </c>
      <c r="E341" s="16" t="s">
        <v>44</v>
      </c>
      <c r="F341" s="16" t="s">
        <v>49</v>
      </c>
      <c r="G341" s="16" t="s">
        <v>54</v>
      </c>
      <c r="H341" s="16" t="s">
        <v>59</v>
      </c>
      <c r="I341" s="16" t="s">
        <v>65</v>
      </c>
      <c r="J341" s="16" t="s">
        <v>70</v>
      </c>
      <c r="K341" s="16" t="s">
        <v>75</v>
      </c>
      <c r="L341" s="16" t="s">
        <v>80</v>
      </c>
      <c r="M341" s="16" t="s">
        <v>88</v>
      </c>
      <c r="N341" s="16" t="s">
        <v>93</v>
      </c>
      <c r="O341" s="16" t="s">
        <v>101</v>
      </c>
      <c r="P341" s="16" t="s">
        <v>105</v>
      </c>
      <c r="Q341" s="16" t="s">
        <v>111</v>
      </c>
      <c r="R341" s="16" t="s">
        <v>115</v>
      </c>
      <c r="S341" s="16" t="s">
        <v>123</v>
      </c>
      <c r="T341" s="16" t="s">
        <v>127</v>
      </c>
      <c r="U341" s="16" t="s">
        <v>132</v>
      </c>
      <c r="V341" s="16" t="s">
        <v>138</v>
      </c>
      <c r="W341" s="16" t="s">
        <v>166</v>
      </c>
      <c r="X341" s="16" t="s">
        <v>501</v>
      </c>
    </row>
    <row r="342" customFormat="false" ht="15" hidden="false" customHeight="false" outlineLevel="0" collapsed="false">
      <c r="A342" s="7" t="s">
        <v>788</v>
      </c>
      <c r="B342" s="7" t="s">
        <v>165</v>
      </c>
      <c r="C342" s="16" t="s">
        <v>32</v>
      </c>
      <c r="D342" s="16" t="s">
        <v>37</v>
      </c>
      <c r="E342" s="16" t="s">
        <v>43</v>
      </c>
      <c r="F342" s="16" t="s">
        <v>49</v>
      </c>
      <c r="G342" s="16" t="s">
        <v>49</v>
      </c>
      <c r="H342" s="16" t="s">
        <v>59</v>
      </c>
      <c r="I342" s="16" t="s">
        <v>65</v>
      </c>
      <c r="J342" s="16" t="s">
        <v>70</v>
      </c>
      <c r="K342" s="16" t="s">
        <v>75</v>
      </c>
      <c r="L342" s="16" t="s">
        <v>80</v>
      </c>
      <c r="M342" s="16" t="s">
        <v>85</v>
      </c>
      <c r="N342" s="16" t="s">
        <v>91</v>
      </c>
      <c r="O342" s="16" t="s">
        <v>100</v>
      </c>
      <c r="P342" s="16" t="s">
        <v>106</v>
      </c>
      <c r="Q342" s="16" t="s">
        <v>109</v>
      </c>
      <c r="R342" s="16" t="s">
        <v>115</v>
      </c>
      <c r="S342" s="16" t="s">
        <v>122</v>
      </c>
      <c r="T342" s="16" t="s">
        <v>127</v>
      </c>
      <c r="U342" s="16" t="s">
        <v>132</v>
      </c>
      <c r="V342" s="16" t="s">
        <v>138</v>
      </c>
      <c r="W342" s="16" t="s">
        <v>166</v>
      </c>
      <c r="X342" s="16" t="s">
        <v>789</v>
      </c>
    </row>
    <row r="343" customFormat="false" ht="15" hidden="false" customHeight="false" outlineLevel="0" collapsed="false">
      <c r="A343" s="7" t="s">
        <v>790</v>
      </c>
      <c r="B343" s="7" t="s">
        <v>165</v>
      </c>
      <c r="C343" s="16" t="s">
        <v>31</v>
      </c>
      <c r="D343" s="16" t="s">
        <v>37</v>
      </c>
      <c r="E343" s="16" t="s">
        <v>45</v>
      </c>
      <c r="F343" s="16" t="s">
        <v>49</v>
      </c>
      <c r="G343" s="16" t="s">
        <v>49</v>
      </c>
      <c r="H343" s="16" t="s">
        <v>59</v>
      </c>
      <c r="I343" s="16" t="s">
        <v>65</v>
      </c>
      <c r="J343" s="16" t="s">
        <v>71</v>
      </c>
      <c r="K343" s="16" t="s">
        <v>75</v>
      </c>
      <c r="L343" s="16" t="s">
        <v>81</v>
      </c>
      <c r="M343" s="16" t="s">
        <v>87</v>
      </c>
      <c r="N343" s="16" t="s">
        <v>92</v>
      </c>
      <c r="O343" s="16" t="s">
        <v>99</v>
      </c>
      <c r="P343" s="16" t="s">
        <v>105</v>
      </c>
      <c r="Q343" s="16" t="s">
        <v>111</v>
      </c>
      <c r="R343" s="16" t="s">
        <v>115</v>
      </c>
      <c r="S343" s="16" t="s">
        <v>121</v>
      </c>
      <c r="T343" s="16" t="s">
        <v>128</v>
      </c>
      <c r="U343" s="16" t="s">
        <v>133</v>
      </c>
      <c r="V343" s="16" t="s">
        <v>140</v>
      </c>
      <c r="W343" s="16" t="s">
        <v>166</v>
      </c>
      <c r="X343" s="16" t="s">
        <v>420</v>
      </c>
    </row>
    <row r="344" customFormat="false" ht="15" hidden="false" customHeight="false" outlineLevel="0" collapsed="false">
      <c r="A344" s="7" t="s">
        <v>791</v>
      </c>
      <c r="B344" s="7" t="s">
        <v>165</v>
      </c>
      <c r="C344" s="16" t="s">
        <v>31</v>
      </c>
      <c r="D344" s="16" t="s">
        <v>37</v>
      </c>
      <c r="E344" s="16" t="s">
        <v>43</v>
      </c>
      <c r="F344" s="16" t="s">
        <v>49</v>
      </c>
      <c r="G344" s="16" t="s">
        <v>49</v>
      </c>
      <c r="H344" s="16" t="s">
        <v>59</v>
      </c>
      <c r="I344" s="16" t="s">
        <v>65</v>
      </c>
      <c r="J344" s="16" t="s">
        <v>71</v>
      </c>
      <c r="K344" s="16" t="s">
        <v>73</v>
      </c>
      <c r="L344" s="16" t="s">
        <v>80</v>
      </c>
      <c r="M344" s="16" t="s">
        <v>87</v>
      </c>
      <c r="N344" s="16" t="s">
        <v>93</v>
      </c>
      <c r="O344" s="16" t="s">
        <v>100</v>
      </c>
      <c r="P344" s="16" t="s">
        <v>106</v>
      </c>
      <c r="Q344" s="16" t="s">
        <v>109</v>
      </c>
      <c r="R344" s="16" t="s">
        <v>116</v>
      </c>
      <c r="S344" s="16" t="s">
        <v>123</v>
      </c>
      <c r="T344" s="16" t="s">
        <v>122</v>
      </c>
      <c r="U344" s="16" t="s">
        <v>134</v>
      </c>
      <c r="V344" s="16" t="s">
        <v>138</v>
      </c>
      <c r="W344" s="16" t="s">
        <v>166</v>
      </c>
      <c r="X344" s="16" t="s">
        <v>792</v>
      </c>
    </row>
    <row r="345" customFormat="false" ht="15" hidden="false" customHeight="false" outlineLevel="0" collapsed="false">
      <c r="A345" s="7" t="s">
        <v>793</v>
      </c>
      <c r="B345" s="7" t="s">
        <v>193</v>
      </c>
      <c r="C345" s="16" t="s">
        <v>33</v>
      </c>
      <c r="D345" s="16" t="s">
        <v>39</v>
      </c>
      <c r="E345" s="16" t="s">
        <v>46</v>
      </c>
      <c r="F345" s="16" t="s">
        <v>49</v>
      </c>
      <c r="G345" s="16" t="s">
        <v>49</v>
      </c>
      <c r="H345" s="16" t="s">
        <v>59</v>
      </c>
      <c r="I345" s="16" t="s">
        <v>65</v>
      </c>
      <c r="J345" s="16" t="s">
        <v>70</v>
      </c>
      <c r="K345" s="16" t="s">
        <v>76</v>
      </c>
      <c r="L345" s="16" t="s">
        <v>82</v>
      </c>
      <c r="M345" s="16" t="s">
        <v>87</v>
      </c>
      <c r="N345" s="16" t="s">
        <v>94</v>
      </c>
      <c r="O345" s="16" t="s">
        <v>99</v>
      </c>
      <c r="P345" s="16" t="s">
        <v>103</v>
      </c>
      <c r="Q345" s="16" t="s">
        <v>109</v>
      </c>
      <c r="R345" s="16" t="s">
        <v>117</v>
      </c>
      <c r="S345" s="16" t="s">
        <v>121</v>
      </c>
      <c r="T345" s="16" t="s">
        <v>128</v>
      </c>
      <c r="U345" s="16" t="s">
        <v>132</v>
      </c>
      <c r="V345" s="16" t="s">
        <v>139</v>
      </c>
      <c r="W345" s="16" t="s">
        <v>166</v>
      </c>
      <c r="X345" s="16" t="s">
        <v>794</v>
      </c>
    </row>
    <row r="346" customFormat="false" ht="15" hidden="false" customHeight="false" outlineLevel="0" collapsed="false">
      <c r="A346" s="7" t="s">
        <v>795</v>
      </c>
      <c r="B346" s="7" t="s">
        <v>165</v>
      </c>
      <c r="C346" s="16" t="s">
        <v>31</v>
      </c>
      <c r="D346" s="16" t="s">
        <v>37</v>
      </c>
      <c r="E346" s="16" t="s">
        <v>43</v>
      </c>
      <c r="F346" s="16" t="s">
        <v>49</v>
      </c>
      <c r="G346" s="16" t="s">
        <v>49</v>
      </c>
      <c r="H346" s="16" t="s">
        <v>59</v>
      </c>
      <c r="I346" s="16" t="s">
        <v>65</v>
      </c>
      <c r="J346" s="16" t="s">
        <v>70</v>
      </c>
      <c r="K346" s="16" t="s">
        <v>75</v>
      </c>
      <c r="L346" s="16" t="s">
        <v>81</v>
      </c>
      <c r="M346" s="16" t="s">
        <v>85</v>
      </c>
      <c r="N346" s="16" t="s">
        <v>91</v>
      </c>
      <c r="O346" s="16" t="s">
        <v>98</v>
      </c>
      <c r="P346" s="16" t="s">
        <v>105</v>
      </c>
      <c r="Q346" s="16" t="s">
        <v>109</v>
      </c>
      <c r="R346" s="16" t="s">
        <v>116</v>
      </c>
      <c r="S346" s="16" t="s">
        <v>121</v>
      </c>
      <c r="T346" s="16" t="s">
        <v>122</v>
      </c>
      <c r="U346" s="16" t="s">
        <v>133</v>
      </c>
      <c r="V346" s="16" t="s">
        <v>138</v>
      </c>
      <c r="W346" s="16" t="s">
        <v>166</v>
      </c>
      <c r="X346" s="16" t="s">
        <v>796</v>
      </c>
    </row>
    <row r="347" customFormat="false" ht="15" hidden="false" customHeight="false" outlineLevel="0" collapsed="false">
      <c r="A347" s="7" t="s">
        <v>797</v>
      </c>
      <c r="B347" s="7" t="s">
        <v>165</v>
      </c>
      <c r="C347" s="16" t="s">
        <v>32</v>
      </c>
      <c r="D347" s="16" t="s">
        <v>37</v>
      </c>
      <c r="E347" s="16" t="s">
        <v>43</v>
      </c>
      <c r="F347" s="16" t="s">
        <v>49</v>
      </c>
      <c r="G347" s="16" t="s">
        <v>49</v>
      </c>
      <c r="H347" s="16" t="s">
        <v>59</v>
      </c>
      <c r="I347" s="16" t="s">
        <v>65</v>
      </c>
      <c r="J347" s="16" t="s">
        <v>70</v>
      </c>
      <c r="K347" s="16" t="s">
        <v>75</v>
      </c>
      <c r="L347" s="16" t="s">
        <v>80</v>
      </c>
      <c r="M347" s="16" t="s">
        <v>87</v>
      </c>
      <c r="N347" s="16" t="s">
        <v>91</v>
      </c>
      <c r="O347" s="16" t="s">
        <v>99</v>
      </c>
      <c r="P347" s="16" t="s">
        <v>105</v>
      </c>
      <c r="Q347" s="16" t="s">
        <v>109</v>
      </c>
      <c r="R347" s="16" t="s">
        <v>116</v>
      </c>
      <c r="S347" s="16" t="s">
        <v>122</v>
      </c>
      <c r="T347" s="16" t="s">
        <v>127</v>
      </c>
      <c r="U347" s="16" t="s">
        <v>132</v>
      </c>
      <c r="V347" s="16" t="s">
        <v>138</v>
      </c>
      <c r="W347" s="16" t="s">
        <v>166</v>
      </c>
      <c r="X347" s="16" t="s">
        <v>798</v>
      </c>
    </row>
    <row r="348" customFormat="false" ht="15" hidden="false" customHeight="false" outlineLevel="0" collapsed="false">
      <c r="A348" s="7" t="s">
        <v>799</v>
      </c>
      <c r="B348" s="7" t="s">
        <v>165</v>
      </c>
      <c r="C348" s="16" t="s">
        <v>31</v>
      </c>
      <c r="D348" s="16" t="s">
        <v>37</v>
      </c>
      <c r="E348" s="16" t="s">
        <v>43</v>
      </c>
      <c r="F348" s="16" t="s">
        <v>49</v>
      </c>
      <c r="G348" s="16" t="s">
        <v>49</v>
      </c>
      <c r="H348" s="16" t="s">
        <v>59</v>
      </c>
      <c r="I348" s="16" t="s">
        <v>65</v>
      </c>
      <c r="J348" s="16" t="s">
        <v>70</v>
      </c>
      <c r="K348" s="16" t="s">
        <v>75</v>
      </c>
      <c r="L348" s="16" t="s">
        <v>79</v>
      </c>
      <c r="M348" s="16" t="s">
        <v>86</v>
      </c>
      <c r="N348" s="16" t="s">
        <v>92</v>
      </c>
      <c r="O348" s="16" t="s">
        <v>99</v>
      </c>
      <c r="P348" s="16" t="s">
        <v>105</v>
      </c>
      <c r="Q348" s="16" t="s">
        <v>111</v>
      </c>
      <c r="R348" s="16" t="s">
        <v>115</v>
      </c>
      <c r="S348" s="16" t="s">
        <v>121</v>
      </c>
      <c r="T348" s="16" t="s">
        <v>127</v>
      </c>
      <c r="U348" s="16" t="s">
        <v>136</v>
      </c>
      <c r="V348" s="16" t="s">
        <v>138</v>
      </c>
      <c r="W348" s="16" t="s">
        <v>166</v>
      </c>
      <c r="X348" s="16" t="s">
        <v>565</v>
      </c>
    </row>
    <row r="349" customFormat="false" ht="15" hidden="false" customHeight="false" outlineLevel="0" collapsed="false">
      <c r="A349" s="7" t="s">
        <v>800</v>
      </c>
      <c r="B349" s="7" t="s">
        <v>165</v>
      </c>
      <c r="C349" s="16" t="s">
        <v>31</v>
      </c>
      <c r="D349" s="16" t="s">
        <v>37</v>
      </c>
      <c r="E349" s="16" t="s">
        <v>44</v>
      </c>
      <c r="F349" s="16" t="s">
        <v>49</v>
      </c>
      <c r="G349" s="16" t="s">
        <v>49</v>
      </c>
      <c r="H349" s="16" t="s">
        <v>59</v>
      </c>
      <c r="I349" s="16" t="s">
        <v>65</v>
      </c>
      <c r="J349" s="16" t="s">
        <v>70</v>
      </c>
      <c r="K349" s="16" t="s">
        <v>75</v>
      </c>
      <c r="L349" s="16" t="s">
        <v>80</v>
      </c>
      <c r="M349" s="16" t="s">
        <v>87</v>
      </c>
      <c r="N349" s="16" t="s">
        <v>91</v>
      </c>
      <c r="O349" s="16" t="s">
        <v>98</v>
      </c>
      <c r="P349" s="16" t="s">
        <v>105</v>
      </c>
      <c r="Q349" s="16" t="s">
        <v>111</v>
      </c>
      <c r="R349" s="16" t="s">
        <v>115</v>
      </c>
      <c r="S349" s="16" t="s">
        <v>121</v>
      </c>
      <c r="T349" s="16" t="s">
        <v>127</v>
      </c>
      <c r="U349" s="16" t="s">
        <v>132</v>
      </c>
      <c r="V349" s="16" t="s">
        <v>138</v>
      </c>
      <c r="W349" s="16" t="s">
        <v>166</v>
      </c>
      <c r="X349" s="16" t="s">
        <v>333</v>
      </c>
    </row>
    <row r="350" customFormat="false" ht="15" hidden="false" customHeight="false" outlineLevel="0" collapsed="false">
      <c r="A350" s="7" t="s">
        <v>801</v>
      </c>
      <c r="B350" s="7" t="s">
        <v>165</v>
      </c>
      <c r="C350" s="16" t="s">
        <v>31</v>
      </c>
      <c r="D350" s="16" t="s">
        <v>37</v>
      </c>
      <c r="E350" s="16" t="s">
        <v>46</v>
      </c>
      <c r="F350" s="16" t="s">
        <v>49</v>
      </c>
      <c r="G350" s="16" t="s">
        <v>49</v>
      </c>
      <c r="H350" s="16" t="s">
        <v>59</v>
      </c>
      <c r="I350" s="16" t="s">
        <v>65</v>
      </c>
      <c r="J350" s="16" t="s">
        <v>70</v>
      </c>
      <c r="K350" s="16" t="s">
        <v>74</v>
      </c>
      <c r="L350" s="16" t="s">
        <v>81</v>
      </c>
      <c r="M350" s="16" t="s">
        <v>88</v>
      </c>
      <c r="N350" s="16" t="s">
        <v>91</v>
      </c>
      <c r="O350" s="16" t="s">
        <v>99</v>
      </c>
      <c r="P350" s="16" t="s">
        <v>105</v>
      </c>
      <c r="Q350" s="16" t="s">
        <v>109</v>
      </c>
      <c r="R350" s="16" t="s">
        <v>115</v>
      </c>
      <c r="S350" s="16" t="s">
        <v>123</v>
      </c>
      <c r="T350" s="16" t="s">
        <v>127</v>
      </c>
      <c r="U350" s="16" t="s">
        <v>132</v>
      </c>
      <c r="V350" s="16" t="s">
        <v>138</v>
      </c>
      <c r="W350" s="16" t="s">
        <v>166</v>
      </c>
      <c r="X350" s="16" t="s">
        <v>802</v>
      </c>
    </row>
    <row r="351" customFormat="false" ht="15" hidden="false" customHeight="false" outlineLevel="0" collapsed="false">
      <c r="A351" s="7" t="s">
        <v>803</v>
      </c>
      <c r="B351" s="7" t="s">
        <v>206</v>
      </c>
      <c r="C351" s="16" t="s">
        <v>32</v>
      </c>
      <c r="D351" s="16" t="s">
        <v>37</v>
      </c>
      <c r="E351" s="16" t="s">
        <v>44</v>
      </c>
      <c r="F351" s="16" t="s">
        <v>49</v>
      </c>
      <c r="G351" s="16" t="s">
        <v>49</v>
      </c>
      <c r="H351" s="16" t="s">
        <v>59</v>
      </c>
      <c r="I351" s="16" t="s">
        <v>65</v>
      </c>
      <c r="J351" s="16" t="s">
        <v>61</v>
      </c>
      <c r="K351" s="16" t="s">
        <v>76</v>
      </c>
      <c r="L351" s="16" t="s">
        <v>80</v>
      </c>
      <c r="M351" s="16" t="s">
        <v>89</v>
      </c>
      <c r="N351" s="16" t="s">
        <v>91</v>
      </c>
      <c r="O351" s="16" t="s">
        <v>100</v>
      </c>
      <c r="P351" s="16" t="s">
        <v>105</v>
      </c>
      <c r="Q351" s="16" t="s">
        <v>109</v>
      </c>
      <c r="R351" s="16" t="s">
        <v>116</v>
      </c>
      <c r="S351" s="16" t="s">
        <v>123</v>
      </c>
      <c r="T351" s="16" t="s">
        <v>127</v>
      </c>
      <c r="U351" s="16" t="s">
        <v>133</v>
      </c>
      <c r="V351" s="16" t="s">
        <v>138</v>
      </c>
      <c r="W351" s="16" t="s">
        <v>166</v>
      </c>
      <c r="X351" s="16" t="s">
        <v>804</v>
      </c>
    </row>
    <row r="352" customFormat="false" ht="15" hidden="false" customHeight="false" outlineLevel="0" collapsed="false">
      <c r="A352" s="7" t="s">
        <v>805</v>
      </c>
      <c r="B352" s="7" t="s">
        <v>206</v>
      </c>
      <c r="C352" s="16" t="s">
        <v>32</v>
      </c>
      <c r="D352" s="16" t="s">
        <v>37</v>
      </c>
      <c r="E352" s="16" t="s">
        <v>44</v>
      </c>
      <c r="F352" s="16" t="s">
        <v>49</v>
      </c>
      <c r="G352" s="16" t="s">
        <v>49</v>
      </c>
      <c r="H352" s="16" t="s">
        <v>59</v>
      </c>
      <c r="I352" s="16" t="s">
        <v>65</v>
      </c>
      <c r="J352" s="16" t="s">
        <v>70</v>
      </c>
      <c r="K352" s="16" t="s">
        <v>77</v>
      </c>
      <c r="L352" s="16" t="s">
        <v>83</v>
      </c>
      <c r="M352" s="16" t="s">
        <v>85</v>
      </c>
      <c r="N352" s="16" t="s">
        <v>91</v>
      </c>
      <c r="O352" s="16" t="s">
        <v>98</v>
      </c>
      <c r="P352" s="16" t="s">
        <v>105</v>
      </c>
      <c r="Q352" s="16" t="s">
        <v>109</v>
      </c>
      <c r="R352" s="16" t="s">
        <v>116</v>
      </c>
      <c r="S352" s="16" t="s">
        <v>123</v>
      </c>
      <c r="T352" s="16" t="s">
        <v>128</v>
      </c>
      <c r="U352" s="16" t="s">
        <v>134</v>
      </c>
      <c r="V352" s="16" t="s">
        <v>138</v>
      </c>
      <c r="W352" s="16" t="s">
        <v>166</v>
      </c>
      <c r="X352" s="16" t="s">
        <v>271</v>
      </c>
    </row>
    <row r="353" customFormat="false" ht="15" hidden="false" customHeight="false" outlineLevel="0" collapsed="false">
      <c r="A353" s="7" t="s">
        <v>806</v>
      </c>
      <c r="B353" s="7" t="s">
        <v>193</v>
      </c>
      <c r="C353" s="16" t="s">
        <v>34</v>
      </c>
      <c r="D353" s="16" t="s">
        <v>39</v>
      </c>
      <c r="E353" s="16" t="s">
        <v>46</v>
      </c>
      <c r="F353" s="16" t="s">
        <v>49</v>
      </c>
      <c r="G353" s="16" t="s">
        <v>49</v>
      </c>
      <c r="H353" s="16" t="s">
        <v>59</v>
      </c>
      <c r="I353" s="16" t="s">
        <v>65</v>
      </c>
      <c r="J353" s="16" t="s">
        <v>70</v>
      </c>
      <c r="K353" s="16" t="s">
        <v>77</v>
      </c>
      <c r="L353" s="16" t="s">
        <v>82</v>
      </c>
      <c r="M353" s="16" t="s">
        <v>87</v>
      </c>
      <c r="N353" s="16" t="s">
        <v>93</v>
      </c>
      <c r="O353" s="16" t="s">
        <v>98</v>
      </c>
      <c r="P353" s="16" t="s">
        <v>105</v>
      </c>
      <c r="Q353" s="16" t="s">
        <v>109</v>
      </c>
      <c r="R353" s="16" t="s">
        <v>116</v>
      </c>
      <c r="S353" s="16" t="s">
        <v>121</v>
      </c>
      <c r="T353" s="16" t="s">
        <v>128</v>
      </c>
      <c r="U353" s="16" t="s">
        <v>133</v>
      </c>
      <c r="V353" s="16" t="s">
        <v>138</v>
      </c>
      <c r="W353" s="16" t="s">
        <v>166</v>
      </c>
      <c r="X353" s="16" t="s">
        <v>807</v>
      </c>
    </row>
    <row r="354" customFormat="false" ht="15" hidden="false" customHeight="false" outlineLevel="0" collapsed="false">
      <c r="A354" s="7" t="s">
        <v>808</v>
      </c>
      <c r="B354" s="7" t="s">
        <v>165</v>
      </c>
      <c r="C354" s="16" t="s">
        <v>31</v>
      </c>
      <c r="D354" s="16" t="s">
        <v>37</v>
      </c>
      <c r="E354" s="16" t="s">
        <v>43</v>
      </c>
      <c r="F354" s="16" t="s">
        <v>49</v>
      </c>
      <c r="G354" s="16" t="s">
        <v>49</v>
      </c>
      <c r="H354" s="16" t="s">
        <v>59</v>
      </c>
      <c r="I354" s="16" t="s">
        <v>65</v>
      </c>
      <c r="J354" s="16" t="s">
        <v>70</v>
      </c>
      <c r="K354" s="16" t="s">
        <v>75</v>
      </c>
      <c r="L354" s="16" t="s">
        <v>82</v>
      </c>
      <c r="M354" s="16" t="s">
        <v>86</v>
      </c>
      <c r="N354" s="16" t="s">
        <v>91</v>
      </c>
      <c r="O354" s="16" t="s">
        <v>99</v>
      </c>
      <c r="P354" s="16" t="s">
        <v>105</v>
      </c>
      <c r="Q354" s="16" t="s">
        <v>109</v>
      </c>
      <c r="R354" s="16" t="s">
        <v>115</v>
      </c>
      <c r="S354" s="16" t="s">
        <v>121</v>
      </c>
      <c r="T354" s="16" t="s">
        <v>127</v>
      </c>
      <c r="U354" s="16" t="s">
        <v>132</v>
      </c>
      <c r="V354" s="16" t="s">
        <v>138</v>
      </c>
      <c r="W354" s="16" t="s">
        <v>166</v>
      </c>
      <c r="X354" s="16" t="s">
        <v>809</v>
      </c>
    </row>
    <row r="355" customFormat="false" ht="15" hidden="false" customHeight="false" outlineLevel="0" collapsed="false">
      <c r="A355" s="7" t="s">
        <v>810</v>
      </c>
      <c r="B355" s="7" t="s">
        <v>193</v>
      </c>
      <c r="C355" s="16" t="s">
        <v>33</v>
      </c>
      <c r="D355" s="16" t="s">
        <v>40</v>
      </c>
      <c r="E355" s="16" t="s">
        <v>46</v>
      </c>
      <c r="F355" s="16" t="s">
        <v>49</v>
      </c>
      <c r="G355" s="16" t="s">
        <v>49</v>
      </c>
      <c r="H355" s="16" t="s">
        <v>59</v>
      </c>
      <c r="I355" s="16" t="s">
        <v>65</v>
      </c>
      <c r="J355" s="16" t="s">
        <v>70</v>
      </c>
      <c r="K355" s="16" t="s">
        <v>76</v>
      </c>
      <c r="L355" s="16" t="s">
        <v>81</v>
      </c>
      <c r="M355" s="16" t="s">
        <v>87</v>
      </c>
      <c r="N355" s="16" t="s">
        <v>91</v>
      </c>
      <c r="O355" s="16" t="s">
        <v>97</v>
      </c>
      <c r="P355" s="16" t="s">
        <v>104</v>
      </c>
      <c r="Q355" s="16" t="s">
        <v>109</v>
      </c>
      <c r="R355" s="16" t="s">
        <v>118</v>
      </c>
      <c r="S355" s="16" t="s">
        <v>123</v>
      </c>
      <c r="T355" s="16" t="s">
        <v>122</v>
      </c>
      <c r="U355" s="16" t="s">
        <v>134</v>
      </c>
      <c r="V355" s="16" t="s">
        <v>138</v>
      </c>
      <c r="W355" s="16" t="s">
        <v>166</v>
      </c>
      <c r="X355" s="16" t="s">
        <v>811</v>
      </c>
    </row>
    <row r="356" customFormat="false" ht="15" hidden="false" customHeight="false" outlineLevel="0" collapsed="false">
      <c r="A356" s="7" t="s">
        <v>812</v>
      </c>
      <c r="B356" s="7" t="s">
        <v>165</v>
      </c>
      <c r="C356" s="16" t="s">
        <v>31</v>
      </c>
      <c r="D356" s="16" t="s">
        <v>37</v>
      </c>
      <c r="E356" s="16" t="s">
        <v>44</v>
      </c>
      <c r="F356" s="16" t="s">
        <v>49</v>
      </c>
      <c r="G356" s="16" t="s">
        <v>49</v>
      </c>
      <c r="H356" s="16" t="s">
        <v>59</v>
      </c>
      <c r="I356" s="16" t="s">
        <v>65</v>
      </c>
      <c r="J356" s="16" t="s">
        <v>70</v>
      </c>
      <c r="K356" s="16" t="s">
        <v>73</v>
      </c>
      <c r="L356" s="16" t="s">
        <v>80</v>
      </c>
      <c r="M356" s="16" t="s">
        <v>85</v>
      </c>
      <c r="N356" s="16" t="s">
        <v>91</v>
      </c>
      <c r="O356" s="16" t="s">
        <v>99</v>
      </c>
      <c r="P356" s="16" t="s">
        <v>105</v>
      </c>
      <c r="Q356" s="16" t="s">
        <v>109</v>
      </c>
      <c r="R356" s="16" t="s">
        <v>115</v>
      </c>
      <c r="S356" s="16" t="s">
        <v>122</v>
      </c>
      <c r="T356" s="16" t="s">
        <v>127</v>
      </c>
      <c r="U356" s="16" t="s">
        <v>133</v>
      </c>
      <c r="V356" s="16" t="s">
        <v>138</v>
      </c>
      <c r="W356" s="16" t="s">
        <v>166</v>
      </c>
      <c r="X356" s="16" t="s">
        <v>228</v>
      </c>
    </row>
    <row r="357" customFormat="false" ht="15" hidden="false" customHeight="false" outlineLevel="0" collapsed="false">
      <c r="A357" s="7" t="s">
        <v>813</v>
      </c>
      <c r="B357" s="7" t="s">
        <v>165</v>
      </c>
      <c r="C357" s="16" t="s">
        <v>31</v>
      </c>
      <c r="D357" s="16" t="s">
        <v>37</v>
      </c>
      <c r="E357" s="16" t="s">
        <v>43</v>
      </c>
      <c r="F357" s="16" t="s">
        <v>49</v>
      </c>
      <c r="G357" s="16" t="s">
        <v>49</v>
      </c>
      <c r="H357" s="16" t="s">
        <v>59</v>
      </c>
      <c r="I357" s="16" t="s">
        <v>65</v>
      </c>
      <c r="J357" s="16" t="s">
        <v>70</v>
      </c>
      <c r="K357" s="16" t="s">
        <v>75</v>
      </c>
      <c r="L357" s="16" t="s">
        <v>80</v>
      </c>
      <c r="M357" s="16" t="s">
        <v>86</v>
      </c>
      <c r="N357" s="16" t="s">
        <v>91</v>
      </c>
      <c r="O357" s="16" t="s">
        <v>99</v>
      </c>
      <c r="P357" s="16" t="s">
        <v>106</v>
      </c>
      <c r="Q357" s="16" t="s">
        <v>109</v>
      </c>
      <c r="R357" s="16" t="s">
        <v>115</v>
      </c>
      <c r="S357" s="16" t="s">
        <v>122</v>
      </c>
      <c r="T357" s="16" t="s">
        <v>127</v>
      </c>
      <c r="U357" s="16" t="s">
        <v>132</v>
      </c>
      <c r="V357" s="16" t="s">
        <v>139</v>
      </c>
      <c r="W357" s="16" t="s">
        <v>166</v>
      </c>
      <c r="X357" s="16" t="s">
        <v>814</v>
      </c>
    </row>
    <row r="358" customFormat="false" ht="15" hidden="false" customHeight="false" outlineLevel="0" collapsed="false">
      <c r="A358" s="7" t="s">
        <v>815</v>
      </c>
      <c r="B358" s="7" t="s">
        <v>165</v>
      </c>
      <c r="C358" s="16" t="s">
        <v>31</v>
      </c>
      <c r="D358" s="16" t="s">
        <v>37</v>
      </c>
      <c r="E358" s="16" t="s">
        <v>43</v>
      </c>
      <c r="F358" s="16" t="s">
        <v>49</v>
      </c>
      <c r="G358" s="16" t="s">
        <v>49</v>
      </c>
      <c r="H358" s="16" t="s">
        <v>59</v>
      </c>
      <c r="I358" s="16" t="s">
        <v>65</v>
      </c>
      <c r="J358" s="16" t="s">
        <v>70</v>
      </c>
      <c r="K358" s="16" t="s">
        <v>75</v>
      </c>
      <c r="L358" s="16" t="s">
        <v>81</v>
      </c>
      <c r="M358" s="16" t="s">
        <v>85</v>
      </c>
      <c r="N358" s="16" t="s">
        <v>91</v>
      </c>
      <c r="O358" s="16" t="s">
        <v>99</v>
      </c>
      <c r="P358" s="16" t="s">
        <v>104</v>
      </c>
      <c r="Q358" s="16" t="s">
        <v>109</v>
      </c>
      <c r="R358" s="16" t="s">
        <v>116</v>
      </c>
      <c r="S358" s="16" t="s">
        <v>122</v>
      </c>
      <c r="T358" s="16" t="s">
        <v>127</v>
      </c>
      <c r="U358" s="16" t="s">
        <v>132</v>
      </c>
      <c r="V358" s="16" t="s">
        <v>138</v>
      </c>
      <c r="W358" s="16" t="s">
        <v>166</v>
      </c>
      <c r="X358" s="16" t="s">
        <v>666</v>
      </c>
    </row>
    <row r="359" customFormat="false" ht="15" hidden="false" customHeight="false" outlineLevel="0" collapsed="false">
      <c r="A359" s="7" t="s">
        <v>816</v>
      </c>
      <c r="B359" s="7" t="s">
        <v>165</v>
      </c>
      <c r="C359" s="16" t="s">
        <v>31</v>
      </c>
      <c r="D359" s="16" t="s">
        <v>37</v>
      </c>
      <c r="E359" s="16" t="s">
        <v>43</v>
      </c>
      <c r="F359" s="16" t="s">
        <v>49</v>
      </c>
      <c r="G359" s="16" t="s">
        <v>49</v>
      </c>
      <c r="H359" s="16" t="s">
        <v>59</v>
      </c>
      <c r="I359" s="16" t="s">
        <v>65</v>
      </c>
      <c r="J359" s="16" t="s">
        <v>70</v>
      </c>
      <c r="K359" s="16" t="s">
        <v>75</v>
      </c>
      <c r="L359" s="16" t="s">
        <v>80</v>
      </c>
      <c r="M359" s="16" t="s">
        <v>86</v>
      </c>
      <c r="N359" s="16" t="s">
        <v>91</v>
      </c>
      <c r="O359" s="16" t="s">
        <v>100</v>
      </c>
      <c r="P359" s="16" t="s">
        <v>106</v>
      </c>
      <c r="Q359" s="16" t="s">
        <v>109</v>
      </c>
      <c r="R359" s="16" t="s">
        <v>115</v>
      </c>
      <c r="S359" s="16" t="s">
        <v>122</v>
      </c>
      <c r="T359" s="16" t="s">
        <v>127</v>
      </c>
      <c r="U359" s="16" t="s">
        <v>132</v>
      </c>
      <c r="V359" s="16" t="s">
        <v>138</v>
      </c>
      <c r="W359" s="16" t="s">
        <v>166</v>
      </c>
      <c r="X359" s="16" t="s">
        <v>411</v>
      </c>
    </row>
    <row r="360" customFormat="false" ht="15" hidden="false" customHeight="false" outlineLevel="0" collapsed="false">
      <c r="A360" s="7" t="s">
        <v>817</v>
      </c>
      <c r="B360" s="7" t="s">
        <v>165</v>
      </c>
      <c r="C360" s="16" t="s">
        <v>31</v>
      </c>
      <c r="D360" s="16" t="s">
        <v>37</v>
      </c>
      <c r="E360" s="16" t="s">
        <v>43</v>
      </c>
      <c r="F360" s="16" t="s">
        <v>49</v>
      </c>
      <c r="G360" s="16" t="s">
        <v>49</v>
      </c>
      <c r="H360" s="16" t="s">
        <v>59</v>
      </c>
      <c r="I360" s="16" t="s">
        <v>65</v>
      </c>
      <c r="J360" s="16" t="s">
        <v>70</v>
      </c>
      <c r="K360" s="16" t="s">
        <v>74</v>
      </c>
      <c r="L360" s="16" t="s">
        <v>80</v>
      </c>
      <c r="M360" s="16" t="s">
        <v>87</v>
      </c>
      <c r="N360" s="16" t="s">
        <v>93</v>
      </c>
      <c r="O360" s="16" t="s">
        <v>99</v>
      </c>
      <c r="P360" s="16" t="s">
        <v>106</v>
      </c>
      <c r="Q360" s="16" t="s">
        <v>110</v>
      </c>
      <c r="R360" s="16" t="s">
        <v>115</v>
      </c>
      <c r="S360" s="16" t="s">
        <v>122</v>
      </c>
      <c r="T360" s="16" t="s">
        <v>127</v>
      </c>
      <c r="U360" s="16" t="s">
        <v>132</v>
      </c>
      <c r="V360" s="16" t="s">
        <v>138</v>
      </c>
      <c r="W360" s="16" t="s">
        <v>166</v>
      </c>
      <c r="X360" s="16" t="s">
        <v>818</v>
      </c>
    </row>
    <row r="361" customFormat="false" ht="15" hidden="false" customHeight="false" outlineLevel="0" collapsed="false">
      <c r="A361" s="7" t="s">
        <v>819</v>
      </c>
      <c r="B361" s="7" t="s">
        <v>165</v>
      </c>
      <c r="C361" s="16" t="s">
        <v>31</v>
      </c>
      <c r="D361" s="16" t="s">
        <v>37</v>
      </c>
      <c r="E361" s="16" t="s">
        <v>43</v>
      </c>
      <c r="F361" s="16" t="s">
        <v>49</v>
      </c>
      <c r="G361" s="16" t="s">
        <v>49</v>
      </c>
      <c r="H361" s="16" t="s">
        <v>59</v>
      </c>
      <c r="I361" s="16" t="s">
        <v>65</v>
      </c>
      <c r="J361" s="16" t="s">
        <v>70</v>
      </c>
      <c r="K361" s="16" t="s">
        <v>75</v>
      </c>
      <c r="L361" s="16" t="s">
        <v>81</v>
      </c>
      <c r="M361" s="16" t="s">
        <v>88</v>
      </c>
      <c r="N361" s="16" t="s">
        <v>91</v>
      </c>
      <c r="O361" s="16" t="s">
        <v>97</v>
      </c>
      <c r="P361" s="16" t="s">
        <v>105</v>
      </c>
      <c r="Q361" s="16" t="s">
        <v>109</v>
      </c>
      <c r="R361" s="16" t="s">
        <v>115</v>
      </c>
      <c r="S361" s="16" t="s">
        <v>121</v>
      </c>
      <c r="T361" s="16" t="s">
        <v>127</v>
      </c>
      <c r="U361" s="16" t="s">
        <v>132</v>
      </c>
      <c r="V361" s="16" t="s">
        <v>138</v>
      </c>
      <c r="W361" s="16" t="s">
        <v>166</v>
      </c>
      <c r="X361" s="16" t="s">
        <v>820</v>
      </c>
    </row>
    <row r="362" customFormat="false" ht="15" hidden="false" customHeight="false" outlineLevel="0" collapsed="false">
      <c r="A362" s="7" t="s">
        <v>821</v>
      </c>
      <c r="B362" s="7" t="s">
        <v>165</v>
      </c>
      <c r="C362" s="16" t="s">
        <v>31</v>
      </c>
      <c r="D362" s="16" t="s">
        <v>37</v>
      </c>
      <c r="E362" s="16" t="s">
        <v>45</v>
      </c>
      <c r="F362" s="16" t="s">
        <v>49</v>
      </c>
      <c r="G362" s="16" t="s">
        <v>49</v>
      </c>
      <c r="H362" s="16" t="s">
        <v>59</v>
      </c>
      <c r="I362" s="16" t="s">
        <v>65</v>
      </c>
      <c r="J362" s="16" t="s">
        <v>71</v>
      </c>
      <c r="K362" s="16" t="s">
        <v>75</v>
      </c>
      <c r="L362" s="16" t="s">
        <v>80</v>
      </c>
      <c r="M362" s="16" t="s">
        <v>85</v>
      </c>
      <c r="N362" s="16" t="s">
        <v>91</v>
      </c>
      <c r="O362" s="16" t="s">
        <v>100</v>
      </c>
      <c r="P362" s="16" t="s">
        <v>105</v>
      </c>
      <c r="Q362" s="16" t="s">
        <v>109</v>
      </c>
      <c r="R362" s="16" t="s">
        <v>115</v>
      </c>
      <c r="S362" s="16" t="s">
        <v>122</v>
      </c>
      <c r="T362" s="16" t="s">
        <v>127</v>
      </c>
      <c r="U362" s="16" t="s">
        <v>132</v>
      </c>
      <c r="V362" s="16" t="s">
        <v>138</v>
      </c>
      <c r="W362" s="16" t="s">
        <v>166</v>
      </c>
      <c r="X362" s="16" t="s">
        <v>822</v>
      </c>
    </row>
    <row r="363" customFormat="false" ht="15" hidden="false" customHeight="false" outlineLevel="0" collapsed="false">
      <c r="A363" s="7" t="s">
        <v>823</v>
      </c>
      <c r="B363" s="7" t="s">
        <v>165</v>
      </c>
      <c r="C363" s="16" t="s">
        <v>31</v>
      </c>
      <c r="D363" s="16" t="s">
        <v>37</v>
      </c>
      <c r="E363" s="16" t="s">
        <v>43</v>
      </c>
      <c r="F363" s="16" t="s">
        <v>49</v>
      </c>
      <c r="G363" s="16" t="s">
        <v>49</v>
      </c>
      <c r="H363" s="16" t="s">
        <v>59</v>
      </c>
      <c r="I363" s="16" t="s">
        <v>65</v>
      </c>
      <c r="J363" s="16" t="s">
        <v>70</v>
      </c>
      <c r="K363" s="16" t="s">
        <v>75</v>
      </c>
      <c r="L363" s="16" t="s">
        <v>81</v>
      </c>
      <c r="M363" s="16" t="s">
        <v>87</v>
      </c>
      <c r="N363" s="16" t="s">
        <v>91</v>
      </c>
      <c r="O363" s="16" t="s">
        <v>99</v>
      </c>
      <c r="P363" s="16" t="s">
        <v>105</v>
      </c>
      <c r="Q363" s="16" t="s">
        <v>109</v>
      </c>
      <c r="R363" s="16" t="s">
        <v>115</v>
      </c>
      <c r="S363" s="16" t="s">
        <v>122</v>
      </c>
      <c r="T363" s="16" t="s">
        <v>127</v>
      </c>
      <c r="U363" s="16" t="s">
        <v>132</v>
      </c>
      <c r="V363" s="16" t="s">
        <v>138</v>
      </c>
      <c r="W363" s="16" t="s">
        <v>166</v>
      </c>
      <c r="X363" s="16" t="s">
        <v>824</v>
      </c>
    </row>
    <row r="364" customFormat="false" ht="15" hidden="false" customHeight="false" outlineLevel="0" collapsed="false">
      <c r="A364" s="7" t="s">
        <v>825</v>
      </c>
      <c r="B364" s="7" t="s">
        <v>193</v>
      </c>
      <c r="C364" s="16" t="s">
        <v>34</v>
      </c>
      <c r="D364" s="16" t="s">
        <v>38</v>
      </c>
      <c r="E364" s="16" t="s">
        <v>44</v>
      </c>
      <c r="F364" s="16" t="s">
        <v>49</v>
      </c>
      <c r="G364" s="16" t="s">
        <v>49</v>
      </c>
      <c r="H364" s="16" t="s">
        <v>59</v>
      </c>
      <c r="I364" s="16" t="s">
        <v>65</v>
      </c>
      <c r="J364" s="16" t="s">
        <v>70</v>
      </c>
      <c r="K364" s="16" t="s">
        <v>76</v>
      </c>
      <c r="L364" s="16" t="s">
        <v>82</v>
      </c>
      <c r="M364" s="16" t="s">
        <v>86</v>
      </c>
      <c r="N364" s="16" t="s">
        <v>94</v>
      </c>
      <c r="O364" s="16" t="s">
        <v>99</v>
      </c>
      <c r="P364" s="16" t="s">
        <v>103</v>
      </c>
      <c r="Q364" s="16" t="s">
        <v>111</v>
      </c>
      <c r="R364" s="16" t="s">
        <v>117</v>
      </c>
      <c r="S364" s="16" t="s">
        <v>125</v>
      </c>
      <c r="T364" s="16" t="s">
        <v>122</v>
      </c>
      <c r="U364" s="16" t="s">
        <v>134</v>
      </c>
      <c r="V364" s="16" t="s">
        <v>139</v>
      </c>
      <c r="W364" s="16" t="s">
        <v>166</v>
      </c>
      <c r="X364" s="16" t="s">
        <v>308</v>
      </c>
    </row>
    <row r="365" customFormat="false" ht="15" hidden="false" customHeight="false" outlineLevel="0" collapsed="false">
      <c r="A365" s="7" t="s">
        <v>826</v>
      </c>
      <c r="B365" s="7" t="s">
        <v>165</v>
      </c>
      <c r="C365" s="16" t="s">
        <v>31</v>
      </c>
      <c r="D365" s="16" t="s">
        <v>37</v>
      </c>
      <c r="E365" s="16" t="s">
        <v>43</v>
      </c>
      <c r="F365" s="16" t="s">
        <v>49</v>
      </c>
      <c r="G365" s="16" t="s">
        <v>49</v>
      </c>
      <c r="H365" s="16" t="s">
        <v>59</v>
      </c>
      <c r="I365" s="16" t="s">
        <v>65</v>
      </c>
      <c r="J365" s="16" t="s">
        <v>70</v>
      </c>
      <c r="K365" s="16" t="s">
        <v>75</v>
      </c>
      <c r="L365" s="16" t="s">
        <v>80</v>
      </c>
      <c r="M365" s="16" t="s">
        <v>85</v>
      </c>
      <c r="N365" s="16" t="s">
        <v>91</v>
      </c>
      <c r="O365" s="16" t="s">
        <v>99</v>
      </c>
      <c r="P365" s="16" t="s">
        <v>104</v>
      </c>
      <c r="Q365" s="16" t="s">
        <v>109</v>
      </c>
      <c r="R365" s="16" t="s">
        <v>115</v>
      </c>
      <c r="S365" s="16" t="s">
        <v>121</v>
      </c>
      <c r="T365" s="16" t="s">
        <v>127</v>
      </c>
      <c r="U365" s="16" t="s">
        <v>132</v>
      </c>
      <c r="V365" s="16" t="s">
        <v>139</v>
      </c>
      <c r="W365" s="16" t="s">
        <v>166</v>
      </c>
      <c r="X365" s="16" t="s">
        <v>612</v>
      </c>
    </row>
    <row r="366" customFormat="false" ht="15" hidden="false" customHeight="false" outlineLevel="0" collapsed="false">
      <c r="A366" s="7" t="s">
        <v>827</v>
      </c>
      <c r="B366" s="7" t="s">
        <v>165</v>
      </c>
      <c r="C366" s="16" t="s">
        <v>31</v>
      </c>
      <c r="D366" s="16" t="s">
        <v>37</v>
      </c>
      <c r="E366" s="16" t="s">
        <v>45</v>
      </c>
      <c r="F366" s="16" t="s">
        <v>49</v>
      </c>
      <c r="G366" s="16" t="s">
        <v>49</v>
      </c>
      <c r="H366" s="16" t="s">
        <v>59</v>
      </c>
      <c r="I366" s="16" t="s">
        <v>65</v>
      </c>
      <c r="J366" s="16" t="s">
        <v>70</v>
      </c>
      <c r="K366" s="16" t="s">
        <v>74</v>
      </c>
      <c r="L366" s="16" t="s">
        <v>79</v>
      </c>
      <c r="M366" s="16" t="s">
        <v>87</v>
      </c>
      <c r="N366" s="16" t="s">
        <v>91</v>
      </c>
      <c r="O366" s="16" t="s">
        <v>99</v>
      </c>
      <c r="P366" s="16" t="s">
        <v>105</v>
      </c>
      <c r="Q366" s="16" t="s">
        <v>110</v>
      </c>
      <c r="R366" s="16" t="s">
        <v>115</v>
      </c>
      <c r="S366" s="16" t="s">
        <v>122</v>
      </c>
      <c r="T366" s="16" t="s">
        <v>128</v>
      </c>
      <c r="U366" s="16" t="s">
        <v>132</v>
      </c>
      <c r="V366" s="16" t="s">
        <v>138</v>
      </c>
      <c r="W366" s="16" t="s">
        <v>166</v>
      </c>
      <c r="X366" s="16" t="s">
        <v>828</v>
      </c>
    </row>
    <row r="367" customFormat="false" ht="15" hidden="false" customHeight="false" outlineLevel="0" collapsed="false">
      <c r="A367" s="7" t="s">
        <v>829</v>
      </c>
      <c r="B367" s="7" t="s">
        <v>165</v>
      </c>
      <c r="C367" s="16" t="s">
        <v>32</v>
      </c>
      <c r="D367" s="16" t="s">
        <v>37</v>
      </c>
      <c r="E367" s="16" t="s">
        <v>43</v>
      </c>
      <c r="F367" s="16" t="s">
        <v>49</v>
      </c>
      <c r="G367" s="16" t="s">
        <v>49</v>
      </c>
      <c r="H367" s="16" t="s">
        <v>59</v>
      </c>
      <c r="I367" s="16" t="s">
        <v>65</v>
      </c>
      <c r="J367" s="16" t="s">
        <v>70</v>
      </c>
      <c r="K367" s="16" t="s">
        <v>74</v>
      </c>
      <c r="L367" s="16" t="s">
        <v>82</v>
      </c>
      <c r="M367" s="16" t="s">
        <v>86</v>
      </c>
      <c r="N367" s="16" t="s">
        <v>91</v>
      </c>
      <c r="O367" s="16" t="s">
        <v>100</v>
      </c>
      <c r="P367" s="16" t="s">
        <v>105</v>
      </c>
      <c r="Q367" s="16" t="s">
        <v>110</v>
      </c>
      <c r="R367" s="16" t="s">
        <v>115</v>
      </c>
      <c r="S367" s="16" t="s">
        <v>121</v>
      </c>
      <c r="T367" s="16" t="s">
        <v>127</v>
      </c>
      <c r="U367" s="16" t="s">
        <v>132</v>
      </c>
      <c r="V367" s="16" t="s">
        <v>138</v>
      </c>
      <c r="W367" s="16" t="s">
        <v>166</v>
      </c>
      <c r="X367" s="16" t="s">
        <v>830</v>
      </c>
    </row>
    <row r="368" customFormat="false" ht="15" hidden="false" customHeight="false" outlineLevel="0" collapsed="false">
      <c r="A368" s="7" t="s">
        <v>831</v>
      </c>
      <c r="B368" s="7" t="s">
        <v>165</v>
      </c>
      <c r="C368" s="16" t="s">
        <v>31</v>
      </c>
      <c r="D368" s="16" t="s">
        <v>37</v>
      </c>
      <c r="E368" s="16" t="s">
        <v>44</v>
      </c>
      <c r="F368" s="16" t="s">
        <v>49</v>
      </c>
      <c r="G368" s="16" t="s">
        <v>49</v>
      </c>
      <c r="H368" s="16" t="s">
        <v>59</v>
      </c>
      <c r="I368" s="16" t="s">
        <v>65</v>
      </c>
      <c r="J368" s="16" t="s">
        <v>70</v>
      </c>
      <c r="K368" s="16" t="s">
        <v>75</v>
      </c>
      <c r="L368" s="16" t="s">
        <v>79</v>
      </c>
      <c r="M368" s="16" t="s">
        <v>87</v>
      </c>
      <c r="N368" s="16" t="s">
        <v>91</v>
      </c>
      <c r="O368" s="16" t="s">
        <v>99</v>
      </c>
      <c r="P368" s="16" t="s">
        <v>105</v>
      </c>
      <c r="Q368" s="16" t="s">
        <v>109</v>
      </c>
      <c r="R368" s="16" t="s">
        <v>115</v>
      </c>
      <c r="S368" s="16" t="s">
        <v>123</v>
      </c>
      <c r="T368" s="16" t="s">
        <v>127</v>
      </c>
      <c r="U368" s="16" t="s">
        <v>132</v>
      </c>
      <c r="V368" s="16" t="s">
        <v>138</v>
      </c>
      <c r="W368" s="16" t="s">
        <v>166</v>
      </c>
      <c r="X368" s="16" t="s">
        <v>628</v>
      </c>
    </row>
    <row r="369" customFormat="false" ht="15" hidden="false" customHeight="false" outlineLevel="0" collapsed="false">
      <c r="A369" s="7" t="s">
        <v>832</v>
      </c>
      <c r="B369" s="7" t="s">
        <v>165</v>
      </c>
      <c r="C369" s="16" t="s">
        <v>31</v>
      </c>
      <c r="D369" s="16" t="s">
        <v>37</v>
      </c>
      <c r="E369" s="16" t="s">
        <v>43</v>
      </c>
      <c r="F369" s="16" t="s">
        <v>49</v>
      </c>
      <c r="G369" s="16" t="s">
        <v>49</v>
      </c>
      <c r="H369" s="16" t="s">
        <v>59</v>
      </c>
      <c r="I369" s="16" t="s">
        <v>66</v>
      </c>
      <c r="J369" s="16" t="s">
        <v>71</v>
      </c>
      <c r="K369" s="16" t="s">
        <v>75</v>
      </c>
      <c r="L369" s="16" t="s">
        <v>79</v>
      </c>
      <c r="M369" s="16" t="s">
        <v>86</v>
      </c>
      <c r="N369" s="16" t="s">
        <v>91</v>
      </c>
      <c r="O369" s="16" t="s">
        <v>99</v>
      </c>
      <c r="P369" s="16" t="s">
        <v>103</v>
      </c>
      <c r="Q369" s="16" t="s">
        <v>109</v>
      </c>
      <c r="R369" s="16" t="s">
        <v>115</v>
      </c>
      <c r="S369" s="16" t="s">
        <v>122</v>
      </c>
      <c r="T369" s="16" t="s">
        <v>127</v>
      </c>
      <c r="U369" s="16" t="s">
        <v>132</v>
      </c>
      <c r="V369" s="16" t="s">
        <v>138</v>
      </c>
      <c r="W369" s="16" t="s">
        <v>166</v>
      </c>
      <c r="X369" s="16" t="s">
        <v>833</v>
      </c>
    </row>
    <row r="370" customFormat="false" ht="15" hidden="false" customHeight="false" outlineLevel="0" collapsed="false">
      <c r="A370" s="7" t="s">
        <v>834</v>
      </c>
      <c r="B370" s="7" t="s">
        <v>165</v>
      </c>
      <c r="C370" s="16" t="s">
        <v>32</v>
      </c>
      <c r="D370" s="16" t="s">
        <v>37</v>
      </c>
      <c r="E370" s="16" t="s">
        <v>43</v>
      </c>
      <c r="F370" s="16" t="s">
        <v>49</v>
      </c>
      <c r="G370" s="16" t="s">
        <v>49</v>
      </c>
      <c r="H370" s="16" t="s">
        <v>59</v>
      </c>
      <c r="I370" s="16" t="s">
        <v>65</v>
      </c>
      <c r="J370" s="16" t="s">
        <v>70</v>
      </c>
      <c r="K370" s="16" t="s">
        <v>74</v>
      </c>
      <c r="L370" s="16" t="s">
        <v>82</v>
      </c>
      <c r="M370" s="16" t="s">
        <v>88</v>
      </c>
      <c r="N370" s="16" t="s">
        <v>91</v>
      </c>
      <c r="O370" s="16" t="s">
        <v>99</v>
      </c>
      <c r="P370" s="16" t="s">
        <v>105</v>
      </c>
      <c r="Q370" s="16" t="s">
        <v>111</v>
      </c>
      <c r="R370" s="16" t="s">
        <v>116</v>
      </c>
      <c r="S370" s="16" t="s">
        <v>124</v>
      </c>
      <c r="T370" s="16" t="s">
        <v>127</v>
      </c>
      <c r="U370" s="16" t="s">
        <v>132</v>
      </c>
      <c r="V370" s="16" t="s">
        <v>138</v>
      </c>
      <c r="W370" s="16" t="s">
        <v>166</v>
      </c>
      <c r="X370" s="16" t="s">
        <v>835</v>
      </c>
    </row>
    <row r="371" customFormat="false" ht="15" hidden="false" customHeight="false" outlineLevel="0" collapsed="false">
      <c r="A371" s="7" t="s">
        <v>836</v>
      </c>
      <c r="B371" s="7" t="s">
        <v>165</v>
      </c>
      <c r="C371" s="16" t="s">
        <v>32</v>
      </c>
      <c r="D371" s="16" t="s">
        <v>37</v>
      </c>
      <c r="E371" s="16" t="s">
        <v>43</v>
      </c>
      <c r="F371" s="16" t="s">
        <v>49</v>
      </c>
      <c r="G371" s="16" t="s">
        <v>49</v>
      </c>
      <c r="H371" s="16" t="s">
        <v>59</v>
      </c>
      <c r="I371" s="16" t="s">
        <v>65</v>
      </c>
      <c r="J371" s="16" t="s">
        <v>70</v>
      </c>
      <c r="K371" s="16" t="s">
        <v>74</v>
      </c>
      <c r="L371" s="16" t="s">
        <v>80</v>
      </c>
      <c r="M371" s="16" t="s">
        <v>85</v>
      </c>
      <c r="N371" s="16" t="s">
        <v>91</v>
      </c>
      <c r="O371" s="16" t="s">
        <v>99</v>
      </c>
      <c r="P371" s="16" t="s">
        <v>105</v>
      </c>
      <c r="Q371" s="16" t="s">
        <v>109</v>
      </c>
      <c r="R371" s="16" t="s">
        <v>115</v>
      </c>
      <c r="S371" s="16" t="s">
        <v>121</v>
      </c>
      <c r="T371" s="16" t="s">
        <v>127</v>
      </c>
      <c r="U371" s="16" t="s">
        <v>132</v>
      </c>
      <c r="V371" s="16" t="s">
        <v>138</v>
      </c>
      <c r="W371" s="16" t="s">
        <v>166</v>
      </c>
      <c r="X371" s="16" t="s">
        <v>837</v>
      </c>
    </row>
    <row r="372" customFormat="false" ht="15" hidden="false" customHeight="false" outlineLevel="0" collapsed="false">
      <c r="A372" s="7" t="s">
        <v>838</v>
      </c>
      <c r="B372" s="7" t="s">
        <v>193</v>
      </c>
      <c r="C372" s="16" t="s">
        <v>33</v>
      </c>
      <c r="D372" s="16" t="s">
        <v>41</v>
      </c>
      <c r="E372" s="16" t="s">
        <v>47</v>
      </c>
      <c r="F372" s="16" t="s">
        <v>49</v>
      </c>
      <c r="G372" s="16" t="s">
        <v>49</v>
      </c>
      <c r="H372" s="16" t="s">
        <v>59</v>
      </c>
      <c r="I372" s="16" t="s">
        <v>66</v>
      </c>
      <c r="J372" s="16" t="s">
        <v>70</v>
      </c>
      <c r="K372" s="16" t="s">
        <v>76</v>
      </c>
      <c r="L372" s="16" t="s">
        <v>81</v>
      </c>
      <c r="M372" s="16" t="s">
        <v>88</v>
      </c>
      <c r="N372" s="16" t="s">
        <v>91</v>
      </c>
      <c r="O372" s="16" t="s">
        <v>99</v>
      </c>
      <c r="P372" s="16" t="s">
        <v>106</v>
      </c>
      <c r="Q372" s="16" t="s">
        <v>109</v>
      </c>
      <c r="R372" s="16" t="s">
        <v>116</v>
      </c>
      <c r="S372" s="16" t="s">
        <v>123</v>
      </c>
      <c r="T372" s="16" t="s">
        <v>127</v>
      </c>
      <c r="U372" s="16" t="s">
        <v>133</v>
      </c>
      <c r="V372" s="16" t="s">
        <v>140</v>
      </c>
      <c r="W372" s="16" t="s">
        <v>166</v>
      </c>
      <c r="X372" s="16" t="s">
        <v>839</v>
      </c>
    </row>
    <row r="373" customFormat="false" ht="15" hidden="false" customHeight="false" outlineLevel="0" collapsed="false">
      <c r="A373" s="7" t="s">
        <v>840</v>
      </c>
      <c r="B373" s="7" t="s">
        <v>193</v>
      </c>
      <c r="C373" s="16" t="s">
        <v>33</v>
      </c>
      <c r="D373" s="16" t="s">
        <v>39</v>
      </c>
      <c r="E373" s="16" t="s">
        <v>45</v>
      </c>
      <c r="F373" s="16" t="s">
        <v>49</v>
      </c>
      <c r="G373" s="16" t="s">
        <v>49</v>
      </c>
      <c r="H373" s="16" t="s">
        <v>59</v>
      </c>
      <c r="I373" s="16" t="s">
        <v>65</v>
      </c>
      <c r="J373" s="16" t="s">
        <v>70</v>
      </c>
      <c r="K373" s="16" t="s">
        <v>77</v>
      </c>
      <c r="L373" s="16" t="s">
        <v>81</v>
      </c>
      <c r="M373" s="16" t="s">
        <v>86</v>
      </c>
      <c r="N373" s="16" t="s">
        <v>91</v>
      </c>
      <c r="O373" s="16" t="s">
        <v>97</v>
      </c>
      <c r="P373" s="16" t="s">
        <v>103</v>
      </c>
      <c r="Q373" s="16" t="s">
        <v>109</v>
      </c>
      <c r="R373" s="16" t="s">
        <v>116</v>
      </c>
      <c r="S373" s="16" t="s">
        <v>124</v>
      </c>
      <c r="T373" s="16" t="s">
        <v>127</v>
      </c>
      <c r="U373" s="16" t="s">
        <v>133</v>
      </c>
      <c r="V373" s="16" t="s">
        <v>138</v>
      </c>
      <c r="W373" s="16" t="s">
        <v>166</v>
      </c>
      <c r="X373" s="16" t="s">
        <v>841</v>
      </c>
    </row>
    <row r="374" customFormat="false" ht="15" hidden="false" customHeight="false" outlineLevel="0" collapsed="false">
      <c r="A374" s="7" t="s">
        <v>842</v>
      </c>
      <c r="B374" s="7" t="s">
        <v>193</v>
      </c>
      <c r="C374" s="16" t="s">
        <v>33</v>
      </c>
      <c r="D374" s="16" t="s">
        <v>39</v>
      </c>
      <c r="E374" s="16" t="s">
        <v>46</v>
      </c>
      <c r="F374" s="16" t="s">
        <v>49</v>
      </c>
      <c r="G374" s="16" t="s">
        <v>49</v>
      </c>
      <c r="H374" s="16" t="s">
        <v>59</v>
      </c>
      <c r="I374" s="16" t="s">
        <v>65</v>
      </c>
      <c r="J374" s="16" t="s">
        <v>70</v>
      </c>
      <c r="K374" s="16" t="s">
        <v>76</v>
      </c>
      <c r="L374" s="16" t="s">
        <v>80</v>
      </c>
      <c r="M374" s="16" t="s">
        <v>86</v>
      </c>
      <c r="N374" s="16" t="s">
        <v>93</v>
      </c>
      <c r="O374" s="16" t="s">
        <v>99</v>
      </c>
      <c r="P374" s="16" t="s">
        <v>106</v>
      </c>
      <c r="Q374" s="16" t="s">
        <v>110</v>
      </c>
      <c r="R374" s="16" t="s">
        <v>115</v>
      </c>
      <c r="S374" s="16" t="s">
        <v>121</v>
      </c>
      <c r="T374" s="16" t="s">
        <v>122</v>
      </c>
      <c r="U374" s="16" t="s">
        <v>134</v>
      </c>
      <c r="V374" s="16" t="s">
        <v>139</v>
      </c>
      <c r="W374" s="16" t="s">
        <v>166</v>
      </c>
      <c r="X374" s="16" t="s">
        <v>843</v>
      </c>
    </row>
    <row r="375" customFormat="false" ht="15" hidden="false" customHeight="false" outlineLevel="0" collapsed="false">
      <c r="A375" s="7" t="s">
        <v>844</v>
      </c>
      <c r="B375" s="7" t="s">
        <v>165</v>
      </c>
      <c r="C375" s="16" t="s">
        <v>31</v>
      </c>
      <c r="D375" s="16" t="s">
        <v>37</v>
      </c>
      <c r="E375" s="16" t="s">
        <v>43</v>
      </c>
      <c r="F375" s="16" t="s">
        <v>49</v>
      </c>
      <c r="G375" s="16" t="s">
        <v>49</v>
      </c>
      <c r="H375" s="16" t="s">
        <v>59</v>
      </c>
      <c r="I375" s="16" t="s">
        <v>65</v>
      </c>
      <c r="J375" s="16" t="s">
        <v>70</v>
      </c>
      <c r="K375" s="16" t="s">
        <v>75</v>
      </c>
      <c r="L375" s="16" t="s">
        <v>81</v>
      </c>
      <c r="M375" s="16" t="s">
        <v>86</v>
      </c>
      <c r="N375" s="16" t="s">
        <v>91</v>
      </c>
      <c r="O375" s="16" t="s">
        <v>99</v>
      </c>
      <c r="P375" s="16" t="s">
        <v>105</v>
      </c>
      <c r="Q375" s="16" t="s">
        <v>109</v>
      </c>
      <c r="R375" s="16" t="s">
        <v>115</v>
      </c>
      <c r="S375" s="16" t="s">
        <v>122</v>
      </c>
      <c r="T375" s="16" t="s">
        <v>122</v>
      </c>
      <c r="U375" s="16" t="s">
        <v>133</v>
      </c>
      <c r="V375" s="16" t="s">
        <v>140</v>
      </c>
      <c r="W375" s="16" t="s">
        <v>166</v>
      </c>
      <c r="X375" s="16" t="s">
        <v>444</v>
      </c>
    </row>
    <row r="376" customFormat="false" ht="15" hidden="false" customHeight="false" outlineLevel="0" collapsed="false">
      <c r="A376" s="7" t="s">
        <v>845</v>
      </c>
      <c r="B376" s="7" t="s">
        <v>165</v>
      </c>
      <c r="C376" s="16" t="s">
        <v>32</v>
      </c>
      <c r="D376" s="16" t="s">
        <v>37</v>
      </c>
      <c r="E376" s="16" t="s">
        <v>45</v>
      </c>
      <c r="F376" s="16" t="s">
        <v>49</v>
      </c>
      <c r="G376" s="16" t="s">
        <v>49</v>
      </c>
      <c r="H376" s="16" t="s">
        <v>59</v>
      </c>
      <c r="I376" s="16" t="s">
        <v>65</v>
      </c>
      <c r="J376" s="16" t="s">
        <v>71</v>
      </c>
      <c r="K376" s="16" t="s">
        <v>75</v>
      </c>
      <c r="L376" s="16" t="s">
        <v>79</v>
      </c>
      <c r="M376" s="16" t="s">
        <v>86</v>
      </c>
      <c r="N376" s="16" t="s">
        <v>91</v>
      </c>
      <c r="O376" s="16" t="s">
        <v>99</v>
      </c>
      <c r="P376" s="16" t="s">
        <v>103</v>
      </c>
      <c r="Q376" s="16" t="s">
        <v>109</v>
      </c>
      <c r="R376" s="16" t="s">
        <v>115</v>
      </c>
      <c r="S376" s="16" t="s">
        <v>123</v>
      </c>
      <c r="T376" s="16" t="s">
        <v>127</v>
      </c>
      <c r="U376" s="16" t="s">
        <v>132</v>
      </c>
      <c r="V376" s="16" t="s">
        <v>138</v>
      </c>
      <c r="W376" s="16" t="s">
        <v>166</v>
      </c>
      <c r="X376" s="16" t="s">
        <v>846</v>
      </c>
    </row>
    <row r="377" customFormat="false" ht="15" hidden="false" customHeight="false" outlineLevel="0" collapsed="false">
      <c r="A377" s="7" t="s">
        <v>847</v>
      </c>
      <c r="B377" s="7" t="s">
        <v>165</v>
      </c>
      <c r="C377" s="16" t="s">
        <v>32</v>
      </c>
      <c r="D377" s="16" t="s">
        <v>37</v>
      </c>
      <c r="E377" s="16" t="s">
        <v>43</v>
      </c>
      <c r="F377" s="16" t="s">
        <v>49</v>
      </c>
      <c r="G377" s="16" t="s">
        <v>49</v>
      </c>
      <c r="H377" s="16" t="s">
        <v>59</v>
      </c>
      <c r="I377" s="16" t="s">
        <v>65</v>
      </c>
      <c r="J377" s="16" t="s">
        <v>70</v>
      </c>
      <c r="K377" s="16" t="s">
        <v>73</v>
      </c>
      <c r="L377" s="16" t="s">
        <v>81</v>
      </c>
      <c r="M377" s="16" t="s">
        <v>85</v>
      </c>
      <c r="N377" s="16" t="s">
        <v>91</v>
      </c>
      <c r="O377" s="16" t="s">
        <v>99</v>
      </c>
      <c r="P377" s="16" t="s">
        <v>105</v>
      </c>
      <c r="Q377" s="16" t="s">
        <v>110</v>
      </c>
      <c r="R377" s="16" t="s">
        <v>116</v>
      </c>
      <c r="S377" s="16" t="s">
        <v>123</v>
      </c>
      <c r="T377" s="16" t="s">
        <v>127</v>
      </c>
      <c r="U377" s="16" t="s">
        <v>132</v>
      </c>
      <c r="V377" s="16" t="s">
        <v>138</v>
      </c>
      <c r="W377" s="16" t="s">
        <v>166</v>
      </c>
      <c r="X377" s="16" t="s">
        <v>318</v>
      </c>
    </row>
    <row r="378" customFormat="false" ht="15" hidden="false" customHeight="false" outlineLevel="0" collapsed="false">
      <c r="A378" s="7" t="s">
        <v>848</v>
      </c>
      <c r="B378" s="7" t="s">
        <v>165</v>
      </c>
      <c r="C378" s="16" t="s">
        <v>31</v>
      </c>
      <c r="D378" s="16" t="s">
        <v>37</v>
      </c>
      <c r="E378" s="16" t="s">
        <v>45</v>
      </c>
      <c r="F378" s="16" t="s">
        <v>49</v>
      </c>
      <c r="G378" s="16" t="s">
        <v>49</v>
      </c>
      <c r="H378" s="16" t="s">
        <v>59</v>
      </c>
      <c r="I378" s="16" t="s">
        <v>65</v>
      </c>
      <c r="J378" s="16" t="s">
        <v>61</v>
      </c>
      <c r="K378" s="16" t="s">
        <v>75</v>
      </c>
      <c r="L378" s="16" t="s">
        <v>80</v>
      </c>
      <c r="M378" s="16" t="s">
        <v>86</v>
      </c>
      <c r="N378" s="16" t="s">
        <v>91</v>
      </c>
      <c r="O378" s="16" t="s">
        <v>99</v>
      </c>
      <c r="P378" s="16" t="s">
        <v>103</v>
      </c>
      <c r="Q378" s="16" t="s">
        <v>109</v>
      </c>
      <c r="R378" s="16" t="s">
        <v>115</v>
      </c>
      <c r="S378" s="16" t="s">
        <v>121</v>
      </c>
      <c r="T378" s="16" t="s">
        <v>127</v>
      </c>
      <c r="U378" s="16" t="s">
        <v>132</v>
      </c>
      <c r="V378" s="16" t="s">
        <v>138</v>
      </c>
      <c r="W378" s="16" t="s">
        <v>166</v>
      </c>
      <c r="X378" s="16" t="s">
        <v>849</v>
      </c>
    </row>
    <row r="379" customFormat="false" ht="15" hidden="false" customHeight="false" outlineLevel="0" collapsed="false">
      <c r="A379" s="7" t="s">
        <v>850</v>
      </c>
      <c r="B379" s="7" t="s">
        <v>193</v>
      </c>
      <c r="C379" s="16" t="s">
        <v>33</v>
      </c>
      <c r="D379" s="16" t="s">
        <v>38</v>
      </c>
      <c r="E379" s="16" t="s">
        <v>46</v>
      </c>
      <c r="F379" s="16" t="s">
        <v>49</v>
      </c>
      <c r="G379" s="16" t="s">
        <v>55</v>
      </c>
      <c r="H379" s="16" t="s">
        <v>59</v>
      </c>
      <c r="I379" s="16" t="s">
        <v>66</v>
      </c>
      <c r="J379" s="16" t="s">
        <v>70</v>
      </c>
      <c r="K379" s="16" t="s">
        <v>77</v>
      </c>
      <c r="L379" s="16" t="s">
        <v>80</v>
      </c>
      <c r="M379" s="16" t="s">
        <v>87</v>
      </c>
      <c r="N379" s="16" t="s">
        <v>93</v>
      </c>
      <c r="O379" s="16" t="s">
        <v>99</v>
      </c>
      <c r="P379" s="16" t="s">
        <v>103</v>
      </c>
      <c r="Q379" s="16" t="s">
        <v>109</v>
      </c>
      <c r="R379" s="16" t="s">
        <v>115</v>
      </c>
      <c r="S379" s="16" t="s">
        <v>123</v>
      </c>
      <c r="T379" s="16" t="s">
        <v>127</v>
      </c>
      <c r="U379" s="16" t="s">
        <v>133</v>
      </c>
      <c r="V379" s="16" t="s">
        <v>138</v>
      </c>
      <c r="W379" s="16" t="s">
        <v>166</v>
      </c>
      <c r="X379" s="16" t="s">
        <v>851</v>
      </c>
    </row>
    <row r="380" customFormat="false" ht="15" hidden="false" customHeight="false" outlineLevel="0" collapsed="false">
      <c r="A380" s="7" t="s">
        <v>852</v>
      </c>
      <c r="B380" s="7" t="s">
        <v>165</v>
      </c>
      <c r="C380" s="16" t="s">
        <v>31</v>
      </c>
      <c r="D380" s="16" t="s">
        <v>37</v>
      </c>
      <c r="E380" s="16" t="s">
        <v>45</v>
      </c>
      <c r="F380" s="16" t="s">
        <v>49</v>
      </c>
      <c r="G380" s="16" t="s">
        <v>49</v>
      </c>
      <c r="H380" s="16" t="s">
        <v>59</v>
      </c>
      <c r="I380" s="16" t="s">
        <v>65</v>
      </c>
      <c r="J380" s="16" t="s">
        <v>70</v>
      </c>
      <c r="K380" s="16" t="s">
        <v>75</v>
      </c>
      <c r="L380" s="16" t="s">
        <v>80</v>
      </c>
      <c r="M380" s="16" t="s">
        <v>86</v>
      </c>
      <c r="N380" s="16" t="s">
        <v>93</v>
      </c>
      <c r="O380" s="16" t="s">
        <v>99</v>
      </c>
      <c r="P380" s="16" t="s">
        <v>105</v>
      </c>
      <c r="Q380" s="16" t="s">
        <v>109</v>
      </c>
      <c r="R380" s="16" t="s">
        <v>116</v>
      </c>
      <c r="S380" s="16" t="s">
        <v>121</v>
      </c>
      <c r="T380" s="16" t="s">
        <v>127</v>
      </c>
      <c r="U380" s="16" t="s">
        <v>134</v>
      </c>
      <c r="V380" s="16" t="s">
        <v>138</v>
      </c>
      <c r="W380" s="16" t="s">
        <v>166</v>
      </c>
      <c r="X380" s="16" t="s">
        <v>853</v>
      </c>
    </row>
    <row r="381" customFormat="false" ht="15" hidden="false" customHeight="false" outlineLevel="0" collapsed="false">
      <c r="A381" s="7" t="s">
        <v>854</v>
      </c>
      <c r="B381" s="7" t="s">
        <v>165</v>
      </c>
      <c r="C381" s="16" t="s">
        <v>31</v>
      </c>
      <c r="D381" s="16" t="s">
        <v>37</v>
      </c>
      <c r="E381" s="16" t="s">
        <v>43</v>
      </c>
      <c r="F381" s="16" t="s">
        <v>49</v>
      </c>
      <c r="G381" s="16" t="s">
        <v>49</v>
      </c>
      <c r="H381" s="16" t="s">
        <v>59</v>
      </c>
      <c r="I381" s="16" t="s">
        <v>65</v>
      </c>
      <c r="J381" s="16" t="s">
        <v>71</v>
      </c>
      <c r="K381" s="16" t="s">
        <v>74</v>
      </c>
      <c r="L381" s="16" t="s">
        <v>80</v>
      </c>
      <c r="M381" s="16" t="s">
        <v>85</v>
      </c>
      <c r="N381" s="16" t="s">
        <v>91</v>
      </c>
      <c r="O381" s="16" t="s">
        <v>98</v>
      </c>
      <c r="P381" s="16" t="s">
        <v>105</v>
      </c>
      <c r="Q381" s="16" t="s">
        <v>110</v>
      </c>
      <c r="R381" s="16" t="s">
        <v>115</v>
      </c>
      <c r="S381" s="16" t="s">
        <v>122</v>
      </c>
      <c r="T381" s="16" t="s">
        <v>127</v>
      </c>
      <c r="U381" s="16" t="s">
        <v>133</v>
      </c>
      <c r="V381" s="16" t="s">
        <v>138</v>
      </c>
      <c r="W381" s="16" t="s">
        <v>166</v>
      </c>
      <c r="X381" s="16" t="s">
        <v>855</v>
      </c>
    </row>
    <row r="382" customFormat="false" ht="15" hidden="false" customHeight="false" outlineLevel="0" collapsed="false">
      <c r="A382" s="7" t="s">
        <v>856</v>
      </c>
      <c r="B382" s="7" t="s">
        <v>206</v>
      </c>
      <c r="C382" s="16" t="s">
        <v>32</v>
      </c>
      <c r="D382" s="16" t="s">
        <v>37</v>
      </c>
      <c r="E382" s="16" t="s">
        <v>45</v>
      </c>
      <c r="F382" s="16" t="s">
        <v>49</v>
      </c>
      <c r="G382" s="16" t="s">
        <v>49</v>
      </c>
      <c r="H382" s="16" t="s">
        <v>59</v>
      </c>
      <c r="I382" s="16" t="s">
        <v>65</v>
      </c>
      <c r="J382" s="16" t="s">
        <v>70</v>
      </c>
      <c r="K382" s="16" t="s">
        <v>77</v>
      </c>
      <c r="L382" s="16" t="s">
        <v>82</v>
      </c>
      <c r="M382" s="16" t="s">
        <v>85</v>
      </c>
      <c r="N382" s="16" t="s">
        <v>93</v>
      </c>
      <c r="O382" s="16" t="s">
        <v>98</v>
      </c>
      <c r="P382" s="16" t="s">
        <v>105</v>
      </c>
      <c r="Q382" s="16" t="s">
        <v>110</v>
      </c>
      <c r="R382" s="16" t="s">
        <v>115</v>
      </c>
      <c r="S382" s="16" t="s">
        <v>124</v>
      </c>
      <c r="T382" s="16" t="s">
        <v>127</v>
      </c>
      <c r="U382" s="16" t="s">
        <v>133</v>
      </c>
      <c r="V382" s="16" t="s">
        <v>138</v>
      </c>
      <c r="W382" s="16" t="s">
        <v>166</v>
      </c>
      <c r="X382" s="16" t="s">
        <v>857</v>
      </c>
    </row>
    <row r="383" customFormat="false" ht="15" hidden="false" customHeight="false" outlineLevel="0" collapsed="false">
      <c r="A383" s="7" t="s">
        <v>858</v>
      </c>
      <c r="B383" s="7" t="s">
        <v>193</v>
      </c>
      <c r="C383" s="16" t="s">
        <v>34</v>
      </c>
      <c r="D383" s="16" t="s">
        <v>38</v>
      </c>
      <c r="E383" s="16" t="s">
        <v>45</v>
      </c>
      <c r="F383" s="16" t="s">
        <v>49</v>
      </c>
      <c r="G383" s="16" t="s">
        <v>49</v>
      </c>
      <c r="H383" s="16" t="s">
        <v>59</v>
      </c>
      <c r="I383" s="16" t="s">
        <v>65</v>
      </c>
      <c r="J383" s="16" t="s">
        <v>70</v>
      </c>
      <c r="K383" s="16" t="s">
        <v>77</v>
      </c>
      <c r="L383" s="16" t="s">
        <v>81</v>
      </c>
      <c r="M383" s="16" t="s">
        <v>88</v>
      </c>
      <c r="N383" s="16" t="s">
        <v>91</v>
      </c>
      <c r="O383" s="16" t="s">
        <v>99</v>
      </c>
      <c r="P383" s="16" t="s">
        <v>103</v>
      </c>
      <c r="Q383" s="16" t="s">
        <v>109</v>
      </c>
      <c r="R383" s="16" t="s">
        <v>116</v>
      </c>
      <c r="S383" s="16" t="s">
        <v>123</v>
      </c>
      <c r="T383" s="16" t="s">
        <v>129</v>
      </c>
      <c r="U383" s="16" t="s">
        <v>134</v>
      </c>
      <c r="V383" s="16" t="s">
        <v>138</v>
      </c>
      <c r="W383" s="16" t="s">
        <v>166</v>
      </c>
      <c r="X383" s="16" t="s">
        <v>636</v>
      </c>
    </row>
    <row r="384" customFormat="false" ht="15" hidden="false" customHeight="false" outlineLevel="0" collapsed="false">
      <c r="A384" s="7" t="s">
        <v>859</v>
      </c>
      <c r="B384" s="7" t="s">
        <v>165</v>
      </c>
      <c r="C384" s="16" t="s">
        <v>31</v>
      </c>
      <c r="D384" s="16" t="s">
        <v>37</v>
      </c>
      <c r="E384" s="16" t="s">
        <v>43</v>
      </c>
      <c r="F384" s="16" t="s">
        <v>49</v>
      </c>
      <c r="G384" s="16" t="s">
        <v>49</v>
      </c>
      <c r="H384" s="16" t="s">
        <v>59</v>
      </c>
      <c r="I384" s="16" t="s">
        <v>65</v>
      </c>
      <c r="J384" s="16" t="s">
        <v>70</v>
      </c>
      <c r="K384" s="16" t="s">
        <v>75</v>
      </c>
      <c r="L384" s="16" t="s">
        <v>80</v>
      </c>
      <c r="M384" s="16" t="s">
        <v>86</v>
      </c>
      <c r="N384" s="16" t="s">
        <v>91</v>
      </c>
      <c r="O384" s="16" t="s">
        <v>99</v>
      </c>
      <c r="P384" s="16" t="s">
        <v>105</v>
      </c>
      <c r="Q384" s="16" t="s">
        <v>110</v>
      </c>
      <c r="R384" s="16" t="s">
        <v>115</v>
      </c>
      <c r="S384" s="16" t="s">
        <v>123</v>
      </c>
      <c r="T384" s="16" t="s">
        <v>127</v>
      </c>
      <c r="U384" s="16" t="s">
        <v>132</v>
      </c>
      <c r="V384" s="16" t="s">
        <v>138</v>
      </c>
      <c r="W384" s="16" t="s">
        <v>166</v>
      </c>
      <c r="X384" s="16" t="s">
        <v>860</v>
      </c>
    </row>
    <row r="385" customFormat="false" ht="15" hidden="false" customHeight="false" outlineLevel="0" collapsed="false">
      <c r="A385" s="7" t="s">
        <v>861</v>
      </c>
      <c r="B385" s="7" t="s">
        <v>206</v>
      </c>
      <c r="C385" s="16" t="s">
        <v>32</v>
      </c>
      <c r="D385" s="16" t="s">
        <v>37</v>
      </c>
      <c r="E385" s="16" t="s">
        <v>45</v>
      </c>
      <c r="F385" s="16" t="s">
        <v>49</v>
      </c>
      <c r="G385" s="16" t="s">
        <v>49</v>
      </c>
      <c r="H385" s="16" t="s">
        <v>59</v>
      </c>
      <c r="I385" s="16" t="s">
        <v>65</v>
      </c>
      <c r="J385" s="16" t="s">
        <v>70</v>
      </c>
      <c r="K385" s="16" t="s">
        <v>76</v>
      </c>
      <c r="L385" s="16" t="s">
        <v>80</v>
      </c>
      <c r="M385" s="16" t="s">
        <v>85</v>
      </c>
      <c r="N385" s="16" t="s">
        <v>93</v>
      </c>
      <c r="O385" s="16" t="s">
        <v>99</v>
      </c>
      <c r="P385" s="16" t="s">
        <v>106</v>
      </c>
      <c r="Q385" s="16" t="s">
        <v>109</v>
      </c>
      <c r="R385" s="16" t="s">
        <v>115</v>
      </c>
      <c r="S385" s="16" t="s">
        <v>122</v>
      </c>
      <c r="T385" s="16" t="s">
        <v>128</v>
      </c>
      <c r="U385" s="16" t="s">
        <v>132</v>
      </c>
      <c r="V385" s="16" t="s">
        <v>139</v>
      </c>
      <c r="W385" s="16" t="s">
        <v>166</v>
      </c>
      <c r="X385" s="16" t="s">
        <v>764</v>
      </c>
    </row>
    <row r="386" customFormat="false" ht="15" hidden="false" customHeight="false" outlineLevel="0" collapsed="false">
      <c r="A386" s="7" t="s">
        <v>862</v>
      </c>
      <c r="B386" s="7" t="s">
        <v>206</v>
      </c>
      <c r="C386" s="16" t="s">
        <v>32</v>
      </c>
      <c r="D386" s="16" t="s">
        <v>37</v>
      </c>
      <c r="E386" s="16" t="s">
        <v>46</v>
      </c>
      <c r="F386" s="16" t="s">
        <v>49</v>
      </c>
      <c r="G386" s="16" t="s">
        <v>49</v>
      </c>
      <c r="H386" s="16" t="s">
        <v>59</v>
      </c>
      <c r="I386" s="16" t="s">
        <v>65</v>
      </c>
      <c r="J386" s="16" t="s">
        <v>71</v>
      </c>
      <c r="K386" s="16" t="s">
        <v>77</v>
      </c>
      <c r="L386" s="16" t="s">
        <v>81</v>
      </c>
      <c r="M386" s="16" t="s">
        <v>87</v>
      </c>
      <c r="N386" s="16" t="s">
        <v>91</v>
      </c>
      <c r="O386" s="16" t="s">
        <v>99</v>
      </c>
      <c r="P386" s="16" t="s">
        <v>105</v>
      </c>
      <c r="Q386" s="16" t="s">
        <v>112</v>
      </c>
      <c r="R386" s="16" t="s">
        <v>117</v>
      </c>
      <c r="S386" s="16" t="s">
        <v>122</v>
      </c>
      <c r="T386" s="16" t="s">
        <v>127</v>
      </c>
      <c r="U386" s="16" t="s">
        <v>133</v>
      </c>
      <c r="V386" s="16" t="s">
        <v>138</v>
      </c>
      <c r="W386" s="16" t="s">
        <v>166</v>
      </c>
      <c r="X386" s="16" t="s">
        <v>863</v>
      </c>
    </row>
    <row r="387" customFormat="false" ht="15" hidden="false" customHeight="false" outlineLevel="0" collapsed="false">
      <c r="A387" s="7" t="s">
        <v>864</v>
      </c>
      <c r="B387" s="7" t="s">
        <v>165</v>
      </c>
      <c r="C387" s="16" t="s">
        <v>31</v>
      </c>
      <c r="D387" s="16" t="s">
        <v>37</v>
      </c>
      <c r="E387" s="16" t="s">
        <v>46</v>
      </c>
      <c r="F387" s="16" t="s">
        <v>49</v>
      </c>
      <c r="G387" s="16" t="s">
        <v>49</v>
      </c>
      <c r="H387" s="16" t="s">
        <v>59</v>
      </c>
      <c r="I387" s="16" t="s">
        <v>65</v>
      </c>
      <c r="J387" s="16" t="s">
        <v>70</v>
      </c>
      <c r="K387" s="16" t="s">
        <v>75</v>
      </c>
      <c r="L387" s="16" t="s">
        <v>80</v>
      </c>
      <c r="M387" s="16" t="s">
        <v>85</v>
      </c>
      <c r="N387" s="16" t="s">
        <v>91</v>
      </c>
      <c r="O387" s="16" t="s">
        <v>99</v>
      </c>
      <c r="P387" s="16" t="s">
        <v>105</v>
      </c>
      <c r="Q387" s="16" t="s">
        <v>111</v>
      </c>
      <c r="R387" s="16" t="s">
        <v>115</v>
      </c>
      <c r="S387" s="16" t="s">
        <v>121</v>
      </c>
      <c r="T387" s="16" t="s">
        <v>128</v>
      </c>
      <c r="U387" s="16" t="s">
        <v>133</v>
      </c>
      <c r="V387" s="16" t="s">
        <v>138</v>
      </c>
      <c r="W387" s="16" t="s">
        <v>166</v>
      </c>
      <c r="X387" s="16" t="s">
        <v>865</v>
      </c>
    </row>
    <row r="388" customFormat="false" ht="15" hidden="false" customHeight="false" outlineLevel="0" collapsed="false">
      <c r="A388" s="7" t="s">
        <v>866</v>
      </c>
      <c r="B388" s="7" t="s">
        <v>165</v>
      </c>
      <c r="C388" s="16" t="s">
        <v>31</v>
      </c>
      <c r="D388" s="16" t="s">
        <v>37</v>
      </c>
      <c r="E388" s="16" t="s">
        <v>43</v>
      </c>
      <c r="F388" s="16" t="s">
        <v>49</v>
      </c>
      <c r="G388" s="16" t="s">
        <v>49</v>
      </c>
      <c r="H388" s="16" t="s">
        <v>59</v>
      </c>
      <c r="I388" s="16" t="s">
        <v>65</v>
      </c>
      <c r="J388" s="16" t="s">
        <v>71</v>
      </c>
      <c r="K388" s="16" t="s">
        <v>74</v>
      </c>
      <c r="L388" s="16" t="s">
        <v>80</v>
      </c>
      <c r="M388" s="16" t="s">
        <v>85</v>
      </c>
      <c r="N388" s="16" t="s">
        <v>91</v>
      </c>
      <c r="O388" s="16" t="s">
        <v>99</v>
      </c>
      <c r="P388" s="16" t="s">
        <v>105</v>
      </c>
      <c r="Q388" s="16" t="s">
        <v>109</v>
      </c>
      <c r="R388" s="16" t="s">
        <v>115</v>
      </c>
      <c r="S388" s="16" t="s">
        <v>122</v>
      </c>
      <c r="T388" s="16" t="s">
        <v>127</v>
      </c>
      <c r="U388" s="16" t="s">
        <v>134</v>
      </c>
      <c r="V388" s="16" t="s">
        <v>138</v>
      </c>
      <c r="W388" s="16" t="s">
        <v>166</v>
      </c>
      <c r="X388" s="16" t="s">
        <v>867</v>
      </c>
    </row>
    <row r="389" customFormat="false" ht="15" hidden="false" customHeight="false" outlineLevel="0" collapsed="false">
      <c r="A389" s="7" t="s">
        <v>868</v>
      </c>
      <c r="B389" s="7" t="s">
        <v>165</v>
      </c>
      <c r="C389" s="16" t="s">
        <v>32</v>
      </c>
      <c r="D389" s="16" t="s">
        <v>37</v>
      </c>
      <c r="E389" s="16" t="s">
        <v>45</v>
      </c>
      <c r="F389" s="16" t="s">
        <v>49</v>
      </c>
      <c r="G389" s="16" t="s">
        <v>49</v>
      </c>
      <c r="H389" s="16" t="s">
        <v>59</v>
      </c>
      <c r="I389" s="16" t="s">
        <v>65</v>
      </c>
      <c r="J389" s="16" t="s">
        <v>70</v>
      </c>
      <c r="K389" s="16" t="s">
        <v>75</v>
      </c>
      <c r="L389" s="16" t="s">
        <v>79</v>
      </c>
      <c r="M389" s="16" t="s">
        <v>86</v>
      </c>
      <c r="N389" s="16" t="s">
        <v>91</v>
      </c>
      <c r="O389" s="16" t="s">
        <v>99</v>
      </c>
      <c r="P389" s="16" t="s">
        <v>103</v>
      </c>
      <c r="Q389" s="16" t="s">
        <v>109</v>
      </c>
      <c r="R389" s="16" t="s">
        <v>115</v>
      </c>
      <c r="S389" s="16" t="s">
        <v>122</v>
      </c>
      <c r="T389" s="16" t="s">
        <v>127</v>
      </c>
      <c r="U389" s="16" t="s">
        <v>132</v>
      </c>
      <c r="V389" s="16" t="s">
        <v>138</v>
      </c>
      <c r="W389" s="16" t="s">
        <v>166</v>
      </c>
      <c r="X389" s="16" t="s">
        <v>869</v>
      </c>
    </row>
    <row r="390" customFormat="false" ht="15" hidden="false" customHeight="false" outlineLevel="0" collapsed="false">
      <c r="A390" s="7" t="s">
        <v>870</v>
      </c>
      <c r="B390" s="7" t="s">
        <v>193</v>
      </c>
      <c r="C390" s="16" t="s">
        <v>33</v>
      </c>
      <c r="D390" s="16" t="s">
        <v>40</v>
      </c>
      <c r="E390" s="16" t="s">
        <v>46</v>
      </c>
      <c r="F390" s="16" t="s">
        <v>49</v>
      </c>
      <c r="G390" s="16" t="s">
        <v>49</v>
      </c>
      <c r="H390" s="16" t="s">
        <v>59</v>
      </c>
      <c r="I390" s="16" t="s">
        <v>65</v>
      </c>
      <c r="J390" s="16" t="s">
        <v>70</v>
      </c>
      <c r="K390" s="16" t="s">
        <v>77</v>
      </c>
      <c r="L390" s="16" t="s">
        <v>79</v>
      </c>
      <c r="M390" s="16" t="s">
        <v>87</v>
      </c>
      <c r="N390" s="16" t="s">
        <v>94</v>
      </c>
      <c r="O390" s="16" t="s">
        <v>97</v>
      </c>
      <c r="P390" s="16" t="s">
        <v>105</v>
      </c>
      <c r="Q390" s="16" t="s">
        <v>112</v>
      </c>
      <c r="R390" s="16" t="s">
        <v>117</v>
      </c>
      <c r="S390" s="16" t="s">
        <v>122</v>
      </c>
      <c r="T390" s="16" t="s">
        <v>128</v>
      </c>
      <c r="U390" s="16" t="s">
        <v>133</v>
      </c>
      <c r="V390" s="16" t="s">
        <v>138</v>
      </c>
      <c r="W390" s="16" t="s">
        <v>166</v>
      </c>
      <c r="X390" s="16" t="s">
        <v>612</v>
      </c>
    </row>
    <row r="391" customFormat="false" ht="15" hidden="false" customHeight="false" outlineLevel="0" collapsed="false">
      <c r="A391" s="7" t="s">
        <v>871</v>
      </c>
      <c r="B391" s="7" t="s">
        <v>165</v>
      </c>
      <c r="C391" s="16" t="s">
        <v>31</v>
      </c>
      <c r="D391" s="16" t="s">
        <v>37</v>
      </c>
      <c r="E391" s="16" t="s">
        <v>43</v>
      </c>
      <c r="F391" s="16" t="s">
        <v>49</v>
      </c>
      <c r="G391" s="16" t="s">
        <v>49</v>
      </c>
      <c r="H391" s="16" t="s">
        <v>59</v>
      </c>
      <c r="I391" s="16" t="s">
        <v>65</v>
      </c>
      <c r="J391" s="16" t="s">
        <v>70</v>
      </c>
      <c r="K391" s="16" t="s">
        <v>75</v>
      </c>
      <c r="L391" s="16" t="s">
        <v>80</v>
      </c>
      <c r="M391" s="16" t="s">
        <v>85</v>
      </c>
      <c r="N391" s="16" t="s">
        <v>92</v>
      </c>
      <c r="O391" s="16" t="s">
        <v>99</v>
      </c>
      <c r="P391" s="16" t="s">
        <v>104</v>
      </c>
      <c r="Q391" s="16" t="s">
        <v>109</v>
      </c>
      <c r="R391" s="16" t="s">
        <v>115</v>
      </c>
      <c r="S391" s="16" t="s">
        <v>123</v>
      </c>
      <c r="T391" s="16" t="s">
        <v>127</v>
      </c>
      <c r="U391" s="16" t="s">
        <v>132</v>
      </c>
      <c r="V391" s="16" t="s">
        <v>138</v>
      </c>
      <c r="W391" s="16" t="s">
        <v>166</v>
      </c>
      <c r="X391" s="16" t="s">
        <v>872</v>
      </c>
    </row>
    <row r="392" customFormat="false" ht="15" hidden="false" customHeight="false" outlineLevel="0" collapsed="false">
      <c r="A392" s="7" t="s">
        <v>873</v>
      </c>
      <c r="B392" s="7" t="s">
        <v>165</v>
      </c>
      <c r="C392" s="16" t="s">
        <v>31</v>
      </c>
      <c r="D392" s="16" t="s">
        <v>37</v>
      </c>
      <c r="E392" s="16" t="s">
        <v>45</v>
      </c>
      <c r="F392" s="16" t="s">
        <v>49</v>
      </c>
      <c r="G392" s="16" t="s">
        <v>49</v>
      </c>
      <c r="H392" s="16" t="s">
        <v>59</v>
      </c>
      <c r="I392" s="16" t="s">
        <v>65</v>
      </c>
      <c r="J392" s="16" t="s">
        <v>70</v>
      </c>
      <c r="K392" s="16" t="s">
        <v>75</v>
      </c>
      <c r="L392" s="16" t="s">
        <v>81</v>
      </c>
      <c r="M392" s="16" t="s">
        <v>86</v>
      </c>
      <c r="N392" s="16" t="s">
        <v>91</v>
      </c>
      <c r="O392" s="16" t="s">
        <v>97</v>
      </c>
      <c r="P392" s="16" t="s">
        <v>105</v>
      </c>
      <c r="Q392" s="16" t="s">
        <v>109</v>
      </c>
      <c r="R392" s="16" t="s">
        <v>115</v>
      </c>
      <c r="S392" s="16" t="s">
        <v>122</v>
      </c>
      <c r="T392" s="16" t="s">
        <v>122</v>
      </c>
      <c r="U392" s="16" t="s">
        <v>132</v>
      </c>
      <c r="V392" s="16" t="s">
        <v>138</v>
      </c>
      <c r="W392" s="16" t="s">
        <v>166</v>
      </c>
      <c r="X392" s="16" t="s">
        <v>796</v>
      </c>
    </row>
    <row r="393" customFormat="false" ht="15" hidden="false" customHeight="false" outlineLevel="0" collapsed="false">
      <c r="A393" s="7" t="s">
        <v>874</v>
      </c>
      <c r="B393" s="7" t="s">
        <v>165</v>
      </c>
      <c r="C393" s="16" t="s">
        <v>31</v>
      </c>
      <c r="D393" s="16" t="s">
        <v>37</v>
      </c>
      <c r="E393" s="16" t="s">
        <v>43</v>
      </c>
      <c r="F393" s="16" t="s">
        <v>49</v>
      </c>
      <c r="G393" s="16" t="s">
        <v>49</v>
      </c>
      <c r="H393" s="16" t="s">
        <v>59</v>
      </c>
      <c r="I393" s="16" t="s">
        <v>65</v>
      </c>
      <c r="J393" s="16" t="s">
        <v>70</v>
      </c>
      <c r="K393" s="16" t="s">
        <v>74</v>
      </c>
      <c r="L393" s="16" t="s">
        <v>80</v>
      </c>
      <c r="M393" s="16" t="s">
        <v>86</v>
      </c>
      <c r="N393" s="16" t="s">
        <v>92</v>
      </c>
      <c r="O393" s="16" t="s">
        <v>98</v>
      </c>
      <c r="P393" s="16" t="s">
        <v>105</v>
      </c>
      <c r="Q393" s="16" t="s">
        <v>109</v>
      </c>
      <c r="R393" s="16" t="s">
        <v>115</v>
      </c>
      <c r="S393" s="16" t="s">
        <v>122</v>
      </c>
      <c r="T393" s="16" t="s">
        <v>127</v>
      </c>
      <c r="U393" s="16" t="s">
        <v>132</v>
      </c>
      <c r="V393" s="16" t="s">
        <v>138</v>
      </c>
      <c r="W393" s="16" t="s">
        <v>166</v>
      </c>
      <c r="X393" s="16" t="s">
        <v>875</v>
      </c>
    </row>
    <row r="394" customFormat="false" ht="15" hidden="false" customHeight="false" outlineLevel="0" collapsed="false">
      <c r="A394" s="7" t="s">
        <v>876</v>
      </c>
      <c r="B394" s="7" t="s">
        <v>165</v>
      </c>
      <c r="C394" s="16" t="s">
        <v>31</v>
      </c>
      <c r="D394" s="16" t="s">
        <v>37</v>
      </c>
      <c r="E394" s="16" t="s">
        <v>43</v>
      </c>
      <c r="F394" s="16" t="s">
        <v>50</v>
      </c>
      <c r="G394" s="16" t="s">
        <v>49</v>
      </c>
      <c r="H394" s="16" t="s">
        <v>59</v>
      </c>
      <c r="I394" s="16" t="s">
        <v>65</v>
      </c>
      <c r="J394" s="16" t="s">
        <v>70</v>
      </c>
      <c r="K394" s="16" t="s">
        <v>73</v>
      </c>
      <c r="L394" s="16" t="s">
        <v>81</v>
      </c>
      <c r="M394" s="16" t="s">
        <v>86</v>
      </c>
      <c r="N394" s="16" t="s">
        <v>91</v>
      </c>
      <c r="O394" s="16" t="s">
        <v>99</v>
      </c>
      <c r="P394" s="16" t="s">
        <v>105</v>
      </c>
      <c r="Q394" s="16" t="s">
        <v>109</v>
      </c>
      <c r="R394" s="16" t="s">
        <v>115</v>
      </c>
      <c r="S394" s="16" t="s">
        <v>122</v>
      </c>
      <c r="T394" s="16" t="s">
        <v>122</v>
      </c>
      <c r="U394" s="16" t="s">
        <v>132</v>
      </c>
      <c r="V394" s="16" t="s">
        <v>139</v>
      </c>
      <c r="W394" s="16" t="s">
        <v>166</v>
      </c>
      <c r="X394" s="16" t="s">
        <v>245</v>
      </c>
    </row>
    <row r="395" customFormat="false" ht="15" hidden="false" customHeight="false" outlineLevel="0" collapsed="false">
      <c r="A395" s="7" t="s">
        <v>877</v>
      </c>
      <c r="B395" s="7" t="s">
        <v>165</v>
      </c>
      <c r="C395" s="16" t="s">
        <v>31</v>
      </c>
      <c r="D395" s="16" t="s">
        <v>37</v>
      </c>
      <c r="E395" s="16" t="s">
        <v>43</v>
      </c>
      <c r="F395" s="16" t="s">
        <v>49</v>
      </c>
      <c r="G395" s="16" t="s">
        <v>49</v>
      </c>
      <c r="H395" s="16" t="s">
        <v>59</v>
      </c>
      <c r="I395" s="16" t="s">
        <v>65</v>
      </c>
      <c r="J395" s="16" t="s">
        <v>70</v>
      </c>
      <c r="K395" s="16" t="s">
        <v>75</v>
      </c>
      <c r="L395" s="16" t="s">
        <v>81</v>
      </c>
      <c r="M395" s="16" t="s">
        <v>86</v>
      </c>
      <c r="N395" s="16" t="s">
        <v>91</v>
      </c>
      <c r="O395" s="16" t="s">
        <v>98</v>
      </c>
      <c r="P395" s="16" t="s">
        <v>103</v>
      </c>
      <c r="Q395" s="16" t="s">
        <v>109</v>
      </c>
      <c r="R395" s="16" t="s">
        <v>115</v>
      </c>
      <c r="S395" s="16" t="s">
        <v>121</v>
      </c>
      <c r="T395" s="16" t="s">
        <v>127</v>
      </c>
      <c r="U395" s="16" t="s">
        <v>132</v>
      </c>
      <c r="V395" s="16" t="s">
        <v>138</v>
      </c>
      <c r="W395" s="16" t="s">
        <v>166</v>
      </c>
      <c r="X395" s="16" t="s">
        <v>738</v>
      </c>
    </row>
    <row r="396" customFormat="false" ht="15" hidden="false" customHeight="false" outlineLevel="0" collapsed="false">
      <c r="A396" s="7" t="s">
        <v>878</v>
      </c>
      <c r="B396" s="7" t="s">
        <v>165</v>
      </c>
      <c r="C396" s="16" t="s">
        <v>31</v>
      </c>
      <c r="D396" s="16" t="s">
        <v>37</v>
      </c>
      <c r="E396" s="16" t="s">
        <v>43</v>
      </c>
      <c r="F396" s="16" t="s">
        <v>49</v>
      </c>
      <c r="G396" s="16" t="s">
        <v>54</v>
      </c>
      <c r="H396" s="16" t="s">
        <v>59</v>
      </c>
      <c r="I396" s="16" t="s">
        <v>65</v>
      </c>
      <c r="J396" s="16" t="s">
        <v>70</v>
      </c>
      <c r="K396" s="16" t="s">
        <v>74</v>
      </c>
      <c r="L396" s="16" t="s">
        <v>81</v>
      </c>
      <c r="M396" s="16" t="s">
        <v>85</v>
      </c>
      <c r="N396" s="16" t="s">
        <v>91</v>
      </c>
      <c r="O396" s="16" t="s">
        <v>97</v>
      </c>
      <c r="P396" s="16" t="s">
        <v>105</v>
      </c>
      <c r="Q396" s="16" t="s">
        <v>109</v>
      </c>
      <c r="R396" s="16" t="s">
        <v>116</v>
      </c>
      <c r="S396" s="16" t="s">
        <v>122</v>
      </c>
      <c r="T396" s="16" t="s">
        <v>127</v>
      </c>
      <c r="U396" s="16" t="s">
        <v>132</v>
      </c>
      <c r="V396" s="16" t="s">
        <v>138</v>
      </c>
      <c r="W396" s="16" t="s">
        <v>166</v>
      </c>
      <c r="X396" s="16" t="s">
        <v>879</v>
      </c>
    </row>
    <row r="397" customFormat="false" ht="15" hidden="false" customHeight="false" outlineLevel="0" collapsed="false">
      <c r="A397" s="7" t="s">
        <v>880</v>
      </c>
      <c r="B397" s="7" t="s">
        <v>165</v>
      </c>
      <c r="C397" s="16" t="s">
        <v>31</v>
      </c>
      <c r="D397" s="16" t="s">
        <v>37</v>
      </c>
      <c r="E397" s="16" t="s">
        <v>47</v>
      </c>
      <c r="F397" s="16" t="s">
        <v>49</v>
      </c>
      <c r="G397" s="16" t="s">
        <v>49</v>
      </c>
      <c r="H397" s="16" t="s">
        <v>59</v>
      </c>
      <c r="I397" s="16" t="s">
        <v>65</v>
      </c>
      <c r="J397" s="16" t="s">
        <v>70</v>
      </c>
      <c r="K397" s="16" t="s">
        <v>73</v>
      </c>
      <c r="L397" s="16" t="s">
        <v>80</v>
      </c>
      <c r="M397" s="16" t="s">
        <v>86</v>
      </c>
      <c r="N397" s="16" t="s">
        <v>91</v>
      </c>
      <c r="O397" s="16" t="s">
        <v>99</v>
      </c>
      <c r="P397" s="16" t="s">
        <v>105</v>
      </c>
      <c r="Q397" s="16" t="s">
        <v>109</v>
      </c>
      <c r="R397" s="16" t="s">
        <v>118</v>
      </c>
      <c r="S397" s="16" t="s">
        <v>121</v>
      </c>
      <c r="T397" s="16" t="s">
        <v>127</v>
      </c>
      <c r="U397" s="16" t="s">
        <v>132</v>
      </c>
      <c r="V397" s="16" t="s">
        <v>139</v>
      </c>
      <c r="W397" s="16" t="s">
        <v>166</v>
      </c>
      <c r="X397" s="16" t="s">
        <v>881</v>
      </c>
    </row>
    <row r="398" customFormat="false" ht="15" hidden="false" customHeight="false" outlineLevel="0" collapsed="false">
      <c r="A398" s="7" t="s">
        <v>882</v>
      </c>
      <c r="B398" s="7" t="s">
        <v>165</v>
      </c>
      <c r="C398" s="16" t="s">
        <v>31</v>
      </c>
      <c r="D398" s="16" t="s">
        <v>37</v>
      </c>
      <c r="E398" s="16" t="s">
        <v>43</v>
      </c>
      <c r="F398" s="16" t="s">
        <v>49</v>
      </c>
      <c r="G398" s="16" t="s">
        <v>54</v>
      </c>
      <c r="H398" s="16" t="s">
        <v>59</v>
      </c>
      <c r="I398" s="16" t="s">
        <v>65</v>
      </c>
      <c r="J398" s="16" t="s">
        <v>70</v>
      </c>
      <c r="K398" s="16" t="s">
        <v>74</v>
      </c>
      <c r="L398" s="16" t="s">
        <v>81</v>
      </c>
      <c r="M398" s="16" t="s">
        <v>87</v>
      </c>
      <c r="N398" s="16" t="s">
        <v>91</v>
      </c>
      <c r="O398" s="16" t="s">
        <v>99</v>
      </c>
      <c r="P398" s="16" t="s">
        <v>105</v>
      </c>
      <c r="Q398" s="16" t="s">
        <v>109</v>
      </c>
      <c r="R398" s="16" t="s">
        <v>115</v>
      </c>
      <c r="S398" s="16" t="s">
        <v>122</v>
      </c>
      <c r="T398" s="16" t="s">
        <v>128</v>
      </c>
      <c r="U398" s="16" t="s">
        <v>133</v>
      </c>
      <c r="V398" s="16" t="s">
        <v>138</v>
      </c>
      <c r="W398" s="16" t="s">
        <v>166</v>
      </c>
      <c r="X398" s="16" t="s">
        <v>534</v>
      </c>
    </row>
    <row r="399" customFormat="false" ht="15" hidden="false" customHeight="false" outlineLevel="0" collapsed="false">
      <c r="A399" s="7" t="s">
        <v>883</v>
      </c>
      <c r="B399" s="7" t="s">
        <v>165</v>
      </c>
      <c r="C399" s="16" t="s">
        <v>31</v>
      </c>
      <c r="D399" s="16" t="s">
        <v>37</v>
      </c>
      <c r="E399" s="16" t="s">
        <v>45</v>
      </c>
      <c r="F399" s="16" t="s">
        <v>49</v>
      </c>
      <c r="G399" s="16" t="s">
        <v>49</v>
      </c>
      <c r="H399" s="16" t="s">
        <v>59</v>
      </c>
      <c r="I399" s="16" t="s">
        <v>65</v>
      </c>
      <c r="J399" s="16" t="s">
        <v>70</v>
      </c>
      <c r="K399" s="16" t="s">
        <v>74</v>
      </c>
      <c r="L399" s="16" t="s">
        <v>80</v>
      </c>
      <c r="M399" s="16" t="s">
        <v>86</v>
      </c>
      <c r="N399" s="16" t="s">
        <v>91</v>
      </c>
      <c r="O399" s="16" t="s">
        <v>99</v>
      </c>
      <c r="P399" s="16" t="s">
        <v>105</v>
      </c>
      <c r="Q399" s="16" t="s">
        <v>111</v>
      </c>
      <c r="R399" s="16" t="s">
        <v>115</v>
      </c>
      <c r="S399" s="16" t="s">
        <v>122</v>
      </c>
      <c r="T399" s="16" t="s">
        <v>122</v>
      </c>
      <c r="U399" s="16" t="s">
        <v>132</v>
      </c>
      <c r="V399" s="16" t="s">
        <v>138</v>
      </c>
      <c r="W399" s="16" t="s">
        <v>166</v>
      </c>
      <c r="X399" s="16" t="s">
        <v>750</v>
      </c>
    </row>
    <row r="400" customFormat="false" ht="15" hidden="false" customHeight="false" outlineLevel="0" collapsed="false">
      <c r="A400" s="7" t="s">
        <v>884</v>
      </c>
      <c r="B400" s="7" t="s">
        <v>165</v>
      </c>
      <c r="C400" s="16" t="s">
        <v>31</v>
      </c>
      <c r="D400" s="16" t="s">
        <v>37</v>
      </c>
      <c r="E400" s="16" t="s">
        <v>45</v>
      </c>
      <c r="F400" s="16" t="s">
        <v>49</v>
      </c>
      <c r="G400" s="16" t="s">
        <v>49</v>
      </c>
      <c r="H400" s="16" t="s">
        <v>59</v>
      </c>
      <c r="I400" s="16" t="s">
        <v>65</v>
      </c>
      <c r="J400" s="16" t="s">
        <v>70</v>
      </c>
      <c r="K400" s="16" t="s">
        <v>75</v>
      </c>
      <c r="L400" s="16" t="s">
        <v>80</v>
      </c>
      <c r="M400" s="16" t="s">
        <v>89</v>
      </c>
      <c r="N400" s="16" t="s">
        <v>91</v>
      </c>
      <c r="O400" s="16" t="s">
        <v>99</v>
      </c>
      <c r="P400" s="16" t="s">
        <v>105</v>
      </c>
      <c r="Q400" s="16" t="s">
        <v>110</v>
      </c>
      <c r="R400" s="16" t="s">
        <v>115</v>
      </c>
      <c r="S400" s="16" t="s">
        <v>122</v>
      </c>
      <c r="T400" s="16" t="s">
        <v>127</v>
      </c>
      <c r="U400" s="16" t="s">
        <v>132</v>
      </c>
      <c r="V400" s="16" t="s">
        <v>138</v>
      </c>
      <c r="W400" s="16" t="s">
        <v>166</v>
      </c>
      <c r="X400" s="16" t="s">
        <v>885</v>
      </c>
    </row>
    <row r="401" customFormat="false" ht="15" hidden="false" customHeight="false" outlineLevel="0" collapsed="false">
      <c r="A401" s="7" t="s">
        <v>886</v>
      </c>
      <c r="B401" s="7" t="s">
        <v>165</v>
      </c>
      <c r="C401" s="16" t="s">
        <v>31</v>
      </c>
      <c r="D401" s="16" t="s">
        <v>37</v>
      </c>
      <c r="E401" s="16" t="s">
        <v>45</v>
      </c>
      <c r="F401" s="16" t="s">
        <v>49</v>
      </c>
      <c r="G401" s="16" t="s">
        <v>49</v>
      </c>
      <c r="H401" s="16" t="s">
        <v>59</v>
      </c>
      <c r="I401" s="16" t="s">
        <v>66</v>
      </c>
      <c r="J401" s="16" t="s">
        <v>70</v>
      </c>
      <c r="K401" s="16" t="s">
        <v>73</v>
      </c>
      <c r="L401" s="16" t="s">
        <v>80</v>
      </c>
      <c r="M401" s="16" t="s">
        <v>85</v>
      </c>
      <c r="N401" s="16" t="s">
        <v>91</v>
      </c>
      <c r="O401" s="16" t="s">
        <v>98</v>
      </c>
      <c r="P401" s="16" t="s">
        <v>106</v>
      </c>
      <c r="Q401" s="16" t="s">
        <v>111</v>
      </c>
      <c r="R401" s="16" t="s">
        <v>115</v>
      </c>
      <c r="S401" s="16" t="s">
        <v>121</v>
      </c>
      <c r="T401" s="16" t="s">
        <v>127</v>
      </c>
      <c r="U401" s="16" t="s">
        <v>135</v>
      </c>
      <c r="V401" s="16" t="s">
        <v>138</v>
      </c>
      <c r="W401" s="16" t="s">
        <v>166</v>
      </c>
      <c r="X401" s="16" t="s">
        <v>875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A1:AV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22" min="3" style="0" width="7"/>
    <col collapsed="false" customWidth="true" hidden="false" outlineLevel="0" max="23" min="23" style="0" width="14"/>
    <col collapsed="false" customWidth="true" hidden="false" outlineLevel="0" max="24" min="24" style="0" width="10"/>
    <col collapsed="false" customWidth="true" hidden="false" outlineLevel="0" max="26" min="25" style="0" width="11"/>
    <col collapsed="false" customWidth="true" hidden="false" outlineLevel="0" max="27" min="27" style="0" width="12"/>
    <col collapsed="false" customWidth="true" hidden="false" outlineLevel="0" max="32" min="28" style="0" width="11"/>
    <col collapsed="false" customWidth="true" hidden="false" outlineLevel="0" max="48" min="34" style="0" width="13"/>
  </cols>
  <sheetData>
    <row r="1" customFormat="false" ht="30" hidden="false" customHeight="true" outlineLevel="0" collapsed="false">
      <c r="A1" s="5" t="s">
        <v>160</v>
      </c>
      <c r="B1" s="5" t="s">
        <v>161</v>
      </c>
      <c r="C1" s="5" t="s">
        <v>30</v>
      </c>
      <c r="D1" s="5" t="s">
        <v>36</v>
      </c>
      <c r="E1" s="5" t="s">
        <v>42</v>
      </c>
      <c r="F1" s="5" t="s">
        <v>48</v>
      </c>
      <c r="G1" s="5" t="s">
        <v>53</v>
      </c>
      <c r="H1" s="5" t="s">
        <v>58</v>
      </c>
      <c r="I1" s="5" t="s">
        <v>64</v>
      </c>
      <c r="J1" s="5" t="s">
        <v>69</v>
      </c>
      <c r="K1" s="5" t="s">
        <v>72</v>
      </c>
      <c r="L1" s="5" t="s">
        <v>78</v>
      </c>
      <c r="M1" s="5" t="s">
        <v>84</v>
      </c>
      <c r="N1" s="5" t="s">
        <v>90</v>
      </c>
      <c r="O1" s="5" t="s">
        <v>96</v>
      </c>
      <c r="P1" s="5" t="s">
        <v>102</v>
      </c>
      <c r="Q1" s="5" t="s">
        <v>108</v>
      </c>
      <c r="R1" s="5" t="s">
        <v>114</v>
      </c>
      <c r="S1" s="5" t="s">
        <v>120</v>
      </c>
      <c r="T1" s="5" t="s">
        <v>126</v>
      </c>
      <c r="U1" s="5" t="s">
        <v>131</v>
      </c>
      <c r="V1" s="5" t="s">
        <v>137</v>
      </c>
      <c r="W1" s="5" t="s">
        <v>887</v>
      </c>
      <c r="X1" s="5" t="s">
        <v>888</v>
      </c>
      <c r="Y1" s="5" t="s">
        <v>889</v>
      </c>
      <c r="Z1" s="5" t="s">
        <v>890</v>
      </c>
      <c r="AA1" s="5" t="s">
        <v>891</v>
      </c>
      <c r="AB1" s="5" t="s">
        <v>148</v>
      </c>
      <c r="AC1" s="5" t="s">
        <v>149</v>
      </c>
      <c r="AD1" s="5" t="s">
        <v>892</v>
      </c>
      <c r="AE1" s="5" t="s">
        <v>893</v>
      </c>
      <c r="AF1" s="5" t="s">
        <v>894</v>
      </c>
      <c r="AH1" s="5" t="s">
        <v>895</v>
      </c>
      <c r="AI1" s="5" t="s">
        <v>896</v>
      </c>
      <c r="AJ1" s="5" t="s">
        <v>897</v>
      </c>
      <c r="AK1" s="5" t="s">
        <v>898</v>
      </c>
      <c r="AL1" s="5" t="s">
        <v>899</v>
      </c>
      <c r="AM1" s="5" t="s">
        <v>900</v>
      </c>
      <c r="AN1" s="5" t="s">
        <v>901</v>
      </c>
      <c r="AO1" s="5" t="s">
        <v>902</v>
      </c>
      <c r="AP1" s="5" t="s">
        <v>903</v>
      </c>
      <c r="AQ1" s="5" t="s">
        <v>904</v>
      </c>
      <c r="AR1" s="5" t="s">
        <v>905</v>
      </c>
      <c r="AS1" s="5" t="s">
        <v>906</v>
      </c>
      <c r="AT1" s="5" t="s">
        <v>907</v>
      </c>
      <c r="AU1" s="5" t="s">
        <v>908</v>
      </c>
      <c r="AV1" s="5" t="s">
        <v>909</v>
      </c>
    </row>
    <row r="2" customFormat="false" ht="15" hidden="false" customHeight="false" outlineLevel="0" collapsed="false">
      <c r="A2" s="7" t="str">
        <f aca="false">Customers!$A2</f>
        <v>NG-10252</v>
      </c>
      <c r="B2" s="7" t="str">
        <f aca="false">Customers!$B2</f>
        <v>Personal</v>
      </c>
      <c r="C2" s="8" t="n">
        <f aca="false">INDEX(Mapping!$C$2:$C$99,MATCH(C$1&amp;"|"&amp;Customers!C2,Mapping!$D$2:$D$99,0))</f>
        <v>1</v>
      </c>
      <c r="D2" s="8" t="n">
        <f aca="false">INDEX(Mapping!$C$2:$C$99,MATCH(D$1&amp;"|"&amp;Customers!D2,Mapping!$D$2:$D$99,0))</f>
        <v>1</v>
      </c>
      <c r="E2" s="8" t="n">
        <f aca="false">INDEX(Mapping!$C$2:$C$99,MATCH(E$1&amp;"|"&amp;Customers!E2,Mapping!$D$2:$D$99,0))</f>
        <v>1</v>
      </c>
      <c r="F2" s="8" t="n">
        <f aca="false">INDEX(Mapping!$C$2:$C$99,MATCH(F$1&amp;"|"&amp;Customers!F2,Mapping!$D$2:$D$99,0))</f>
        <v>1</v>
      </c>
      <c r="G2" s="8" t="n">
        <f aca="false">INDEX(Mapping!$C$2:$C$99,MATCH(G$1&amp;"|"&amp;Customers!G2,Mapping!$D$2:$D$99,0))</f>
        <v>1</v>
      </c>
      <c r="H2" s="8" t="n">
        <f aca="false">INDEX(Mapping!$C$2:$C$99,MATCH(H$1&amp;"|"&amp;Customers!H2,Mapping!$D$2:$D$99,0))</f>
        <v>1</v>
      </c>
      <c r="I2" s="8" t="n">
        <f aca="false">INDEX(Mapping!$C$2:$C$99,MATCH(I$1&amp;"|"&amp;Customers!I2,Mapping!$D$2:$D$99,0))</f>
        <v>1</v>
      </c>
      <c r="J2" s="8" t="n">
        <f aca="false">INDEX(Mapping!$C$2:$C$99,MATCH(J$1&amp;"|"&amp;Customers!J2,Mapping!$D$2:$D$99,0))</f>
        <v>1</v>
      </c>
      <c r="K2" s="8" t="n">
        <f aca="false">INDEX(Mapping!$C$2:$C$99,MATCH(K$1&amp;"|"&amp;Customers!K2,Mapping!$D$2:$D$99,0))</f>
        <v>3</v>
      </c>
      <c r="L2" s="8" t="n">
        <f aca="false">INDEX(Mapping!$C$2:$C$99,MATCH(L$1&amp;"|"&amp;Customers!L2,Mapping!$D$2:$D$99,0))</f>
        <v>3</v>
      </c>
      <c r="M2" s="8" t="n">
        <f aca="false">INDEX(Mapping!$C$2:$C$99,MATCH(M$1&amp;"|"&amp;Customers!M2,Mapping!$D$2:$D$99,0))</f>
        <v>2</v>
      </c>
      <c r="N2" s="8" t="n">
        <f aca="false">INDEX(Mapping!$C$2:$C$99,MATCH(N$1&amp;"|"&amp;Customers!N2,Mapping!$D$2:$D$99,0))</f>
        <v>1</v>
      </c>
      <c r="O2" s="8" t="n">
        <f aca="false">INDEX(Mapping!$C$2:$C$99,MATCH(O$1&amp;"|"&amp;Customers!O2,Mapping!$D$2:$D$99,0))</f>
        <v>3</v>
      </c>
      <c r="P2" s="8" t="n">
        <f aca="false">INDEX(Mapping!$C$2:$C$99,MATCH(P$1&amp;"|"&amp;Customers!P2,Mapping!$D$2:$D$99,0))</f>
        <v>3</v>
      </c>
      <c r="Q2" s="8" t="n">
        <f aca="false">INDEX(Mapping!$C$2:$C$99,MATCH(Q$1&amp;"|"&amp;Customers!Q2,Mapping!$D$2:$D$99,0))</f>
        <v>3</v>
      </c>
      <c r="R2" s="8" t="n">
        <f aca="false">INDEX(Mapping!$C$2:$C$99,MATCH(R$1&amp;"|"&amp;Customers!R2,Mapping!$D$2:$D$99,0))</f>
        <v>1</v>
      </c>
      <c r="S2" s="8" t="n">
        <f aca="false">INDEX(Mapping!$C$2:$C$99,MATCH(S$1&amp;"|"&amp;Customers!S2,Mapping!$D$2:$D$99,0))</f>
        <v>1</v>
      </c>
      <c r="T2" s="8" t="n">
        <f aca="false">INDEX(Mapping!$C$2:$C$99,MATCH(T$1&amp;"|"&amp;Customers!T2,Mapping!$D$2:$D$99,0))</f>
        <v>1</v>
      </c>
      <c r="U2" s="8" t="n">
        <f aca="false">INDEX(Mapping!$C$2:$C$99,MATCH(U$1&amp;"|"&amp;Customers!U2,Mapping!$D$2:$D$99,0))</f>
        <v>1</v>
      </c>
      <c r="V2" s="8" t="n">
        <f aca="false">INDEX(Mapping!$C$2:$C$99,MATCH(V$1&amp;"|"&amp;Customers!V2,Mapping!$D$2:$D$99,0))</f>
        <v>1</v>
      </c>
      <c r="W2" s="17" t="n">
        <f aca="false">SUMPRODUCT($C2:$V2,Weights!$C$27:$V$27)</f>
        <v>1.49</v>
      </c>
      <c r="X2" s="18" t="n">
        <f aca="false">ROUND($W2,2)</f>
        <v>1.49</v>
      </c>
      <c r="Y2" s="8" t="str">
        <f aca="false">IF($X2&lt;=2,"Low",IF($X2&lt;=3.49,"Medium","High"))</f>
        <v>Low</v>
      </c>
      <c r="Z2" s="8" t="str">
        <f aca="false">IF(OR($F2&gt;=3,$E2=5,$D2=5,$C2=5,$G2=5,$H2=5,$I2=5,$J2=5,Customers!$W2="Yes"),"Yes","No")</f>
        <v>No</v>
      </c>
      <c r="AA2" s="15" t="str">
        <f aca="false">IF($Z2="Yes","High",$Y2)</f>
        <v>Low</v>
      </c>
      <c r="AB2" s="18" t="n">
        <f aca="false">SUMPRODUCT($C2:$G2,Weights!$C$28:$G$28)</f>
        <v>1</v>
      </c>
      <c r="AC2" s="18" t="n">
        <f aca="false">SUMPRODUCT($H2:$J2,Weights!$H$28:$J$28)</f>
        <v>1</v>
      </c>
      <c r="AD2" s="18" t="n">
        <f aca="false">SUMPRODUCT($K2:$N2,Weights!$K$28:$N$28)</f>
        <v>2.45</v>
      </c>
      <c r="AE2" s="18" t="n">
        <f aca="false">SUMPRODUCT($O2:$Q2,Weights!$O$28:$Q$28)</f>
        <v>3</v>
      </c>
      <c r="AF2" s="18" t="n">
        <f aca="false">SUMPRODUCT($R2:$V2,Weights!$R$28:$V$28)</f>
        <v>1</v>
      </c>
      <c r="AH2" s="18" t="n">
        <f aca="false">SUMPRODUCT($AB2:$AF2,Validation!$D$7:$H$7)</f>
        <v>1.55999999999995</v>
      </c>
      <c r="AI2" s="18" t="n">
        <f aca="false">SUMPRODUCT($AB2:$AF2,Validation!$D$8:$H$8)</f>
        <v>1.42000000000005</v>
      </c>
      <c r="AJ2" s="18" t="n">
        <f aca="false">SUMPRODUCT($AB2:$AF2,Validation!$D$9:$H$9)</f>
        <v>1.55533333333315</v>
      </c>
      <c r="AK2" s="18" t="n">
        <f aca="false">SUMPRODUCT($AB2:$AF2,Validation!$D$10:$H$10)</f>
        <v>1.42466666666685</v>
      </c>
      <c r="AL2" s="18" t="n">
        <f aca="false">SUMPRODUCT($AB2:$AF2,Validation!$D$11:$H$11)</f>
        <v>1.37</v>
      </c>
      <c r="AM2" s="18" t="n">
        <f aca="false">SUMPRODUCT($AB2:$AF2,Validation!$D$12:$H$12)</f>
        <v>1.61</v>
      </c>
      <c r="AN2" s="18" t="n">
        <f aca="false">SUMPRODUCT($AB2:$AF2,Validation!$D$13:$H$13)</f>
        <v>1.3222222222219</v>
      </c>
      <c r="AO2" s="18" t="n">
        <f aca="false">SUMPRODUCT($AB2:$AF2,Validation!$D$14:$H$14)</f>
        <v>1.6577777777781</v>
      </c>
      <c r="AP2" s="18" t="n">
        <f aca="false">SUMPRODUCT($AB2:$AF2,Validation!$D$15:$H$15)</f>
        <v>1.54764705882325</v>
      </c>
      <c r="AQ2" s="18" t="n">
        <f aca="false">SUMPRODUCT($AB2:$AF2,Validation!$D$16:$H$16)</f>
        <v>1.43235294117675</v>
      </c>
      <c r="AR2" s="8" t="n">
        <f aca="false">COUNTIF($C2:$V2,"&gt;=4")</f>
        <v>0</v>
      </c>
      <c r="AS2" s="8" t="str">
        <f aca="false">IF($X2&lt;=1.6,"Low",IF($X2&lt;=2.2,"Medium","High"))</f>
        <v>Low</v>
      </c>
      <c r="AT2" s="8" t="str">
        <f aca="false">IF($AR2=0,"Low",IF($AR2&lt;3,"Medium","High"))</f>
        <v>Low</v>
      </c>
      <c r="AU2" s="8" t="str">
        <f aca="false">IF(OR($AS2="High",$AT2="High"),"High",IF(OR($AS2="Medium",$AT2="Medium"),"Medium","Low"))</f>
        <v>Low</v>
      </c>
      <c r="AV2" s="15" t="str">
        <f aca="false">IF($Z2="Yes","High",$AU2)</f>
        <v>Low</v>
      </c>
    </row>
    <row r="3" customFormat="false" ht="15" hidden="false" customHeight="false" outlineLevel="0" collapsed="false">
      <c r="A3" s="7" t="str">
        <f aca="false">Customers!$A3</f>
        <v>NG-10111</v>
      </c>
      <c r="B3" s="7" t="str">
        <f aca="false">Customers!$B3</f>
        <v>Personal</v>
      </c>
      <c r="C3" s="8" t="n">
        <f aca="false">INDEX(Mapping!$C$2:$C$99,MATCH(C$1&amp;"|"&amp;Customers!C3,Mapping!$D$2:$D$99,0))</f>
        <v>2</v>
      </c>
      <c r="D3" s="8" t="n">
        <f aca="false">INDEX(Mapping!$C$2:$C$99,MATCH(D$1&amp;"|"&amp;Customers!D3,Mapping!$D$2:$D$99,0))</f>
        <v>1</v>
      </c>
      <c r="E3" s="8" t="n">
        <f aca="false">INDEX(Mapping!$C$2:$C$99,MATCH(E$1&amp;"|"&amp;Customers!E3,Mapping!$D$2:$D$99,0))</f>
        <v>3</v>
      </c>
      <c r="F3" s="8" t="n">
        <f aca="false">INDEX(Mapping!$C$2:$C$99,MATCH(F$1&amp;"|"&amp;Customers!F3,Mapping!$D$2:$D$99,0))</f>
        <v>1</v>
      </c>
      <c r="G3" s="8" t="n">
        <f aca="false">INDEX(Mapping!$C$2:$C$99,MATCH(G$1&amp;"|"&amp;Customers!G3,Mapping!$D$2:$D$99,0))</f>
        <v>1</v>
      </c>
      <c r="H3" s="8" t="n">
        <f aca="false">INDEX(Mapping!$C$2:$C$99,MATCH(H$1&amp;"|"&amp;Customers!H3,Mapping!$D$2:$D$99,0))</f>
        <v>1</v>
      </c>
      <c r="I3" s="8" t="n">
        <f aca="false">INDEX(Mapping!$C$2:$C$99,MATCH(I$1&amp;"|"&amp;Customers!I3,Mapping!$D$2:$D$99,0))</f>
        <v>1</v>
      </c>
      <c r="J3" s="8" t="n">
        <f aca="false">INDEX(Mapping!$C$2:$C$99,MATCH(J$1&amp;"|"&amp;Customers!J3,Mapping!$D$2:$D$99,0))</f>
        <v>1</v>
      </c>
      <c r="K3" s="8" t="n">
        <f aca="false">INDEX(Mapping!$C$2:$C$99,MATCH(K$1&amp;"|"&amp;Customers!K3,Mapping!$D$2:$D$99,0))</f>
        <v>2</v>
      </c>
      <c r="L3" s="8" t="n">
        <f aca="false">INDEX(Mapping!$C$2:$C$99,MATCH(L$1&amp;"|"&amp;Customers!L3,Mapping!$D$2:$D$99,0))</f>
        <v>3</v>
      </c>
      <c r="M3" s="8" t="n">
        <f aca="false">INDEX(Mapping!$C$2:$C$99,MATCH(M$1&amp;"|"&amp;Customers!M3,Mapping!$D$2:$D$99,0))</f>
        <v>1</v>
      </c>
      <c r="N3" s="8" t="n">
        <f aca="false">INDEX(Mapping!$C$2:$C$99,MATCH(N$1&amp;"|"&amp;Customers!N3,Mapping!$D$2:$D$99,0))</f>
        <v>1</v>
      </c>
      <c r="O3" s="8" t="n">
        <f aca="false">INDEX(Mapping!$C$2:$C$99,MATCH(O$1&amp;"|"&amp;Customers!O3,Mapping!$D$2:$D$99,0))</f>
        <v>1</v>
      </c>
      <c r="P3" s="8" t="n">
        <f aca="false">INDEX(Mapping!$C$2:$C$99,MATCH(P$1&amp;"|"&amp;Customers!P3,Mapping!$D$2:$D$99,0))</f>
        <v>1</v>
      </c>
      <c r="Q3" s="8" t="n">
        <f aca="false">INDEX(Mapping!$C$2:$C$99,MATCH(Q$1&amp;"|"&amp;Customers!Q3,Mapping!$D$2:$D$99,0))</f>
        <v>3</v>
      </c>
      <c r="R3" s="8" t="n">
        <f aca="false">INDEX(Mapping!$C$2:$C$99,MATCH(R$1&amp;"|"&amp;Customers!R3,Mapping!$D$2:$D$99,0))</f>
        <v>2</v>
      </c>
      <c r="S3" s="8" t="n">
        <f aca="false">INDEX(Mapping!$C$2:$C$99,MATCH(S$1&amp;"|"&amp;Customers!S3,Mapping!$D$2:$D$99,0))</f>
        <v>2</v>
      </c>
      <c r="T3" s="8" t="n">
        <f aca="false">INDEX(Mapping!$C$2:$C$99,MATCH(T$1&amp;"|"&amp;Customers!T3,Mapping!$D$2:$D$99,0))</f>
        <v>4</v>
      </c>
      <c r="U3" s="8" t="n">
        <f aca="false">INDEX(Mapping!$C$2:$C$99,MATCH(U$1&amp;"|"&amp;Customers!U3,Mapping!$D$2:$D$99,0))</f>
        <v>1</v>
      </c>
      <c r="V3" s="8" t="n">
        <f aca="false">INDEX(Mapping!$C$2:$C$99,MATCH(V$1&amp;"|"&amp;Customers!V3,Mapping!$D$2:$D$99,0))</f>
        <v>1</v>
      </c>
      <c r="W3" s="17" t="n">
        <f aca="false">SUMPRODUCT($C3:$V3,Weights!$C$27:$V$27)</f>
        <v>1.5925</v>
      </c>
      <c r="X3" s="18" t="n">
        <f aca="false">ROUND($W3,2)</f>
        <v>1.59</v>
      </c>
      <c r="Y3" s="8" t="str">
        <f aca="false">IF($X3&lt;=2,"Low",IF($X3&lt;=3.49,"Medium","High"))</f>
        <v>Low</v>
      </c>
      <c r="Z3" s="8" t="str">
        <f aca="false">IF(OR($F3&gt;=3,$E3=5,$D3=5,$C3=5,$G3=5,$H3=5,$I3=5,$J3=5,Customers!$W3="Yes"),"Yes","No")</f>
        <v>No</v>
      </c>
      <c r="AA3" s="15" t="str">
        <f aca="false">IF($Z3="Yes","High",$Y3)</f>
        <v>Low</v>
      </c>
      <c r="AB3" s="18" t="n">
        <f aca="false">SUMPRODUCT($C3:$G3,Weights!$C$28:$G$28)</f>
        <v>1.7</v>
      </c>
      <c r="AC3" s="18" t="n">
        <f aca="false">SUMPRODUCT($H3:$J3,Weights!$H$28:$J$28)</f>
        <v>1</v>
      </c>
      <c r="AD3" s="18" t="n">
        <f aca="false">SUMPRODUCT($K3:$N3,Weights!$K$28:$N$28)</f>
        <v>1.85</v>
      </c>
      <c r="AE3" s="18" t="n">
        <f aca="false">SUMPRODUCT($O3:$Q3,Weights!$O$28:$Q$28)</f>
        <v>1.4</v>
      </c>
      <c r="AF3" s="18" t="n">
        <f aca="false">SUMPRODUCT($R3:$V3,Weights!$R$28:$V$28)</f>
        <v>2.15</v>
      </c>
      <c r="AH3" s="18" t="n">
        <f aca="false">SUMPRODUCT($AB3:$AF3,Validation!$D$7:$H$7)</f>
        <v>1.5771428571431</v>
      </c>
      <c r="AI3" s="18" t="n">
        <f aca="false">SUMPRODUCT($AB3:$AF3,Validation!$D$8:$H$8)</f>
        <v>1.6078571428569</v>
      </c>
      <c r="AJ3" s="18" t="n">
        <f aca="false">SUMPRODUCT($AB3:$AF3,Validation!$D$9:$H$9)</f>
        <v>1.67150000000015</v>
      </c>
      <c r="AK3" s="18" t="n">
        <f aca="false">SUMPRODUCT($AB3:$AF3,Validation!$D$10:$H$10)</f>
        <v>1.51349999999985</v>
      </c>
      <c r="AL3" s="18" t="n">
        <f aca="false">SUMPRODUCT($AB3:$AF3,Validation!$D$11:$H$11)</f>
        <v>1.5603125</v>
      </c>
      <c r="AM3" s="18" t="n">
        <f aca="false">SUMPRODUCT($AB3:$AF3,Validation!$D$12:$H$12)</f>
        <v>1.6246875</v>
      </c>
      <c r="AN3" s="18" t="n">
        <f aca="false">SUMPRODUCT($AB3:$AF3,Validation!$D$13:$H$13)</f>
        <v>1.61388888888885</v>
      </c>
      <c r="AO3" s="18" t="n">
        <f aca="false">SUMPRODUCT($AB3:$AF3,Validation!$D$14:$H$14)</f>
        <v>1.57111111111115</v>
      </c>
      <c r="AP3" s="18" t="n">
        <f aca="false">SUMPRODUCT($AB3:$AF3,Validation!$D$15:$H$15)</f>
        <v>1.52691176470595</v>
      </c>
      <c r="AQ3" s="18" t="n">
        <f aca="false">SUMPRODUCT($AB3:$AF3,Validation!$D$16:$H$16)</f>
        <v>1.65808823529405</v>
      </c>
      <c r="AR3" s="8" t="n">
        <f aca="false">COUNTIF($C3:$V3,"&gt;=4")</f>
        <v>1</v>
      </c>
      <c r="AS3" s="8" t="str">
        <f aca="false">IF($X3&lt;=1.6,"Low",IF($X3&lt;=2.2,"Medium","High"))</f>
        <v>Low</v>
      </c>
      <c r="AT3" s="8" t="str">
        <f aca="false">IF($AR3=0,"Low",IF($AR3&lt;3,"Medium","High"))</f>
        <v>Medium</v>
      </c>
      <c r="AU3" s="8" t="str">
        <f aca="false">IF(OR($AS3="High",$AT3="High"),"High",IF(OR($AS3="Medium",$AT3="Medium"),"Medium","Low"))</f>
        <v>Medium</v>
      </c>
      <c r="AV3" s="15" t="str">
        <f aca="false">IF($Z3="Yes","High",$AU3)</f>
        <v>Medium</v>
      </c>
    </row>
    <row r="4" customFormat="false" ht="15" hidden="false" customHeight="false" outlineLevel="0" collapsed="false">
      <c r="A4" s="7" t="str">
        <f aca="false">Customers!$A4</f>
        <v>NG-10086</v>
      </c>
      <c r="B4" s="7" t="str">
        <f aca="false">Customers!$B4</f>
        <v>Personal</v>
      </c>
      <c r="C4" s="8" t="n">
        <f aca="false">INDEX(Mapping!$C$2:$C$99,MATCH(C$1&amp;"|"&amp;Customers!C4,Mapping!$D$2:$D$99,0))</f>
        <v>1</v>
      </c>
      <c r="D4" s="8" t="n">
        <f aca="false">INDEX(Mapping!$C$2:$C$99,MATCH(D$1&amp;"|"&amp;Customers!D4,Mapping!$D$2:$D$99,0))</f>
        <v>1</v>
      </c>
      <c r="E4" s="8" t="n">
        <f aca="false">INDEX(Mapping!$C$2:$C$99,MATCH(E$1&amp;"|"&amp;Customers!E4,Mapping!$D$2:$D$99,0))</f>
        <v>1</v>
      </c>
      <c r="F4" s="8" t="n">
        <f aca="false">INDEX(Mapping!$C$2:$C$99,MATCH(F$1&amp;"|"&amp;Customers!F4,Mapping!$D$2:$D$99,0))</f>
        <v>1</v>
      </c>
      <c r="G4" s="8" t="n">
        <f aca="false">INDEX(Mapping!$C$2:$C$99,MATCH(G$1&amp;"|"&amp;Customers!G4,Mapping!$D$2:$D$99,0))</f>
        <v>1</v>
      </c>
      <c r="H4" s="8" t="n">
        <f aca="false">INDEX(Mapping!$C$2:$C$99,MATCH(H$1&amp;"|"&amp;Customers!H4,Mapping!$D$2:$D$99,0))</f>
        <v>1</v>
      </c>
      <c r="I4" s="8" t="n">
        <f aca="false">INDEX(Mapping!$C$2:$C$99,MATCH(I$1&amp;"|"&amp;Customers!I4,Mapping!$D$2:$D$99,0))</f>
        <v>1</v>
      </c>
      <c r="J4" s="8" t="n">
        <f aca="false">INDEX(Mapping!$C$2:$C$99,MATCH(J$1&amp;"|"&amp;Customers!J4,Mapping!$D$2:$D$99,0))</f>
        <v>1</v>
      </c>
      <c r="K4" s="8" t="n">
        <f aca="false">INDEX(Mapping!$C$2:$C$99,MATCH(K$1&amp;"|"&amp;Customers!K4,Mapping!$D$2:$D$99,0))</f>
        <v>2</v>
      </c>
      <c r="L4" s="8" t="n">
        <f aca="false">INDEX(Mapping!$C$2:$C$99,MATCH(L$1&amp;"|"&amp;Customers!L4,Mapping!$D$2:$D$99,0))</f>
        <v>3</v>
      </c>
      <c r="M4" s="8" t="n">
        <f aca="false">INDEX(Mapping!$C$2:$C$99,MATCH(M$1&amp;"|"&amp;Customers!M4,Mapping!$D$2:$D$99,0))</f>
        <v>2</v>
      </c>
      <c r="N4" s="8" t="n">
        <f aca="false">INDEX(Mapping!$C$2:$C$99,MATCH(N$1&amp;"|"&amp;Customers!N4,Mapping!$D$2:$D$99,0))</f>
        <v>2</v>
      </c>
      <c r="O4" s="8" t="n">
        <f aca="false">INDEX(Mapping!$C$2:$C$99,MATCH(O$1&amp;"|"&amp;Customers!O4,Mapping!$D$2:$D$99,0))</f>
        <v>3</v>
      </c>
      <c r="P4" s="8" t="n">
        <f aca="false">INDEX(Mapping!$C$2:$C$99,MATCH(P$1&amp;"|"&amp;Customers!P4,Mapping!$D$2:$D$99,0))</f>
        <v>3</v>
      </c>
      <c r="Q4" s="8" t="n">
        <f aca="false">INDEX(Mapping!$C$2:$C$99,MATCH(Q$1&amp;"|"&amp;Customers!Q4,Mapping!$D$2:$D$99,0))</f>
        <v>2</v>
      </c>
      <c r="R4" s="8" t="n">
        <f aca="false">INDEX(Mapping!$C$2:$C$99,MATCH(R$1&amp;"|"&amp;Customers!R4,Mapping!$D$2:$D$99,0))</f>
        <v>1</v>
      </c>
      <c r="S4" s="8" t="n">
        <f aca="false">INDEX(Mapping!$C$2:$C$99,MATCH(S$1&amp;"|"&amp;Customers!S4,Mapping!$D$2:$D$99,0))</f>
        <v>1</v>
      </c>
      <c r="T4" s="8" t="n">
        <f aca="false">INDEX(Mapping!$C$2:$C$99,MATCH(T$1&amp;"|"&amp;Customers!T4,Mapping!$D$2:$D$99,0))</f>
        <v>2</v>
      </c>
      <c r="U4" s="8" t="n">
        <f aca="false">INDEX(Mapping!$C$2:$C$99,MATCH(U$1&amp;"|"&amp;Customers!U4,Mapping!$D$2:$D$99,0))</f>
        <v>1</v>
      </c>
      <c r="V4" s="8" t="n">
        <f aca="false">INDEX(Mapping!$C$2:$C$99,MATCH(V$1&amp;"|"&amp;Customers!V4,Mapping!$D$2:$D$99,0))</f>
        <v>1</v>
      </c>
      <c r="W4" s="17" t="n">
        <f aca="false">SUMPRODUCT($C4:$V4,Weights!$C$27:$V$27)</f>
        <v>1.46</v>
      </c>
      <c r="X4" s="18" t="n">
        <f aca="false">ROUND($W4,2)</f>
        <v>1.46</v>
      </c>
      <c r="Y4" s="8" t="str">
        <f aca="false">IF($X4&lt;=2,"Low",IF($X4&lt;=3.49,"Medium","High"))</f>
        <v>Low</v>
      </c>
      <c r="Z4" s="8" t="str">
        <f aca="false">IF(OR($F4&gt;=3,$E4=5,$D4=5,$C4=5,$G4=5,$H4=5,$I4=5,$J4=5,Customers!$W4="Yes"),"Yes","No")</f>
        <v>No</v>
      </c>
      <c r="AA4" s="15" t="str">
        <f aca="false">IF($Z4="Yes","High",$Y4)</f>
        <v>Low</v>
      </c>
      <c r="AB4" s="18" t="n">
        <f aca="false">SUMPRODUCT($C4:$G4,Weights!$C$28:$G$28)</f>
        <v>1</v>
      </c>
      <c r="AC4" s="18" t="n">
        <f aca="false">SUMPRODUCT($H4:$J4,Weights!$H$28:$J$28)</f>
        <v>1</v>
      </c>
      <c r="AD4" s="18" t="n">
        <f aca="false">SUMPRODUCT($K4:$N4,Weights!$K$28:$N$28)</f>
        <v>2.25</v>
      </c>
      <c r="AE4" s="18" t="n">
        <f aca="false">SUMPRODUCT($O4:$Q4,Weights!$O$28:$Q$28)</f>
        <v>2.8</v>
      </c>
      <c r="AF4" s="18" t="n">
        <f aca="false">SUMPRODUCT($R4:$V4,Weights!$R$28:$V$28)</f>
        <v>1.2</v>
      </c>
      <c r="AH4" s="18" t="n">
        <f aca="false">SUMPRODUCT($AB4:$AF4,Validation!$D$7:$H$7)</f>
        <v>1.52571428571435</v>
      </c>
      <c r="AI4" s="18" t="n">
        <f aca="false">SUMPRODUCT($AB4:$AF4,Validation!$D$8:$H$8)</f>
        <v>1.39428571428565</v>
      </c>
      <c r="AJ4" s="18" t="n">
        <f aca="false">SUMPRODUCT($AB4:$AF4,Validation!$D$9:$H$9)</f>
        <v>1.52133333333315</v>
      </c>
      <c r="AK4" s="18" t="n">
        <f aca="false">SUMPRODUCT($AB4:$AF4,Validation!$D$10:$H$10)</f>
        <v>1.39866666666685</v>
      </c>
      <c r="AL4" s="18" t="n">
        <f aca="false">SUMPRODUCT($AB4:$AF4,Validation!$D$11:$H$11)</f>
        <v>1.36125</v>
      </c>
      <c r="AM4" s="18" t="n">
        <f aca="false">SUMPRODUCT($AB4:$AF4,Validation!$D$12:$H$12)</f>
        <v>1.55875</v>
      </c>
      <c r="AN4" s="18" t="n">
        <f aca="false">SUMPRODUCT($AB4:$AF4,Validation!$D$13:$H$13)</f>
        <v>1.3111111111109</v>
      </c>
      <c r="AO4" s="18" t="n">
        <f aca="false">SUMPRODUCT($AB4:$AF4,Validation!$D$14:$H$14)</f>
        <v>1.6088888888891</v>
      </c>
      <c r="AP4" s="18" t="n">
        <f aca="false">SUMPRODUCT($AB4:$AF4,Validation!$D$15:$H$15)</f>
        <v>1.49058823529385</v>
      </c>
      <c r="AQ4" s="18" t="n">
        <f aca="false">SUMPRODUCT($AB4:$AF4,Validation!$D$16:$H$16)</f>
        <v>1.42941176470615</v>
      </c>
      <c r="AR4" s="8" t="n">
        <f aca="false">COUNTIF($C4:$V4,"&gt;=4")</f>
        <v>0</v>
      </c>
      <c r="AS4" s="8" t="str">
        <f aca="false">IF($X4&lt;=1.6,"Low",IF($X4&lt;=2.2,"Medium","High"))</f>
        <v>Low</v>
      </c>
      <c r="AT4" s="8" t="str">
        <f aca="false">IF($AR4=0,"Low",IF($AR4&lt;3,"Medium","High"))</f>
        <v>Low</v>
      </c>
      <c r="AU4" s="8" t="str">
        <f aca="false">IF(OR($AS4="High",$AT4="High"),"High",IF(OR($AS4="Medium",$AT4="Medium"),"Medium","Low"))</f>
        <v>Low</v>
      </c>
      <c r="AV4" s="15" t="str">
        <f aca="false">IF($Z4="Yes","High",$AU4)</f>
        <v>Low</v>
      </c>
    </row>
    <row r="5" customFormat="false" ht="15" hidden="false" customHeight="false" outlineLevel="0" collapsed="false">
      <c r="A5" s="7" t="str">
        <f aca="false">Customers!$A5</f>
        <v>NG-10203</v>
      </c>
      <c r="B5" s="7" t="str">
        <f aca="false">Customers!$B5</f>
        <v>Personal</v>
      </c>
      <c r="C5" s="8" t="n">
        <f aca="false">INDEX(Mapping!$C$2:$C$99,MATCH(C$1&amp;"|"&amp;Customers!C5,Mapping!$D$2:$D$99,0))</f>
        <v>1</v>
      </c>
      <c r="D5" s="8" t="n">
        <f aca="false">INDEX(Mapping!$C$2:$C$99,MATCH(D$1&amp;"|"&amp;Customers!D5,Mapping!$D$2:$D$99,0))</f>
        <v>1</v>
      </c>
      <c r="E5" s="8" t="n">
        <f aca="false">INDEX(Mapping!$C$2:$C$99,MATCH(E$1&amp;"|"&amp;Customers!E5,Mapping!$D$2:$D$99,0))</f>
        <v>2</v>
      </c>
      <c r="F5" s="8" t="n">
        <f aca="false">INDEX(Mapping!$C$2:$C$99,MATCH(F$1&amp;"|"&amp;Customers!F5,Mapping!$D$2:$D$99,0))</f>
        <v>1</v>
      </c>
      <c r="G5" s="8" t="n">
        <f aca="false">INDEX(Mapping!$C$2:$C$99,MATCH(G$1&amp;"|"&amp;Customers!G5,Mapping!$D$2:$D$99,0))</f>
        <v>1</v>
      </c>
      <c r="H5" s="8" t="n">
        <f aca="false">INDEX(Mapping!$C$2:$C$99,MATCH(H$1&amp;"|"&amp;Customers!H5,Mapping!$D$2:$D$99,0))</f>
        <v>1</v>
      </c>
      <c r="I5" s="8" t="n">
        <f aca="false">INDEX(Mapping!$C$2:$C$99,MATCH(I$1&amp;"|"&amp;Customers!I5,Mapping!$D$2:$D$99,0))</f>
        <v>1</v>
      </c>
      <c r="J5" s="8" t="n">
        <f aca="false">INDEX(Mapping!$C$2:$C$99,MATCH(J$1&amp;"|"&amp;Customers!J5,Mapping!$D$2:$D$99,0))</f>
        <v>2</v>
      </c>
      <c r="K5" s="8" t="n">
        <f aca="false">INDEX(Mapping!$C$2:$C$99,MATCH(K$1&amp;"|"&amp;Customers!K5,Mapping!$D$2:$D$99,0))</f>
        <v>3</v>
      </c>
      <c r="L5" s="8" t="n">
        <f aca="false">INDEX(Mapping!$C$2:$C$99,MATCH(L$1&amp;"|"&amp;Customers!L5,Mapping!$D$2:$D$99,0))</f>
        <v>3</v>
      </c>
      <c r="M5" s="8" t="n">
        <f aca="false">INDEX(Mapping!$C$2:$C$99,MATCH(M$1&amp;"|"&amp;Customers!M5,Mapping!$D$2:$D$99,0))</f>
        <v>2</v>
      </c>
      <c r="N5" s="8" t="n">
        <f aca="false">INDEX(Mapping!$C$2:$C$99,MATCH(N$1&amp;"|"&amp;Customers!N5,Mapping!$D$2:$D$99,0))</f>
        <v>2</v>
      </c>
      <c r="O5" s="8" t="n">
        <f aca="false">INDEX(Mapping!$C$2:$C$99,MATCH(O$1&amp;"|"&amp;Customers!O5,Mapping!$D$2:$D$99,0))</f>
        <v>1</v>
      </c>
      <c r="P5" s="8" t="n">
        <f aca="false">INDEX(Mapping!$C$2:$C$99,MATCH(P$1&amp;"|"&amp;Customers!P5,Mapping!$D$2:$D$99,0))</f>
        <v>3</v>
      </c>
      <c r="Q5" s="8" t="n">
        <f aca="false">INDEX(Mapping!$C$2:$C$99,MATCH(Q$1&amp;"|"&amp;Customers!Q5,Mapping!$D$2:$D$99,0))</f>
        <v>1</v>
      </c>
      <c r="R5" s="8" t="n">
        <f aca="false">INDEX(Mapping!$C$2:$C$99,MATCH(R$1&amp;"|"&amp;Customers!R5,Mapping!$D$2:$D$99,0))</f>
        <v>1</v>
      </c>
      <c r="S5" s="8" t="n">
        <f aca="false">INDEX(Mapping!$C$2:$C$99,MATCH(S$1&amp;"|"&amp;Customers!S5,Mapping!$D$2:$D$99,0))</f>
        <v>2</v>
      </c>
      <c r="T5" s="8" t="n">
        <f aca="false">INDEX(Mapping!$C$2:$C$99,MATCH(T$1&amp;"|"&amp;Customers!T5,Mapping!$D$2:$D$99,0))</f>
        <v>1</v>
      </c>
      <c r="U5" s="8" t="n">
        <f aca="false">INDEX(Mapping!$C$2:$C$99,MATCH(U$1&amp;"|"&amp;Customers!U5,Mapping!$D$2:$D$99,0))</f>
        <v>1</v>
      </c>
      <c r="V5" s="8" t="n">
        <f aca="false">INDEX(Mapping!$C$2:$C$99,MATCH(V$1&amp;"|"&amp;Customers!V5,Mapping!$D$2:$D$99,0))</f>
        <v>1</v>
      </c>
      <c r="W5" s="17" t="n">
        <f aca="false">SUMPRODUCT($C5:$V5,Weights!$C$27:$V$27)</f>
        <v>1.61</v>
      </c>
      <c r="X5" s="18" t="n">
        <f aca="false">ROUND($W5,2)</f>
        <v>1.61</v>
      </c>
      <c r="Y5" s="8" t="str">
        <f aca="false">IF($X5&lt;=2,"Low",IF($X5&lt;=3.49,"Medium","High"))</f>
        <v>Low</v>
      </c>
      <c r="Z5" s="8" t="str">
        <f aca="false">IF(OR($F5&gt;=3,$E5=5,$D5=5,$C5=5,$G5=5,$H5=5,$I5=5,$J5=5,Customers!$W5="Yes"),"Yes","No")</f>
        <v>No</v>
      </c>
      <c r="AA5" s="15" t="str">
        <f aca="false">IF($Z5="Yes","High",$Y5)</f>
        <v>Low</v>
      </c>
      <c r="AB5" s="18" t="n">
        <f aca="false">SUMPRODUCT($C5:$G5,Weights!$C$28:$G$28)</f>
        <v>1.25</v>
      </c>
      <c r="AC5" s="18" t="n">
        <f aca="false">SUMPRODUCT($H5:$J5,Weights!$H$28:$J$28)</f>
        <v>1.4</v>
      </c>
      <c r="AD5" s="18" t="n">
        <f aca="false">SUMPRODUCT($K5:$N5,Weights!$K$28:$N$28)</f>
        <v>2.6</v>
      </c>
      <c r="AE5" s="18" t="n">
        <f aca="false">SUMPRODUCT($O5:$Q5,Weights!$O$28:$Q$28)</f>
        <v>1.7</v>
      </c>
      <c r="AF5" s="18" t="n">
        <f aca="false">SUMPRODUCT($R5:$V5,Weights!$R$28:$V$28)</f>
        <v>1.3</v>
      </c>
      <c r="AH5" s="18" t="n">
        <f aca="false">SUMPRODUCT($AB5:$AF5,Validation!$D$7:$H$7)</f>
        <v>1.6614285714281</v>
      </c>
      <c r="AI5" s="18" t="n">
        <f aca="false">SUMPRODUCT($AB5:$AF5,Validation!$D$8:$H$8)</f>
        <v>1.5585714285719</v>
      </c>
      <c r="AJ5" s="18" t="n">
        <f aca="false">SUMPRODUCT($AB5:$AF5,Validation!$D$9:$H$9)</f>
        <v>1.6380000000003</v>
      </c>
      <c r="AK5" s="18" t="n">
        <f aca="false">SUMPRODUCT($AB5:$AF5,Validation!$D$10:$H$10)</f>
        <v>1.5819999999997</v>
      </c>
      <c r="AL5" s="18" t="n">
        <f aca="false">SUMPRODUCT($AB5:$AF5,Validation!$D$11:$H$11)</f>
        <v>1.48625</v>
      </c>
      <c r="AM5" s="18" t="n">
        <f aca="false">SUMPRODUCT($AB5:$AF5,Validation!$D$12:$H$12)</f>
        <v>1.73375</v>
      </c>
      <c r="AN5" s="18" t="n">
        <f aca="false">SUMPRODUCT($AB5:$AF5,Validation!$D$13:$H$13)</f>
        <v>1.59999999999975</v>
      </c>
      <c r="AO5" s="18" t="n">
        <f aca="false">SUMPRODUCT($AB5:$AF5,Validation!$D$14:$H$14)</f>
        <v>1.62000000000025</v>
      </c>
      <c r="AP5" s="18" t="n">
        <f aca="false">SUMPRODUCT($AB5:$AF5,Validation!$D$15:$H$15)</f>
        <v>1.64647058823555</v>
      </c>
      <c r="AQ5" s="18" t="n">
        <f aca="false">SUMPRODUCT($AB5:$AF5,Validation!$D$16:$H$16)</f>
        <v>1.57352941176445</v>
      </c>
      <c r="AR5" s="8" t="n">
        <f aca="false">COUNTIF($C5:$V5,"&gt;=4")</f>
        <v>0</v>
      </c>
      <c r="AS5" s="8" t="str">
        <f aca="false">IF($X5&lt;=1.6,"Low",IF($X5&lt;=2.2,"Medium","High"))</f>
        <v>Medium</v>
      </c>
      <c r="AT5" s="8" t="str">
        <f aca="false">IF($AR5=0,"Low",IF($AR5&lt;3,"Medium","High"))</f>
        <v>Low</v>
      </c>
      <c r="AU5" s="8" t="str">
        <f aca="false">IF(OR($AS5="High",$AT5="High"),"High",IF(OR($AS5="Medium",$AT5="Medium"),"Medium","Low"))</f>
        <v>Medium</v>
      </c>
      <c r="AV5" s="15" t="str">
        <f aca="false">IF($Z5="Yes","High",$AU5)</f>
        <v>Medium</v>
      </c>
    </row>
    <row r="6" customFormat="false" ht="15" hidden="false" customHeight="false" outlineLevel="0" collapsed="false">
      <c r="A6" s="7" t="str">
        <f aca="false">Customers!$A6</f>
        <v>NG-10171</v>
      </c>
      <c r="B6" s="7" t="str">
        <f aca="false">Customers!$B6</f>
        <v>Personal</v>
      </c>
      <c r="C6" s="8" t="n">
        <f aca="false">INDEX(Mapping!$C$2:$C$99,MATCH(C$1&amp;"|"&amp;Customers!C6,Mapping!$D$2:$D$99,0))</f>
        <v>1</v>
      </c>
      <c r="D6" s="8" t="n">
        <f aca="false">INDEX(Mapping!$C$2:$C$99,MATCH(D$1&amp;"|"&amp;Customers!D6,Mapping!$D$2:$D$99,0))</f>
        <v>1</v>
      </c>
      <c r="E6" s="8" t="n">
        <f aca="false">INDEX(Mapping!$C$2:$C$99,MATCH(E$1&amp;"|"&amp;Customers!E6,Mapping!$D$2:$D$99,0))</f>
        <v>1</v>
      </c>
      <c r="F6" s="8" t="n">
        <f aca="false">INDEX(Mapping!$C$2:$C$99,MATCH(F$1&amp;"|"&amp;Customers!F6,Mapping!$D$2:$D$99,0))</f>
        <v>1</v>
      </c>
      <c r="G6" s="8" t="n">
        <f aca="false">INDEX(Mapping!$C$2:$C$99,MATCH(G$1&amp;"|"&amp;Customers!G6,Mapping!$D$2:$D$99,0))</f>
        <v>1</v>
      </c>
      <c r="H6" s="8" t="n">
        <f aca="false">INDEX(Mapping!$C$2:$C$99,MATCH(H$1&amp;"|"&amp;Customers!H6,Mapping!$D$2:$D$99,0))</f>
        <v>1</v>
      </c>
      <c r="I6" s="8" t="n">
        <f aca="false">INDEX(Mapping!$C$2:$C$99,MATCH(I$1&amp;"|"&amp;Customers!I6,Mapping!$D$2:$D$99,0))</f>
        <v>1</v>
      </c>
      <c r="J6" s="8" t="n">
        <f aca="false">INDEX(Mapping!$C$2:$C$99,MATCH(J$1&amp;"|"&amp;Customers!J6,Mapping!$D$2:$D$99,0))</f>
        <v>1</v>
      </c>
      <c r="K6" s="8" t="n">
        <f aca="false">INDEX(Mapping!$C$2:$C$99,MATCH(K$1&amp;"|"&amp;Customers!K6,Mapping!$D$2:$D$99,0))</f>
        <v>2</v>
      </c>
      <c r="L6" s="8" t="n">
        <f aca="false">INDEX(Mapping!$C$2:$C$99,MATCH(L$1&amp;"|"&amp;Customers!L6,Mapping!$D$2:$D$99,0))</f>
        <v>3</v>
      </c>
      <c r="M6" s="8" t="n">
        <f aca="false">INDEX(Mapping!$C$2:$C$99,MATCH(M$1&amp;"|"&amp;Customers!M6,Mapping!$D$2:$D$99,0))</f>
        <v>2</v>
      </c>
      <c r="N6" s="8" t="n">
        <f aca="false">INDEX(Mapping!$C$2:$C$99,MATCH(N$1&amp;"|"&amp;Customers!N6,Mapping!$D$2:$D$99,0))</f>
        <v>1</v>
      </c>
      <c r="O6" s="8" t="n">
        <f aca="false">INDEX(Mapping!$C$2:$C$99,MATCH(O$1&amp;"|"&amp;Customers!O6,Mapping!$D$2:$D$99,0))</f>
        <v>3</v>
      </c>
      <c r="P6" s="8" t="n">
        <f aca="false">INDEX(Mapping!$C$2:$C$99,MATCH(P$1&amp;"|"&amp;Customers!P6,Mapping!$D$2:$D$99,0))</f>
        <v>1</v>
      </c>
      <c r="Q6" s="8" t="n">
        <f aca="false">INDEX(Mapping!$C$2:$C$99,MATCH(Q$1&amp;"|"&amp;Customers!Q6,Mapping!$D$2:$D$99,0))</f>
        <v>3</v>
      </c>
      <c r="R6" s="8" t="n">
        <f aca="false">INDEX(Mapping!$C$2:$C$99,MATCH(R$1&amp;"|"&amp;Customers!R6,Mapping!$D$2:$D$99,0))</f>
        <v>1</v>
      </c>
      <c r="S6" s="8" t="n">
        <f aca="false">INDEX(Mapping!$C$2:$C$99,MATCH(S$1&amp;"|"&amp;Customers!S6,Mapping!$D$2:$D$99,0))</f>
        <v>2</v>
      </c>
      <c r="T6" s="8" t="n">
        <f aca="false">INDEX(Mapping!$C$2:$C$99,MATCH(T$1&amp;"|"&amp;Customers!T6,Mapping!$D$2:$D$99,0))</f>
        <v>1</v>
      </c>
      <c r="U6" s="8" t="n">
        <f aca="false">INDEX(Mapping!$C$2:$C$99,MATCH(U$1&amp;"|"&amp;Customers!U6,Mapping!$D$2:$D$99,0))</f>
        <v>1</v>
      </c>
      <c r="V6" s="8" t="n">
        <f aca="false">INDEX(Mapping!$C$2:$C$99,MATCH(V$1&amp;"|"&amp;Customers!V6,Mapping!$D$2:$D$99,0))</f>
        <v>1</v>
      </c>
      <c r="W6" s="17" t="n">
        <f aca="false">SUMPRODUCT($C6:$V6,Weights!$C$27:$V$27)</f>
        <v>1.395</v>
      </c>
      <c r="X6" s="18" t="n">
        <f aca="false">ROUND($W6,2)</f>
        <v>1.4</v>
      </c>
      <c r="Y6" s="8" t="str">
        <f aca="false">IF($X6&lt;=2,"Low",IF($X6&lt;=3.49,"Medium","High"))</f>
        <v>Low</v>
      </c>
      <c r="Z6" s="8" t="str">
        <f aca="false">IF(OR($F6&gt;=3,$E6=5,$D6=5,$C6=5,$G6=5,$H6=5,$I6=5,$J6=5,Customers!$W6="Yes"),"Yes","No")</f>
        <v>No</v>
      </c>
      <c r="AA6" s="15" t="str">
        <f aca="false">IF($Z6="Yes","High",$Y6)</f>
        <v>Low</v>
      </c>
      <c r="AB6" s="18" t="n">
        <f aca="false">SUMPRODUCT($C6:$G6,Weights!$C$28:$G$28)</f>
        <v>1</v>
      </c>
      <c r="AC6" s="18" t="n">
        <f aca="false">SUMPRODUCT($H6:$J6,Weights!$H$28:$J$28)</f>
        <v>1</v>
      </c>
      <c r="AD6" s="18" t="n">
        <f aca="false">SUMPRODUCT($K6:$N6,Weights!$K$28:$N$28)</f>
        <v>2.1</v>
      </c>
      <c r="AE6" s="18" t="n">
        <f aca="false">SUMPRODUCT($O6:$Q6,Weights!$O$28:$Q$28)</f>
        <v>2.3</v>
      </c>
      <c r="AF6" s="18" t="n">
        <f aca="false">SUMPRODUCT($R6:$V6,Weights!$R$28:$V$28)</f>
        <v>1.3</v>
      </c>
      <c r="AH6" s="18" t="n">
        <f aca="false">SUMPRODUCT($AB6:$AF6,Validation!$D$7:$H$7)</f>
        <v>1.4514285714286</v>
      </c>
      <c r="AI6" s="18" t="n">
        <f aca="false">SUMPRODUCT($AB6:$AF6,Validation!$D$8:$H$8)</f>
        <v>1.3385714285714</v>
      </c>
      <c r="AJ6" s="18" t="n">
        <f aca="false">SUMPRODUCT($AB6:$AF6,Validation!$D$9:$H$9)</f>
        <v>1.4476666666666</v>
      </c>
      <c r="AK6" s="18" t="n">
        <f aca="false">SUMPRODUCT($AB6:$AF6,Validation!$D$10:$H$10)</f>
        <v>1.3423333333334</v>
      </c>
      <c r="AL6" s="18" t="n">
        <f aca="false">SUMPRODUCT($AB6:$AF6,Validation!$D$11:$H$11)</f>
        <v>1.306875</v>
      </c>
      <c r="AM6" s="18" t="n">
        <f aca="false">SUMPRODUCT($AB6:$AF6,Validation!$D$12:$H$12)</f>
        <v>1.483125</v>
      </c>
      <c r="AN6" s="18" t="n">
        <f aca="false">SUMPRODUCT($AB6:$AF6,Validation!$D$13:$H$13)</f>
        <v>1.2944444444443</v>
      </c>
      <c r="AO6" s="18" t="n">
        <f aca="false">SUMPRODUCT($AB6:$AF6,Validation!$D$14:$H$14)</f>
        <v>1.4955555555557</v>
      </c>
      <c r="AP6" s="18" t="n">
        <f aca="false">SUMPRODUCT($AB6:$AF6,Validation!$D$15:$H$15)</f>
        <v>1.4061764705881</v>
      </c>
      <c r="AQ6" s="18" t="n">
        <f aca="false">SUMPRODUCT($AB6:$AF6,Validation!$D$16:$H$16)</f>
        <v>1.3838235294119</v>
      </c>
      <c r="AR6" s="8" t="n">
        <f aca="false">COUNTIF($C6:$V6,"&gt;=4")</f>
        <v>0</v>
      </c>
      <c r="AS6" s="8" t="str">
        <f aca="false">IF($X6&lt;=1.6,"Low",IF($X6&lt;=2.2,"Medium","High"))</f>
        <v>Low</v>
      </c>
      <c r="AT6" s="8" t="str">
        <f aca="false">IF($AR6=0,"Low",IF($AR6&lt;3,"Medium","High"))</f>
        <v>Low</v>
      </c>
      <c r="AU6" s="8" t="str">
        <f aca="false">IF(OR($AS6="High",$AT6="High"),"High",IF(OR($AS6="Medium",$AT6="Medium"),"Medium","Low"))</f>
        <v>Low</v>
      </c>
      <c r="AV6" s="15" t="str">
        <f aca="false">IF($Z6="Yes","High",$AU6)</f>
        <v>Low</v>
      </c>
    </row>
    <row r="7" customFormat="false" ht="15" hidden="false" customHeight="false" outlineLevel="0" collapsed="false">
      <c r="A7" s="7" t="str">
        <f aca="false">Customers!$A7</f>
        <v>NG-10124</v>
      </c>
      <c r="B7" s="7" t="str">
        <f aca="false">Customers!$B7</f>
        <v>Personal</v>
      </c>
      <c r="C7" s="8" t="n">
        <f aca="false">INDEX(Mapping!$C$2:$C$99,MATCH(C$1&amp;"|"&amp;Customers!C7,Mapping!$D$2:$D$99,0))</f>
        <v>1</v>
      </c>
      <c r="D7" s="8" t="n">
        <f aca="false">INDEX(Mapping!$C$2:$C$99,MATCH(D$1&amp;"|"&amp;Customers!D7,Mapping!$D$2:$D$99,0))</f>
        <v>1</v>
      </c>
      <c r="E7" s="8" t="n">
        <f aca="false">INDEX(Mapping!$C$2:$C$99,MATCH(E$1&amp;"|"&amp;Customers!E7,Mapping!$D$2:$D$99,0))</f>
        <v>1</v>
      </c>
      <c r="F7" s="8" t="n">
        <f aca="false">INDEX(Mapping!$C$2:$C$99,MATCH(F$1&amp;"|"&amp;Customers!F7,Mapping!$D$2:$D$99,0))</f>
        <v>1</v>
      </c>
      <c r="G7" s="8" t="n">
        <f aca="false">INDEX(Mapping!$C$2:$C$99,MATCH(G$1&amp;"|"&amp;Customers!G7,Mapping!$D$2:$D$99,0))</f>
        <v>1</v>
      </c>
      <c r="H7" s="8" t="n">
        <f aca="false">INDEX(Mapping!$C$2:$C$99,MATCH(H$1&amp;"|"&amp;Customers!H7,Mapping!$D$2:$D$99,0))</f>
        <v>1</v>
      </c>
      <c r="I7" s="8" t="n">
        <f aca="false">INDEX(Mapping!$C$2:$C$99,MATCH(I$1&amp;"|"&amp;Customers!I7,Mapping!$D$2:$D$99,0))</f>
        <v>1</v>
      </c>
      <c r="J7" s="8" t="n">
        <f aca="false">INDEX(Mapping!$C$2:$C$99,MATCH(J$1&amp;"|"&amp;Customers!J7,Mapping!$D$2:$D$99,0))</f>
        <v>1</v>
      </c>
      <c r="K7" s="8" t="n">
        <f aca="false">INDEX(Mapping!$C$2:$C$99,MATCH(K$1&amp;"|"&amp;Customers!K7,Mapping!$D$2:$D$99,0))</f>
        <v>3</v>
      </c>
      <c r="L7" s="8" t="n">
        <f aca="false">INDEX(Mapping!$C$2:$C$99,MATCH(L$1&amp;"|"&amp;Customers!L7,Mapping!$D$2:$D$99,0))</f>
        <v>2</v>
      </c>
      <c r="M7" s="8" t="n">
        <f aca="false">INDEX(Mapping!$C$2:$C$99,MATCH(M$1&amp;"|"&amp;Customers!M7,Mapping!$D$2:$D$99,0))</f>
        <v>2</v>
      </c>
      <c r="N7" s="8" t="n">
        <f aca="false">INDEX(Mapping!$C$2:$C$99,MATCH(N$1&amp;"|"&amp;Customers!N7,Mapping!$D$2:$D$99,0))</f>
        <v>1</v>
      </c>
      <c r="O7" s="8" t="n">
        <f aca="false">INDEX(Mapping!$C$2:$C$99,MATCH(O$1&amp;"|"&amp;Customers!O7,Mapping!$D$2:$D$99,0))</f>
        <v>3</v>
      </c>
      <c r="P7" s="8" t="n">
        <f aca="false">INDEX(Mapping!$C$2:$C$99,MATCH(P$1&amp;"|"&amp;Customers!P7,Mapping!$D$2:$D$99,0))</f>
        <v>3</v>
      </c>
      <c r="Q7" s="8" t="n">
        <f aca="false">INDEX(Mapping!$C$2:$C$99,MATCH(Q$1&amp;"|"&amp;Customers!Q7,Mapping!$D$2:$D$99,0))</f>
        <v>1</v>
      </c>
      <c r="R7" s="8" t="n">
        <f aca="false">INDEX(Mapping!$C$2:$C$99,MATCH(R$1&amp;"|"&amp;Customers!R7,Mapping!$D$2:$D$99,0))</f>
        <v>1</v>
      </c>
      <c r="S7" s="8" t="n">
        <f aca="false">INDEX(Mapping!$C$2:$C$99,MATCH(S$1&amp;"|"&amp;Customers!S7,Mapping!$D$2:$D$99,0))</f>
        <v>1</v>
      </c>
      <c r="T7" s="8" t="n">
        <f aca="false">INDEX(Mapping!$C$2:$C$99,MATCH(T$1&amp;"|"&amp;Customers!T7,Mapping!$D$2:$D$99,0))</f>
        <v>1</v>
      </c>
      <c r="U7" s="8" t="n">
        <f aca="false">INDEX(Mapping!$C$2:$C$99,MATCH(U$1&amp;"|"&amp;Customers!U7,Mapping!$D$2:$D$99,0))</f>
        <v>1</v>
      </c>
      <c r="V7" s="8" t="n">
        <f aca="false">INDEX(Mapping!$C$2:$C$99,MATCH(V$1&amp;"|"&amp;Customers!V7,Mapping!$D$2:$D$99,0))</f>
        <v>1</v>
      </c>
      <c r="W7" s="17" t="n">
        <f aca="false">SUMPRODUCT($C7:$V7,Weights!$C$27:$V$27)</f>
        <v>1.4</v>
      </c>
      <c r="X7" s="18" t="n">
        <f aca="false">ROUND($W7,2)</f>
        <v>1.4</v>
      </c>
      <c r="Y7" s="8" t="str">
        <f aca="false">IF($X7&lt;=2,"Low",IF($X7&lt;=3.49,"Medium","High"))</f>
        <v>Low</v>
      </c>
      <c r="Z7" s="8" t="str">
        <f aca="false">IF(OR($F7&gt;=3,$E7=5,$D7=5,$C7=5,$G7=5,$H7=5,$I7=5,$J7=5,Customers!$W7="Yes"),"Yes","No")</f>
        <v>No</v>
      </c>
      <c r="AA7" s="15" t="str">
        <f aca="false">IF($Z7="Yes","High",$Y7)</f>
        <v>Low</v>
      </c>
      <c r="AB7" s="18" t="n">
        <f aca="false">SUMPRODUCT($C7:$G7,Weights!$C$28:$G$28)</f>
        <v>1</v>
      </c>
      <c r="AC7" s="18" t="n">
        <f aca="false">SUMPRODUCT($H7:$J7,Weights!$H$28:$J$28)</f>
        <v>1</v>
      </c>
      <c r="AD7" s="18" t="n">
        <f aca="false">SUMPRODUCT($K7:$N7,Weights!$K$28:$N$28)</f>
        <v>2.2</v>
      </c>
      <c r="AE7" s="18" t="n">
        <f aca="false">SUMPRODUCT($O7:$Q7,Weights!$O$28:$Q$28)</f>
        <v>2.6</v>
      </c>
      <c r="AF7" s="18" t="n">
        <f aca="false">SUMPRODUCT($R7:$V7,Weights!$R$28:$V$28)</f>
        <v>1</v>
      </c>
      <c r="AH7" s="18" t="n">
        <f aca="false">SUMPRODUCT($AB7:$AF7,Validation!$D$7:$H$7)</f>
        <v>1.4571428571428</v>
      </c>
      <c r="AI7" s="18" t="n">
        <f aca="false">SUMPRODUCT($AB7:$AF7,Validation!$D$8:$H$8)</f>
        <v>1.3428571428572</v>
      </c>
      <c r="AJ7" s="18" t="n">
        <f aca="false">SUMPRODUCT($AB7:$AF7,Validation!$D$9:$H$9)</f>
        <v>1.4533333333332</v>
      </c>
      <c r="AK7" s="18" t="n">
        <f aca="false">SUMPRODUCT($AB7:$AF7,Validation!$D$10:$H$10)</f>
        <v>1.3466666666668</v>
      </c>
      <c r="AL7" s="18" t="n">
        <f aca="false">SUMPRODUCT($AB7:$AF7,Validation!$D$11:$H$11)</f>
        <v>1.3</v>
      </c>
      <c r="AM7" s="18" t="n">
        <f aca="false">SUMPRODUCT($AB7:$AF7,Validation!$D$12:$H$12)</f>
        <v>1.5</v>
      </c>
      <c r="AN7" s="18" t="n">
        <f aca="false">SUMPRODUCT($AB7:$AF7,Validation!$D$13:$H$13)</f>
        <v>1.2666666666664</v>
      </c>
      <c r="AO7" s="18" t="n">
        <f aca="false">SUMPRODUCT($AB7:$AF7,Validation!$D$14:$H$14)</f>
        <v>1.5333333333336</v>
      </c>
      <c r="AP7" s="18" t="n">
        <f aca="false">SUMPRODUCT($AB7:$AF7,Validation!$D$15:$H$15)</f>
        <v>1.4470588235292</v>
      </c>
      <c r="AQ7" s="18" t="n">
        <f aca="false">SUMPRODUCT($AB7:$AF7,Validation!$D$16:$H$16)</f>
        <v>1.3529411764708</v>
      </c>
      <c r="AR7" s="8" t="n">
        <f aca="false">COUNTIF($C7:$V7,"&gt;=4")</f>
        <v>0</v>
      </c>
      <c r="AS7" s="8" t="str">
        <f aca="false">IF($X7&lt;=1.6,"Low",IF($X7&lt;=2.2,"Medium","High"))</f>
        <v>Low</v>
      </c>
      <c r="AT7" s="8" t="str">
        <f aca="false">IF($AR7=0,"Low",IF($AR7&lt;3,"Medium","High"))</f>
        <v>Low</v>
      </c>
      <c r="AU7" s="8" t="str">
        <f aca="false">IF(OR($AS7="High",$AT7="High"),"High",IF(OR($AS7="Medium",$AT7="Medium"),"Medium","Low"))</f>
        <v>Low</v>
      </c>
      <c r="AV7" s="15" t="str">
        <f aca="false">IF($Z7="Yes","High",$AU7)</f>
        <v>Low</v>
      </c>
    </row>
    <row r="8" customFormat="false" ht="15" hidden="false" customHeight="false" outlineLevel="0" collapsed="false">
      <c r="A8" s="7" t="str">
        <f aca="false">Customers!$A8</f>
        <v>NG-10062</v>
      </c>
      <c r="B8" s="7" t="str">
        <f aca="false">Customers!$B8</f>
        <v>Personal</v>
      </c>
      <c r="C8" s="8" t="n">
        <f aca="false">INDEX(Mapping!$C$2:$C$99,MATCH(C$1&amp;"|"&amp;Customers!C8,Mapping!$D$2:$D$99,0))</f>
        <v>1</v>
      </c>
      <c r="D8" s="8" t="n">
        <f aca="false">INDEX(Mapping!$C$2:$C$99,MATCH(D$1&amp;"|"&amp;Customers!D8,Mapping!$D$2:$D$99,0))</f>
        <v>1</v>
      </c>
      <c r="E8" s="8" t="n">
        <f aca="false">INDEX(Mapping!$C$2:$C$99,MATCH(E$1&amp;"|"&amp;Customers!E8,Mapping!$D$2:$D$99,0))</f>
        <v>3</v>
      </c>
      <c r="F8" s="8" t="n">
        <f aca="false">INDEX(Mapping!$C$2:$C$99,MATCH(F$1&amp;"|"&amp;Customers!F8,Mapping!$D$2:$D$99,0))</f>
        <v>1</v>
      </c>
      <c r="G8" s="8" t="n">
        <f aca="false">INDEX(Mapping!$C$2:$C$99,MATCH(G$1&amp;"|"&amp;Customers!G8,Mapping!$D$2:$D$99,0))</f>
        <v>1</v>
      </c>
      <c r="H8" s="8" t="n">
        <f aca="false">INDEX(Mapping!$C$2:$C$99,MATCH(H$1&amp;"|"&amp;Customers!H8,Mapping!$D$2:$D$99,0))</f>
        <v>1</v>
      </c>
      <c r="I8" s="8" t="n">
        <f aca="false">INDEX(Mapping!$C$2:$C$99,MATCH(I$1&amp;"|"&amp;Customers!I8,Mapping!$D$2:$D$99,0))</f>
        <v>1</v>
      </c>
      <c r="J8" s="8" t="n">
        <f aca="false">INDEX(Mapping!$C$2:$C$99,MATCH(J$1&amp;"|"&amp;Customers!J8,Mapping!$D$2:$D$99,0))</f>
        <v>1</v>
      </c>
      <c r="K8" s="8" t="n">
        <f aca="false">INDEX(Mapping!$C$2:$C$99,MATCH(K$1&amp;"|"&amp;Customers!K8,Mapping!$D$2:$D$99,0))</f>
        <v>3</v>
      </c>
      <c r="L8" s="8" t="n">
        <f aca="false">INDEX(Mapping!$C$2:$C$99,MATCH(L$1&amp;"|"&amp;Customers!L8,Mapping!$D$2:$D$99,0))</f>
        <v>3</v>
      </c>
      <c r="M8" s="8" t="n">
        <f aca="false">INDEX(Mapping!$C$2:$C$99,MATCH(M$1&amp;"|"&amp;Customers!M8,Mapping!$D$2:$D$99,0))</f>
        <v>3</v>
      </c>
      <c r="N8" s="8" t="n">
        <f aca="false">INDEX(Mapping!$C$2:$C$99,MATCH(N$1&amp;"|"&amp;Customers!N8,Mapping!$D$2:$D$99,0))</f>
        <v>5</v>
      </c>
      <c r="O8" s="8" t="n">
        <f aca="false">INDEX(Mapping!$C$2:$C$99,MATCH(O$1&amp;"|"&amp;Customers!O8,Mapping!$D$2:$D$99,0))</f>
        <v>4</v>
      </c>
      <c r="P8" s="8" t="n">
        <f aca="false">INDEX(Mapping!$C$2:$C$99,MATCH(P$1&amp;"|"&amp;Customers!P8,Mapping!$D$2:$D$99,0))</f>
        <v>3</v>
      </c>
      <c r="Q8" s="8" t="n">
        <f aca="false">INDEX(Mapping!$C$2:$C$99,MATCH(Q$1&amp;"|"&amp;Customers!Q8,Mapping!$D$2:$D$99,0))</f>
        <v>3</v>
      </c>
      <c r="R8" s="8" t="n">
        <f aca="false">INDEX(Mapping!$C$2:$C$99,MATCH(R$1&amp;"|"&amp;Customers!R8,Mapping!$D$2:$D$99,0))</f>
        <v>3</v>
      </c>
      <c r="S8" s="8" t="n">
        <f aca="false">INDEX(Mapping!$C$2:$C$99,MATCH(S$1&amp;"|"&amp;Customers!S8,Mapping!$D$2:$D$99,0))</f>
        <v>2</v>
      </c>
      <c r="T8" s="8" t="n">
        <f aca="false">INDEX(Mapping!$C$2:$C$99,MATCH(T$1&amp;"|"&amp;Customers!T8,Mapping!$D$2:$D$99,0))</f>
        <v>1</v>
      </c>
      <c r="U8" s="8" t="n">
        <f aca="false">INDEX(Mapping!$C$2:$C$99,MATCH(U$1&amp;"|"&amp;Customers!U8,Mapping!$D$2:$D$99,0))</f>
        <v>1</v>
      </c>
      <c r="V8" s="8" t="n">
        <f aca="false">INDEX(Mapping!$C$2:$C$99,MATCH(V$1&amp;"|"&amp;Customers!V8,Mapping!$D$2:$D$99,0))</f>
        <v>1</v>
      </c>
      <c r="W8" s="17" t="n">
        <f aca="false">SUMPRODUCT($C8:$V8,Weights!$C$27:$V$27)</f>
        <v>1.975</v>
      </c>
      <c r="X8" s="18" t="n">
        <f aca="false">ROUND($W8,2)</f>
        <v>1.98</v>
      </c>
      <c r="Y8" s="8" t="str">
        <f aca="false">IF($X8&lt;=2,"Low",IF($X8&lt;=3.49,"Medium","High"))</f>
        <v>Low</v>
      </c>
      <c r="Z8" s="8" t="str">
        <f aca="false">IF(OR($F8&gt;=3,$E8=5,$D8=5,$C8=5,$G8=5,$H8=5,$I8=5,$J8=5,Customers!$W8="Yes"),"Yes","No")</f>
        <v>No</v>
      </c>
      <c r="AA8" s="15" t="str">
        <f aca="false">IF($Z8="Yes","High",$Y8)</f>
        <v>Low</v>
      </c>
      <c r="AB8" s="18" t="n">
        <f aca="false">SUMPRODUCT($C8:$G8,Weights!$C$28:$G$28)</f>
        <v>1.5</v>
      </c>
      <c r="AC8" s="18" t="n">
        <f aca="false">SUMPRODUCT($H8:$J8,Weights!$H$28:$J$28)</f>
        <v>1</v>
      </c>
      <c r="AD8" s="18" t="n">
        <f aca="false">SUMPRODUCT($K8:$N8,Weights!$K$28:$N$28)</f>
        <v>3.3</v>
      </c>
      <c r="AE8" s="18" t="n">
        <f aca="false">SUMPRODUCT($O8:$Q8,Weights!$O$28:$Q$28)</f>
        <v>3.45</v>
      </c>
      <c r="AF8" s="18" t="n">
        <f aca="false">SUMPRODUCT($R8:$V8,Weights!$R$28:$V$28)</f>
        <v>1.8</v>
      </c>
      <c r="AH8" s="18" t="n">
        <f aca="false">SUMPRODUCT($AB8:$AF8,Validation!$D$7:$H$7)</f>
        <v>2.0428571428572</v>
      </c>
      <c r="AI8" s="18" t="n">
        <f aca="false">SUMPRODUCT($AB8:$AF8,Validation!$D$8:$H$8)</f>
        <v>1.9071428571428</v>
      </c>
      <c r="AJ8" s="18" t="n">
        <f aca="false">SUMPRODUCT($AB8:$AF8,Validation!$D$9:$H$9)</f>
        <v>2.10499999999995</v>
      </c>
      <c r="AK8" s="18" t="n">
        <f aca="false">SUMPRODUCT($AB8:$AF8,Validation!$D$10:$H$10)</f>
        <v>1.84500000000005</v>
      </c>
      <c r="AL8" s="18" t="n">
        <f aca="false">SUMPRODUCT($AB8:$AF8,Validation!$D$11:$H$11)</f>
        <v>1.809375</v>
      </c>
      <c r="AM8" s="18" t="n">
        <f aca="false">SUMPRODUCT($AB8:$AF8,Validation!$D$12:$H$12)</f>
        <v>2.140625</v>
      </c>
      <c r="AN8" s="18" t="n">
        <f aca="false">SUMPRODUCT($AB8:$AF8,Validation!$D$13:$H$13)</f>
        <v>1.8111111111107</v>
      </c>
      <c r="AO8" s="18" t="n">
        <f aca="false">SUMPRODUCT($AB8:$AF8,Validation!$D$14:$H$14)</f>
        <v>2.1388888888893</v>
      </c>
      <c r="AP8" s="18" t="n">
        <f aca="false">SUMPRODUCT($AB8:$AF8,Validation!$D$15:$H$15)</f>
        <v>1.9955882352939</v>
      </c>
      <c r="AQ8" s="18" t="n">
        <f aca="false">SUMPRODUCT($AB8:$AF8,Validation!$D$16:$H$16)</f>
        <v>1.9544117647061</v>
      </c>
      <c r="AR8" s="8" t="n">
        <f aca="false">COUNTIF($C8:$V8,"&gt;=4")</f>
        <v>2</v>
      </c>
      <c r="AS8" s="8" t="str">
        <f aca="false">IF($X8&lt;=1.6,"Low",IF($X8&lt;=2.2,"Medium","High"))</f>
        <v>Medium</v>
      </c>
      <c r="AT8" s="8" t="str">
        <f aca="false">IF($AR8=0,"Low",IF($AR8&lt;3,"Medium","High"))</f>
        <v>Medium</v>
      </c>
      <c r="AU8" s="8" t="str">
        <f aca="false">IF(OR($AS8="High",$AT8="High"),"High",IF(OR($AS8="Medium",$AT8="Medium"),"Medium","Low"))</f>
        <v>Medium</v>
      </c>
      <c r="AV8" s="15" t="str">
        <f aca="false">IF($Z8="Yes","High",$AU8)</f>
        <v>Medium</v>
      </c>
    </row>
    <row r="9" customFormat="false" ht="15" hidden="false" customHeight="false" outlineLevel="0" collapsed="false">
      <c r="A9" s="7" t="str">
        <f aca="false">Customers!$A9</f>
        <v>NG-10104</v>
      </c>
      <c r="B9" s="7" t="str">
        <f aca="false">Customers!$B9</f>
        <v>Personal</v>
      </c>
      <c r="C9" s="8" t="n">
        <f aca="false">INDEX(Mapping!$C$2:$C$99,MATCH(C$1&amp;"|"&amp;Customers!C9,Mapping!$D$2:$D$99,0))</f>
        <v>1</v>
      </c>
      <c r="D9" s="8" t="n">
        <f aca="false">INDEX(Mapping!$C$2:$C$99,MATCH(D$1&amp;"|"&amp;Customers!D9,Mapping!$D$2:$D$99,0))</f>
        <v>1</v>
      </c>
      <c r="E9" s="8" t="n">
        <f aca="false">INDEX(Mapping!$C$2:$C$99,MATCH(E$1&amp;"|"&amp;Customers!E9,Mapping!$D$2:$D$99,0))</f>
        <v>1</v>
      </c>
      <c r="F9" s="8" t="n">
        <f aca="false">INDEX(Mapping!$C$2:$C$99,MATCH(F$1&amp;"|"&amp;Customers!F9,Mapping!$D$2:$D$99,0))</f>
        <v>1</v>
      </c>
      <c r="G9" s="8" t="n">
        <f aca="false">INDEX(Mapping!$C$2:$C$99,MATCH(G$1&amp;"|"&amp;Customers!G9,Mapping!$D$2:$D$99,0))</f>
        <v>1</v>
      </c>
      <c r="H9" s="8" t="n">
        <f aca="false">INDEX(Mapping!$C$2:$C$99,MATCH(H$1&amp;"|"&amp;Customers!H9,Mapping!$D$2:$D$99,0))</f>
        <v>1</v>
      </c>
      <c r="I9" s="8" t="n">
        <f aca="false">INDEX(Mapping!$C$2:$C$99,MATCH(I$1&amp;"|"&amp;Customers!I9,Mapping!$D$2:$D$99,0))</f>
        <v>4</v>
      </c>
      <c r="J9" s="8" t="n">
        <f aca="false">INDEX(Mapping!$C$2:$C$99,MATCH(J$1&amp;"|"&amp;Customers!J9,Mapping!$D$2:$D$99,0))</f>
        <v>1</v>
      </c>
      <c r="K9" s="8" t="n">
        <f aca="false">INDEX(Mapping!$C$2:$C$99,MATCH(K$1&amp;"|"&amp;Customers!K9,Mapping!$D$2:$D$99,0))</f>
        <v>2</v>
      </c>
      <c r="L9" s="8" t="n">
        <f aca="false">INDEX(Mapping!$C$2:$C$99,MATCH(L$1&amp;"|"&amp;Customers!L9,Mapping!$D$2:$D$99,0))</f>
        <v>2</v>
      </c>
      <c r="M9" s="8" t="n">
        <f aca="false">INDEX(Mapping!$C$2:$C$99,MATCH(M$1&amp;"|"&amp;Customers!M9,Mapping!$D$2:$D$99,0))</f>
        <v>1</v>
      </c>
      <c r="N9" s="8" t="n">
        <f aca="false">INDEX(Mapping!$C$2:$C$99,MATCH(N$1&amp;"|"&amp;Customers!N9,Mapping!$D$2:$D$99,0))</f>
        <v>1</v>
      </c>
      <c r="O9" s="8" t="n">
        <f aca="false">INDEX(Mapping!$C$2:$C$99,MATCH(O$1&amp;"|"&amp;Customers!O9,Mapping!$D$2:$D$99,0))</f>
        <v>3</v>
      </c>
      <c r="P9" s="8" t="n">
        <f aca="false">INDEX(Mapping!$C$2:$C$99,MATCH(P$1&amp;"|"&amp;Customers!P9,Mapping!$D$2:$D$99,0))</f>
        <v>3</v>
      </c>
      <c r="Q9" s="8" t="n">
        <f aca="false">INDEX(Mapping!$C$2:$C$99,MATCH(Q$1&amp;"|"&amp;Customers!Q9,Mapping!$D$2:$D$99,0))</f>
        <v>1</v>
      </c>
      <c r="R9" s="8" t="n">
        <f aca="false">INDEX(Mapping!$C$2:$C$99,MATCH(R$1&amp;"|"&amp;Customers!R9,Mapping!$D$2:$D$99,0))</f>
        <v>2</v>
      </c>
      <c r="S9" s="8" t="n">
        <f aca="false">INDEX(Mapping!$C$2:$C$99,MATCH(S$1&amp;"|"&amp;Customers!S9,Mapping!$D$2:$D$99,0))</f>
        <v>1</v>
      </c>
      <c r="T9" s="8" t="n">
        <f aca="false">INDEX(Mapping!$C$2:$C$99,MATCH(T$1&amp;"|"&amp;Customers!T9,Mapping!$D$2:$D$99,0))</f>
        <v>1</v>
      </c>
      <c r="U9" s="8" t="n">
        <f aca="false">INDEX(Mapping!$C$2:$C$99,MATCH(U$1&amp;"|"&amp;Customers!U9,Mapping!$D$2:$D$99,0))</f>
        <v>4</v>
      </c>
      <c r="V9" s="8" t="n">
        <f aca="false">INDEX(Mapping!$C$2:$C$99,MATCH(V$1&amp;"|"&amp;Customers!V9,Mapping!$D$2:$D$99,0))</f>
        <v>1</v>
      </c>
      <c r="W9" s="17" t="n">
        <f aca="false">SUMPRODUCT($C9:$V9,Weights!$C$27:$V$27)</f>
        <v>1.535</v>
      </c>
      <c r="X9" s="18" t="n">
        <f aca="false">ROUND($W9,2)</f>
        <v>1.54</v>
      </c>
      <c r="Y9" s="8" t="str">
        <f aca="false">IF($X9&lt;=2,"Low",IF($X9&lt;=3.49,"Medium","High"))</f>
        <v>Low</v>
      </c>
      <c r="Z9" s="8" t="str">
        <f aca="false">IF(OR($F9&gt;=3,$E9=5,$D9=5,$C9=5,$G9=5,$H9=5,$I9=5,$J9=5,Customers!$W9="Yes"),"Yes","No")</f>
        <v>No</v>
      </c>
      <c r="AA9" s="15" t="str">
        <f aca="false">IF($Z9="Yes","High",$Y9)</f>
        <v>Low</v>
      </c>
      <c r="AB9" s="18" t="n">
        <f aca="false">SUMPRODUCT($C9:$G9,Weights!$C$28:$G$28)</f>
        <v>1</v>
      </c>
      <c r="AC9" s="18" t="n">
        <f aca="false">SUMPRODUCT($H9:$J9,Weights!$H$28:$J$28)</f>
        <v>1.6</v>
      </c>
      <c r="AD9" s="18" t="n">
        <f aca="false">SUMPRODUCT($K9:$N9,Weights!$K$28:$N$28)</f>
        <v>1.6</v>
      </c>
      <c r="AE9" s="18" t="n">
        <f aca="false">SUMPRODUCT($O9:$Q9,Weights!$O$28:$Q$28)</f>
        <v>2.6</v>
      </c>
      <c r="AF9" s="18" t="n">
        <f aca="false">SUMPRODUCT($R9:$V9,Weights!$R$28:$V$28)</f>
        <v>1.7</v>
      </c>
      <c r="AH9" s="18" t="n">
        <f aca="false">SUMPRODUCT($AB9:$AF9,Validation!$D$7:$H$7)</f>
        <v>1.6114285714289</v>
      </c>
      <c r="AI9" s="18" t="n">
        <f aca="false">SUMPRODUCT($AB9:$AF9,Validation!$D$8:$H$8)</f>
        <v>1.4585714285711</v>
      </c>
      <c r="AJ9" s="18" t="n">
        <f aca="false">SUMPRODUCT($AB9:$AF9,Validation!$D$9:$H$9)</f>
        <v>1.526333333333</v>
      </c>
      <c r="AK9" s="18" t="n">
        <f aca="false">SUMPRODUCT($AB9:$AF9,Validation!$D$10:$H$10)</f>
        <v>1.543666666667</v>
      </c>
      <c r="AL9" s="18" t="n">
        <f aca="false">SUMPRODUCT($AB9:$AF9,Validation!$D$11:$H$11)</f>
        <v>1.526875</v>
      </c>
      <c r="AM9" s="18" t="n">
        <f aca="false">SUMPRODUCT($AB9:$AF9,Validation!$D$12:$H$12)</f>
        <v>1.543125</v>
      </c>
      <c r="AN9" s="18" t="n">
        <f aca="false">SUMPRODUCT($AB9:$AF9,Validation!$D$13:$H$13)</f>
        <v>1.4166666666669</v>
      </c>
      <c r="AO9" s="18" t="n">
        <f aca="false">SUMPRODUCT($AB9:$AF9,Validation!$D$14:$H$14)</f>
        <v>1.6533333333331</v>
      </c>
      <c r="AP9" s="18" t="n">
        <f aca="false">SUMPRODUCT($AB9:$AF9,Validation!$D$15:$H$15)</f>
        <v>1.5155882352938</v>
      </c>
      <c r="AQ9" s="18" t="n">
        <f aca="false">SUMPRODUCT($AB9:$AF9,Validation!$D$16:$H$16)</f>
        <v>1.5544117647062</v>
      </c>
      <c r="AR9" s="8" t="n">
        <f aca="false">COUNTIF($C9:$V9,"&gt;=4")</f>
        <v>2</v>
      </c>
      <c r="AS9" s="8" t="str">
        <f aca="false">IF($X9&lt;=1.6,"Low",IF($X9&lt;=2.2,"Medium","High"))</f>
        <v>Low</v>
      </c>
      <c r="AT9" s="8" t="str">
        <f aca="false">IF($AR9=0,"Low",IF($AR9&lt;3,"Medium","High"))</f>
        <v>Medium</v>
      </c>
      <c r="AU9" s="8" t="str">
        <f aca="false">IF(OR($AS9="High",$AT9="High"),"High",IF(OR($AS9="Medium",$AT9="Medium"),"Medium","Low"))</f>
        <v>Medium</v>
      </c>
      <c r="AV9" s="15" t="str">
        <f aca="false">IF($Z9="Yes","High",$AU9)</f>
        <v>Medium</v>
      </c>
    </row>
    <row r="10" customFormat="false" ht="15" hidden="false" customHeight="false" outlineLevel="0" collapsed="false">
      <c r="A10" s="7" t="str">
        <f aca="false">Customers!$A10</f>
        <v>NG-10277</v>
      </c>
      <c r="B10" s="7" t="str">
        <f aca="false">Customers!$B10</f>
        <v>Personal</v>
      </c>
      <c r="C10" s="8" t="n">
        <f aca="false">INDEX(Mapping!$C$2:$C$99,MATCH(C$1&amp;"|"&amp;Customers!C10,Mapping!$D$2:$D$99,0))</f>
        <v>2</v>
      </c>
      <c r="D10" s="8" t="n">
        <f aca="false">INDEX(Mapping!$C$2:$C$99,MATCH(D$1&amp;"|"&amp;Customers!D10,Mapping!$D$2:$D$99,0))</f>
        <v>1</v>
      </c>
      <c r="E10" s="8" t="n">
        <f aca="false">INDEX(Mapping!$C$2:$C$99,MATCH(E$1&amp;"|"&amp;Customers!E10,Mapping!$D$2:$D$99,0))</f>
        <v>2</v>
      </c>
      <c r="F10" s="8" t="n">
        <f aca="false">INDEX(Mapping!$C$2:$C$99,MATCH(F$1&amp;"|"&amp;Customers!F10,Mapping!$D$2:$D$99,0))</f>
        <v>1</v>
      </c>
      <c r="G10" s="8" t="n">
        <f aca="false">INDEX(Mapping!$C$2:$C$99,MATCH(G$1&amp;"|"&amp;Customers!G10,Mapping!$D$2:$D$99,0))</f>
        <v>1</v>
      </c>
      <c r="H10" s="8" t="n">
        <f aca="false">INDEX(Mapping!$C$2:$C$99,MATCH(H$1&amp;"|"&amp;Customers!H10,Mapping!$D$2:$D$99,0))</f>
        <v>1</v>
      </c>
      <c r="I10" s="8" t="n">
        <f aca="false">INDEX(Mapping!$C$2:$C$99,MATCH(I$1&amp;"|"&amp;Customers!I10,Mapping!$D$2:$D$99,0))</f>
        <v>1</v>
      </c>
      <c r="J10" s="8" t="n">
        <f aca="false">INDEX(Mapping!$C$2:$C$99,MATCH(J$1&amp;"|"&amp;Customers!J10,Mapping!$D$2:$D$99,0))</f>
        <v>2</v>
      </c>
      <c r="K10" s="8" t="n">
        <f aca="false">INDEX(Mapping!$C$2:$C$99,MATCH(K$1&amp;"|"&amp;Customers!K10,Mapping!$D$2:$D$99,0))</f>
        <v>3</v>
      </c>
      <c r="L10" s="8" t="n">
        <f aca="false">INDEX(Mapping!$C$2:$C$99,MATCH(L$1&amp;"|"&amp;Customers!L10,Mapping!$D$2:$D$99,0))</f>
        <v>2</v>
      </c>
      <c r="M10" s="8" t="n">
        <f aca="false">INDEX(Mapping!$C$2:$C$99,MATCH(M$1&amp;"|"&amp;Customers!M10,Mapping!$D$2:$D$99,0))</f>
        <v>3</v>
      </c>
      <c r="N10" s="8" t="n">
        <f aca="false">INDEX(Mapping!$C$2:$C$99,MATCH(N$1&amp;"|"&amp;Customers!N10,Mapping!$D$2:$D$99,0))</f>
        <v>1</v>
      </c>
      <c r="O10" s="8" t="n">
        <f aca="false">INDEX(Mapping!$C$2:$C$99,MATCH(O$1&amp;"|"&amp;Customers!O10,Mapping!$D$2:$D$99,0))</f>
        <v>3</v>
      </c>
      <c r="P10" s="8" t="n">
        <f aca="false">INDEX(Mapping!$C$2:$C$99,MATCH(P$1&amp;"|"&amp;Customers!P10,Mapping!$D$2:$D$99,0))</f>
        <v>3</v>
      </c>
      <c r="Q10" s="8" t="n">
        <f aca="false">INDEX(Mapping!$C$2:$C$99,MATCH(Q$1&amp;"|"&amp;Customers!Q10,Mapping!$D$2:$D$99,0))</f>
        <v>2</v>
      </c>
      <c r="R10" s="8" t="n">
        <f aca="false">INDEX(Mapping!$C$2:$C$99,MATCH(R$1&amp;"|"&amp;Customers!R10,Mapping!$D$2:$D$99,0))</f>
        <v>1</v>
      </c>
      <c r="S10" s="8" t="n">
        <f aca="false">INDEX(Mapping!$C$2:$C$99,MATCH(S$1&amp;"|"&amp;Customers!S10,Mapping!$D$2:$D$99,0))</f>
        <v>1</v>
      </c>
      <c r="T10" s="8" t="n">
        <f aca="false">INDEX(Mapping!$C$2:$C$99,MATCH(T$1&amp;"|"&amp;Customers!T10,Mapping!$D$2:$D$99,0))</f>
        <v>2</v>
      </c>
      <c r="U10" s="8" t="n">
        <f aca="false">INDEX(Mapping!$C$2:$C$99,MATCH(U$1&amp;"|"&amp;Customers!U10,Mapping!$D$2:$D$99,0))</f>
        <v>3</v>
      </c>
      <c r="V10" s="8" t="n">
        <f aca="false">INDEX(Mapping!$C$2:$C$99,MATCH(V$1&amp;"|"&amp;Customers!V10,Mapping!$D$2:$D$99,0))</f>
        <v>1</v>
      </c>
      <c r="W10" s="17" t="n">
        <f aca="false">SUMPRODUCT($C10:$V10,Weights!$C$27:$V$27)</f>
        <v>1.78</v>
      </c>
      <c r="X10" s="18" t="n">
        <f aca="false">ROUND($W10,2)</f>
        <v>1.78</v>
      </c>
      <c r="Y10" s="8" t="str">
        <f aca="false">IF($X10&lt;=2,"Low",IF($X10&lt;=3.49,"Medium","High"))</f>
        <v>Low</v>
      </c>
      <c r="Z10" s="8" t="str">
        <f aca="false">IF(OR($F10&gt;=3,$E10=5,$D10=5,$C10=5,$G10=5,$H10=5,$I10=5,$J10=5,Customers!$W10="Yes"),"Yes","No")</f>
        <v>No</v>
      </c>
      <c r="AA10" s="15" t="str">
        <f aca="false">IF($Z10="Yes","High",$Y10)</f>
        <v>Low</v>
      </c>
      <c r="AB10" s="18" t="n">
        <f aca="false">SUMPRODUCT($C10:$G10,Weights!$C$28:$G$28)</f>
        <v>1.45</v>
      </c>
      <c r="AC10" s="18" t="n">
        <f aca="false">SUMPRODUCT($H10:$J10,Weights!$H$28:$J$28)</f>
        <v>1.4</v>
      </c>
      <c r="AD10" s="18" t="n">
        <f aca="false">SUMPRODUCT($K10:$N10,Weights!$K$28:$N$28)</f>
        <v>2.45</v>
      </c>
      <c r="AE10" s="18" t="n">
        <f aca="false">SUMPRODUCT($O10:$Q10,Weights!$O$28:$Q$28)</f>
        <v>2.8</v>
      </c>
      <c r="AF10" s="18" t="n">
        <f aca="false">SUMPRODUCT($R10:$V10,Weights!$R$28:$V$28)</f>
        <v>1.5</v>
      </c>
      <c r="AH10" s="18" t="n">
        <f aca="false">SUMPRODUCT($AB10:$AF10,Validation!$D$7:$H$7)</f>
        <v>1.82714285714285</v>
      </c>
      <c r="AI10" s="18" t="n">
        <f aca="false">SUMPRODUCT($AB10:$AF10,Validation!$D$8:$H$8)</f>
        <v>1.73285714285715</v>
      </c>
      <c r="AJ10" s="18" t="n">
        <f aca="false">SUMPRODUCT($AB10:$AF10,Validation!$D$9:$H$9)</f>
        <v>1.83066666666655</v>
      </c>
      <c r="AK10" s="18" t="n">
        <f aca="false">SUMPRODUCT($AB10:$AF10,Validation!$D$10:$H$10)</f>
        <v>1.72933333333345</v>
      </c>
      <c r="AL10" s="18" t="n">
        <f aca="false">SUMPRODUCT($AB10:$AF10,Validation!$D$11:$H$11)</f>
        <v>1.69625</v>
      </c>
      <c r="AM10" s="18" t="n">
        <f aca="false">SUMPRODUCT($AB10:$AF10,Validation!$D$12:$H$12)</f>
        <v>1.86375</v>
      </c>
      <c r="AN10" s="18" t="n">
        <f aca="false">SUMPRODUCT($AB10:$AF10,Validation!$D$13:$H$13)</f>
        <v>1.66666666666645</v>
      </c>
      <c r="AO10" s="18" t="n">
        <f aca="false">SUMPRODUCT($AB10:$AF10,Validation!$D$14:$H$14)</f>
        <v>1.89333333333355</v>
      </c>
      <c r="AP10" s="18" t="n">
        <f aca="false">SUMPRODUCT($AB10:$AF10,Validation!$D$15:$H$15)</f>
        <v>1.8129411764704</v>
      </c>
      <c r="AQ10" s="18" t="n">
        <f aca="false">SUMPRODUCT($AB10:$AF10,Validation!$D$16:$H$16)</f>
        <v>1.7470588235296</v>
      </c>
      <c r="AR10" s="8" t="n">
        <f aca="false">COUNTIF($C10:$V10,"&gt;=4")</f>
        <v>0</v>
      </c>
      <c r="AS10" s="8" t="str">
        <f aca="false">IF($X10&lt;=1.6,"Low",IF($X10&lt;=2.2,"Medium","High"))</f>
        <v>Medium</v>
      </c>
      <c r="AT10" s="8" t="str">
        <f aca="false">IF($AR10=0,"Low",IF($AR10&lt;3,"Medium","High"))</f>
        <v>Low</v>
      </c>
      <c r="AU10" s="8" t="str">
        <f aca="false">IF(OR($AS10="High",$AT10="High"),"High",IF(OR($AS10="Medium",$AT10="Medium"),"Medium","Low"))</f>
        <v>Medium</v>
      </c>
      <c r="AV10" s="15" t="str">
        <f aca="false">IF($Z10="Yes","High",$AU10)</f>
        <v>Medium</v>
      </c>
    </row>
    <row r="11" customFormat="false" ht="15" hidden="false" customHeight="false" outlineLevel="0" collapsed="false">
      <c r="A11" s="7" t="str">
        <f aca="false">Customers!$A11</f>
        <v>NG-10052</v>
      </c>
      <c r="B11" s="7" t="str">
        <f aca="false">Customers!$B11</f>
        <v>Personal</v>
      </c>
      <c r="C11" s="8" t="n">
        <f aca="false">INDEX(Mapping!$C$2:$C$99,MATCH(C$1&amp;"|"&amp;Customers!C11,Mapping!$D$2:$D$99,0))</f>
        <v>1</v>
      </c>
      <c r="D11" s="8" t="n">
        <f aca="false">INDEX(Mapping!$C$2:$C$99,MATCH(D$1&amp;"|"&amp;Customers!D11,Mapping!$D$2:$D$99,0))</f>
        <v>1</v>
      </c>
      <c r="E11" s="8" t="n">
        <f aca="false">INDEX(Mapping!$C$2:$C$99,MATCH(E$1&amp;"|"&amp;Customers!E11,Mapping!$D$2:$D$99,0))</f>
        <v>1</v>
      </c>
      <c r="F11" s="8" t="n">
        <f aca="false">INDEX(Mapping!$C$2:$C$99,MATCH(F$1&amp;"|"&amp;Customers!F11,Mapping!$D$2:$D$99,0))</f>
        <v>1</v>
      </c>
      <c r="G11" s="8" t="n">
        <f aca="false">INDEX(Mapping!$C$2:$C$99,MATCH(G$1&amp;"|"&amp;Customers!G11,Mapping!$D$2:$D$99,0))</f>
        <v>1</v>
      </c>
      <c r="H11" s="8" t="n">
        <f aca="false">INDEX(Mapping!$C$2:$C$99,MATCH(H$1&amp;"|"&amp;Customers!H11,Mapping!$D$2:$D$99,0))</f>
        <v>1</v>
      </c>
      <c r="I11" s="8" t="n">
        <f aca="false">INDEX(Mapping!$C$2:$C$99,MATCH(I$1&amp;"|"&amp;Customers!I11,Mapping!$D$2:$D$99,0))</f>
        <v>1</v>
      </c>
      <c r="J11" s="8" t="n">
        <f aca="false">INDEX(Mapping!$C$2:$C$99,MATCH(J$1&amp;"|"&amp;Customers!J11,Mapping!$D$2:$D$99,0))</f>
        <v>3</v>
      </c>
      <c r="K11" s="8" t="n">
        <f aca="false">INDEX(Mapping!$C$2:$C$99,MATCH(K$1&amp;"|"&amp;Customers!K11,Mapping!$D$2:$D$99,0))</f>
        <v>3</v>
      </c>
      <c r="L11" s="8" t="n">
        <f aca="false">INDEX(Mapping!$C$2:$C$99,MATCH(L$1&amp;"|"&amp;Customers!L11,Mapping!$D$2:$D$99,0))</f>
        <v>3</v>
      </c>
      <c r="M11" s="8" t="n">
        <f aca="false">INDEX(Mapping!$C$2:$C$99,MATCH(M$1&amp;"|"&amp;Customers!M11,Mapping!$D$2:$D$99,0))</f>
        <v>2</v>
      </c>
      <c r="N11" s="8" t="n">
        <f aca="false">INDEX(Mapping!$C$2:$C$99,MATCH(N$1&amp;"|"&amp;Customers!N11,Mapping!$D$2:$D$99,0))</f>
        <v>1</v>
      </c>
      <c r="O11" s="8" t="n">
        <f aca="false">INDEX(Mapping!$C$2:$C$99,MATCH(O$1&amp;"|"&amp;Customers!O11,Mapping!$D$2:$D$99,0))</f>
        <v>3</v>
      </c>
      <c r="P11" s="8" t="n">
        <f aca="false">INDEX(Mapping!$C$2:$C$99,MATCH(P$1&amp;"|"&amp;Customers!P11,Mapping!$D$2:$D$99,0))</f>
        <v>3</v>
      </c>
      <c r="Q11" s="8" t="n">
        <f aca="false">INDEX(Mapping!$C$2:$C$99,MATCH(Q$1&amp;"|"&amp;Customers!Q11,Mapping!$D$2:$D$99,0))</f>
        <v>1</v>
      </c>
      <c r="R11" s="8" t="n">
        <f aca="false">INDEX(Mapping!$C$2:$C$99,MATCH(R$1&amp;"|"&amp;Customers!R11,Mapping!$D$2:$D$99,0))</f>
        <v>1</v>
      </c>
      <c r="S11" s="8" t="n">
        <f aca="false">INDEX(Mapping!$C$2:$C$99,MATCH(S$1&amp;"|"&amp;Customers!S11,Mapping!$D$2:$D$99,0))</f>
        <v>2</v>
      </c>
      <c r="T11" s="8" t="n">
        <f aca="false">INDEX(Mapping!$C$2:$C$99,MATCH(T$1&amp;"|"&amp;Customers!T11,Mapping!$D$2:$D$99,0))</f>
        <v>1</v>
      </c>
      <c r="U11" s="8" t="n">
        <f aca="false">INDEX(Mapping!$C$2:$C$99,MATCH(U$1&amp;"|"&amp;Customers!U11,Mapping!$D$2:$D$99,0))</f>
        <v>1</v>
      </c>
      <c r="V11" s="8" t="n">
        <f aca="false">INDEX(Mapping!$C$2:$C$99,MATCH(V$1&amp;"|"&amp;Customers!V11,Mapping!$D$2:$D$99,0))</f>
        <v>1</v>
      </c>
      <c r="W11" s="17" t="n">
        <f aca="false">SUMPRODUCT($C11:$V11,Weights!$C$27:$V$27)</f>
        <v>1.695</v>
      </c>
      <c r="X11" s="18" t="n">
        <f aca="false">ROUND($W11,2)</f>
        <v>1.7</v>
      </c>
      <c r="Y11" s="8" t="str">
        <f aca="false">IF($X11&lt;=2,"Low",IF($X11&lt;=3.49,"Medium","High"))</f>
        <v>Low</v>
      </c>
      <c r="Z11" s="8" t="str">
        <f aca="false">IF(OR($F11&gt;=3,$E11=5,$D11=5,$C11=5,$G11=5,$H11=5,$I11=5,$J11=5,Customers!$W11="Yes"),"Yes","No")</f>
        <v>No</v>
      </c>
      <c r="AA11" s="15" t="str">
        <f aca="false">IF($Z11="Yes","High",$Y11)</f>
        <v>Low</v>
      </c>
      <c r="AB11" s="18" t="n">
        <f aca="false">SUMPRODUCT($C11:$G11,Weights!$C$28:$G$28)</f>
        <v>1</v>
      </c>
      <c r="AC11" s="18" t="n">
        <f aca="false">SUMPRODUCT($H11:$J11,Weights!$H$28:$J$28)</f>
        <v>1.8</v>
      </c>
      <c r="AD11" s="18" t="n">
        <f aca="false">SUMPRODUCT($K11:$N11,Weights!$K$28:$N$28)</f>
        <v>2.45</v>
      </c>
      <c r="AE11" s="18" t="n">
        <f aca="false">SUMPRODUCT($O11:$Q11,Weights!$O$28:$Q$28)</f>
        <v>2.6</v>
      </c>
      <c r="AF11" s="18" t="n">
        <f aca="false">SUMPRODUCT($R11:$V11,Weights!$R$28:$V$28)</f>
        <v>1.3</v>
      </c>
      <c r="AH11" s="18" t="n">
        <f aca="false">SUMPRODUCT($AB11:$AF11,Validation!$D$7:$H$7)</f>
        <v>1.79428571428545</v>
      </c>
      <c r="AI11" s="18" t="n">
        <f aca="false">SUMPRODUCT($AB11:$AF11,Validation!$D$8:$H$8)</f>
        <v>1.59571428571455</v>
      </c>
      <c r="AJ11" s="18" t="n">
        <f aca="false">SUMPRODUCT($AB11:$AF11,Validation!$D$9:$H$9)</f>
        <v>1.68099999999995</v>
      </c>
      <c r="AK11" s="18" t="n">
        <f aca="false">SUMPRODUCT($AB11:$AF11,Validation!$D$10:$H$10)</f>
        <v>1.70900000000005</v>
      </c>
      <c r="AL11" s="18" t="n">
        <f aca="false">SUMPRODUCT($AB11:$AF11,Validation!$D$11:$H$11)</f>
        <v>1.600625</v>
      </c>
      <c r="AM11" s="18" t="n">
        <f aca="false">SUMPRODUCT($AB11:$AF11,Validation!$D$12:$H$12)</f>
        <v>1.789375</v>
      </c>
      <c r="AN11" s="18" t="n">
        <f aca="false">SUMPRODUCT($AB11:$AF11,Validation!$D$13:$H$13)</f>
        <v>1.5944444444444</v>
      </c>
      <c r="AO11" s="18" t="n">
        <f aca="false">SUMPRODUCT($AB11:$AF11,Validation!$D$14:$H$14)</f>
        <v>1.7955555555556</v>
      </c>
      <c r="AP11" s="18" t="n">
        <f aca="false">SUMPRODUCT($AB11:$AF11,Validation!$D$15:$H$15)</f>
        <v>1.74147058823525</v>
      </c>
      <c r="AQ11" s="18" t="n">
        <f aca="false">SUMPRODUCT($AB11:$AF11,Validation!$D$16:$H$16)</f>
        <v>1.64852941176475</v>
      </c>
      <c r="AR11" s="8" t="n">
        <f aca="false">COUNTIF($C11:$V11,"&gt;=4")</f>
        <v>0</v>
      </c>
      <c r="AS11" s="8" t="str">
        <f aca="false">IF($X11&lt;=1.6,"Low",IF($X11&lt;=2.2,"Medium","High"))</f>
        <v>Medium</v>
      </c>
      <c r="AT11" s="8" t="str">
        <f aca="false">IF($AR11=0,"Low",IF($AR11&lt;3,"Medium","High"))</f>
        <v>Low</v>
      </c>
      <c r="AU11" s="8" t="str">
        <f aca="false">IF(OR($AS11="High",$AT11="High"),"High",IF(OR($AS11="Medium",$AT11="Medium"),"Medium","Low"))</f>
        <v>Medium</v>
      </c>
      <c r="AV11" s="15" t="str">
        <f aca="false">IF($Z11="Yes","High",$AU11)</f>
        <v>Medium</v>
      </c>
    </row>
    <row r="12" customFormat="false" ht="15" hidden="false" customHeight="false" outlineLevel="0" collapsed="false">
      <c r="A12" s="7" t="str">
        <f aca="false">Customers!$A12</f>
        <v>NG-10107</v>
      </c>
      <c r="B12" s="7" t="str">
        <f aca="false">Customers!$B12</f>
        <v>Personal</v>
      </c>
      <c r="C12" s="8" t="n">
        <f aca="false">INDEX(Mapping!$C$2:$C$99,MATCH(C$1&amp;"|"&amp;Customers!C12,Mapping!$D$2:$D$99,0))</f>
        <v>1</v>
      </c>
      <c r="D12" s="8" t="n">
        <f aca="false">INDEX(Mapping!$C$2:$C$99,MATCH(D$1&amp;"|"&amp;Customers!D12,Mapping!$D$2:$D$99,0))</f>
        <v>1</v>
      </c>
      <c r="E12" s="8" t="n">
        <f aca="false">INDEX(Mapping!$C$2:$C$99,MATCH(E$1&amp;"|"&amp;Customers!E12,Mapping!$D$2:$D$99,0))</f>
        <v>1</v>
      </c>
      <c r="F12" s="8" t="n">
        <f aca="false">INDEX(Mapping!$C$2:$C$99,MATCH(F$1&amp;"|"&amp;Customers!F12,Mapping!$D$2:$D$99,0))</f>
        <v>1</v>
      </c>
      <c r="G12" s="8" t="n">
        <f aca="false">INDEX(Mapping!$C$2:$C$99,MATCH(G$1&amp;"|"&amp;Customers!G12,Mapping!$D$2:$D$99,0))</f>
        <v>1</v>
      </c>
      <c r="H12" s="8" t="n">
        <f aca="false">INDEX(Mapping!$C$2:$C$99,MATCH(H$1&amp;"|"&amp;Customers!H12,Mapping!$D$2:$D$99,0))</f>
        <v>1</v>
      </c>
      <c r="I12" s="8" t="n">
        <f aca="false">INDEX(Mapping!$C$2:$C$99,MATCH(I$1&amp;"|"&amp;Customers!I12,Mapping!$D$2:$D$99,0))</f>
        <v>1</v>
      </c>
      <c r="J12" s="8" t="n">
        <f aca="false">INDEX(Mapping!$C$2:$C$99,MATCH(J$1&amp;"|"&amp;Customers!J12,Mapping!$D$2:$D$99,0))</f>
        <v>1</v>
      </c>
      <c r="K12" s="8" t="n">
        <f aca="false">INDEX(Mapping!$C$2:$C$99,MATCH(K$1&amp;"|"&amp;Customers!K12,Mapping!$D$2:$D$99,0))</f>
        <v>3</v>
      </c>
      <c r="L12" s="8" t="n">
        <f aca="false">INDEX(Mapping!$C$2:$C$99,MATCH(L$1&amp;"|"&amp;Customers!L12,Mapping!$D$2:$D$99,0))</f>
        <v>3</v>
      </c>
      <c r="M12" s="8" t="n">
        <f aca="false">INDEX(Mapping!$C$2:$C$99,MATCH(M$1&amp;"|"&amp;Customers!M12,Mapping!$D$2:$D$99,0))</f>
        <v>1</v>
      </c>
      <c r="N12" s="8" t="n">
        <f aca="false">INDEX(Mapping!$C$2:$C$99,MATCH(N$1&amp;"|"&amp;Customers!N12,Mapping!$D$2:$D$99,0))</f>
        <v>1</v>
      </c>
      <c r="O12" s="8" t="n">
        <f aca="false">INDEX(Mapping!$C$2:$C$99,MATCH(O$1&amp;"|"&amp;Customers!O12,Mapping!$D$2:$D$99,0))</f>
        <v>3</v>
      </c>
      <c r="P12" s="8" t="n">
        <f aca="false">INDEX(Mapping!$C$2:$C$99,MATCH(P$1&amp;"|"&amp;Customers!P12,Mapping!$D$2:$D$99,0))</f>
        <v>3</v>
      </c>
      <c r="Q12" s="8" t="n">
        <f aca="false">INDEX(Mapping!$C$2:$C$99,MATCH(Q$1&amp;"|"&amp;Customers!Q12,Mapping!$D$2:$D$99,0))</f>
        <v>2</v>
      </c>
      <c r="R12" s="8" t="n">
        <f aca="false">INDEX(Mapping!$C$2:$C$99,MATCH(R$1&amp;"|"&amp;Customers!R12,Mapping!$D$2:$D$99,0))</f>
        <v>1</v>
      </c>
      <c r="S12" s="8" t="n">
        <f aca="false">INDEX(Mapping!$C$2:$C$99,MATCH(S$1&amp;"|"&amp;Customers!S12,Mapping!$D$2:$D$99,0))</f>
        <v>1</v>
      </c>
      <c r="T12" s="8" t="n">
        <f aca="false">INDEX(Mapping!$C$2:$C$99,MATCH(T$1&amp;"|"&amp;Customers!T12,Mapping!$D$2:$D$99,0))</f>
        <v>1</v>
      </c>
      <c r="U12" s="8" t="n">
        <f aca="false">INDEX(Mapping!$C$2:$C$99,MATCH(U$1&amp;"|"&amp;Customers!U12,Mapping!$D$2:$D$99,0))</f>
        <v>1</v>
      </c>
      <c r="V12" s="8" t="n">
        <f aca="false">INDEX(Mapping!$C$2:$C$99,MATCH(V$1&amp;"|"&amp;Customers!V12,Mapping!$D$2:$D$99,0))</f>
        <v>1</v>
      </c>
      <c r="W12" s="17" t="n">
        <f aca="false">SUMPRODUCT($C12:$V12,Weights!$C$27:$V$27)</f>
        <v>1.42</v>
      </c>
      <c r="X12" s="18" t="n">
        <f aca="false">ROUND($W12,2)</f>
        <v>1.42</v>
      </c>
      <c r="Y12" s="8" t="str">
        <f aca="false">IF($X12&lt;=2,"Low",IF($X12&lt;=3.49,"Medium","High"))</f>
        <v>Low</v>
      </c>
      <c r="Z12" s="8" t="str">
        <f aca="false">IF(OR($F12&gt;=3,$E12=5,$D12=5,$C12=5,$G12=5,$H12=5,$I12=5,$J12=5,Customers!$W12="Yes"),"Yes","No")</f>
        <v>No</v>
      </c>
      <c r="AA12" s="15" t="str">
        <f aca="false">IF($Z12="Yes","High",$Y12)</f>
        <v>Low</v>
      </c>
      <c r="AB12" s="18" t="n">
        <f aca="false">SUMPRODUCT($C12:$G12,Weights!$C$28:$G$28)</f>
        <v>1</v>
      </c>
      <c r="AC12" s="18" t="n">
        <f aca="false">SUMPRODUCT($H12:$J12,Weights!$H$28:$J$28)</f>
        <v>1</v>
      </c>
      <c r="AD12" s="18" t="n">
        <f aca="false">SUMPRODUCT($K12:$N12,Weights!$K$28:$N$28)</f>
        <v>2.2</v>
      </c>
      <c r="AE12" s="18" t="n">
        <f aca="false">SUMPRODUCT($O12:$Q12,Weights!$O$28:$Q$28)</f>
        <v>2.8</v>
      </c>
      <c r="AF12" s="18" t="n">
        <f aca="false">SUMPRODUCT($R12:$V12,Weights!$R$28:$V$28)</f>
        <v>1</v>
      </c>
      <c r="AH12" s="18" t="n">
        <f aca="false">SUMPRODUCT($AB12:$AF12,Validation!$D$7:$H$7)</f>
        <v>1.48</v>
      </c>
      <c r="AI12" s="18" t="n">
        <f aca="false">SUMPRODUCT($AB12:$AF12,Validation!$D$8:$H$8)</f>
        <v>1.36</v>
      </c>
      <c r="AJ12" s="18" t="n">
        <f aca="false">SUMPRODUCT($AB12:$AF12,Validation!$D$9:$H$9)</f>
        <v>1.4759999999998</v>
      </c>
      <c r="AK12" s="18" t="n">
        <f aca="false">SUMPRODUCT($AB12:$AF12,Validation!$D$10:$H$10)</f>
        <v>1.3640000000002</v>
      </c>
      <c r="AL12" s="18" t="n">
        <f aca="false">SUMPRODUCT($AB12:$AF12,Validation!$D$11:$H$11)</f>
        <v>1.3225</v>
      </c>
      <c r="AM12" s="18" t="n">
        <f aca="false">SUMPRODUCT($AB12:$AF12,Validation!$D$12:$H$12)</f>
        <v>1.5175</v>
      </c>
      <c r="AN12" s="18" t="n">
        <f aca="false">SUMPRODUCT($AB12:$AF12,Validation!$D$13:$H$13)</f>
        <v>1.2666666666664</v>
      </c>
      <c r="AO12" s="18" t="n">
        <f aca="false">SUMPRODUCT($AB12:$AF12,Validation!$D$14:$H$14)</f>
        <v>1.5733333333336</v>
      </c>
      <c r="AP12" s="18" t="n">
        <f aca="false">SUMPRODUCT($AB12:$AF12,Validation!$D$15:$H$15)</f>
        <v>1.4694117647056</v>
      </c>
      <c r="AQ12" s="18" t="n">
        <f aca="false">SUMPRODUCT($AB12:$AF12,Validation!$D$16:$H$16)</f>
        <v>1.3705882352944</v>
      </c>
      <c r="AR12" s="8" t="n">
        <f aca="false">COUNTIF($C12:$V12,"&gt;=4")</f>
        <v>0</v>
      </c>
      <c r="AS12" s="8" t="str">
        <f aca="false">IF($X12&lt;=1.6,"Low",IF($X12&lt;=2.2,"Medium","High"))</f>
        <v>Low</v>
      </c>
      <c r="AT12" s="8" t="str">
        <f aca="false">IF($AR12=0,"Low",IF($AR12&lt;3,"Medium","High"))</f>
        <v>Low</v>
      </c>
      <c r="AU12" s="8" t="str">
        <f aca="false">IF(OR($AS12="High",$AT12="High"),"High",IF(OR($AS12="Medium",$AT12="Medium"),"Medium","Low"))</f>
        <v>Low</v>
      </c>
      <c r="AV12" s="15" t="str">
        <f aca="false">IF($Z12="Yes","High",$AU12)</f>
        <v>Low</v>
      </c>
    </row>
    <row r="13" customFormat="false" ht="15" hidden="false" customHeight="false" outlineLevel="0" collapsed="false">
      <c r="A13" s="7" t="str">
        <f aca="false">Customers!$A13</f>
        <v>NG-10190</v>
      </c>
      <c r="B13" s="7" t="str">
        <f aca="false">Customers!$B13</f>
        <v>Personal</v>
      </c>
      <c r="C13" s="8" t="n">
        <f aca="false">INDEX(Mapping!$C$2:$C$99,MATCH(C$1&amp;"|"&amp;Customers!C13,Mapping!$D$2:$D$99,0))</f>
        <v>1</v>
      </c>
      <c r="D13" s="8" t="n">
        <f aca="false">INDEX(Mapping!$C$2:$C$99,MATCH(D$1&amp;"|"&amp;Customers!D13,Mapping!$D$2:$D$99,0))</f>
        <v>1</v>
      </c>
      <c r="E13" s="8" t="n">
        <f aca="false">INDEX(Mapping!$C$2:$C$99,MATCH(E$1&amp;"|"&amp;Customers!E13,Mapping!$D$2:$D$99,0))</f>
        <v>1</v>
      </c>
      <c r="F13" s="8" t="n">
        <f aca="false">INDEX(Mapping!$C$2:$C$99,MATCH(F$1&amp;"|"&amp;Customers!F13,Mapping!$D$2:$D$99,0))</f>
        <v>1</v>
      </c>
      <c r="G13" s="8" t="n">
        <f aca="false">INDEX(Mapping!$C$2:$C$99,MATCH(G$1&amp;"|"&amp;Customers!G13,Mapping!$D$2:$D$99,0))</f>
        <v>1</v>
      </c>
      <c r="H13" s="8" t="n">
        <f aca="false">INDEX(Mapping!$C$2:$C$99,MATCH(H$1&amp;"|"&amp;Customers!H13,Mapping!$D$2:$D$99,0))</f>
        <v>1</v>
      </c>
      <c r="I13" s="8" t="n">
        <f aca="false">INDEX(Mapping!$C$2:$C$99,MATCH(I$1&amp;"|"&amp;Customers!I13,Mapping!$D$2:$D$99,0))</f>
        <v>1</v>
      </c>
      <c r="J13" s="8" t="n">
        <f aca="false">INDEX(Mapping!$C$2:$C$99,MATCH(J$1&amp;"|"&amp;Customers!J13,Mapping!$D$2:$D$99,0))</f>
        <v>1</v>
      </c>
      <c r="K13" s="8" t="n">
        <f aca="false">INDEX(Mapping!$C$2:$C$99,MATCH(K$1&amp;"|"&amp;Customers!K13,Mapping!$D$2:$D$99,0))</f>
        <v>2</v>
      </c>
      <c r="L13" s="8" t="n">
        <f aca="false">INDEX(Mapping!$C$2:$C$99,MATCH(L$1&amp;"|"&amp;Customers!L13,Mapping!$D$2:$D$99,0))</f>
        <v>3</v>
      </c>
      <c r="M13" s="8" t="n">
        <f aca="false">INDEX(Mapping!$C$2:$C$99,MATCH(M$1&amp;"|"&amp;Customers!M13,Mapping!$D$2:$D$99,0))</f>
        <v>3</v>
      </c>
      <c r="N13" s="8" t="n">
        <f aca="false">INDEX(Mapping!$C$2:$C$99,MATCH(N$1&amp;"|"&amp;Customers!N13,Mapping!$D$2:$D$99,0))</f>
        <v>1</v>
      </c>
      <c r="O13" s="8" t="n">
        <f aca="false">INDEX(Mapping!$C$2:$C$99,MATCH(O$1&amp;"|"&amp;Customers!O13,Mapping!$D$2:$D$99,0))</f>
        <v>3</v>
      </c>
      <c r="P13" s="8" t="n">
        <f aca="false">INDEX(Mapping!$C$2:$C$99,MATCH(P$1&amp;"|"&amp;Customers!P13,Mapping!$D$2:$D$99,0))</f>
        <v>3</v>
      </c>
      <c r="Q13" s="8" t="n">
        <f aca="false">INDEX(Mapping!$C$2:$C$99,MATCH(Q$1&amp;"|"&amp;Customers!Q13,Mapping!$D$2:$D$99,0))</f>
        <v>3</v>
      </c>
      <c r="R13" s="8" t="n">
        <f aca="false">INDEX(Mapping!$C$2:$C$99,MATCH(R$1&amp;"|"&amp;Customers!R13,Mapping!$D$2:$D$99,0))</f>
        <v>1</v>
      </c>
      <c r="S13" s="8" t="n">
        <f aca="false">INDEX(Mapping!$C$2:$C$99,MATCH(S$1&amp;"|"&amp;Customers!S13,Mapping!$D$2:$D$99,0))</f>
        <v>2</v>
      </c>
      <c r="T13" s="8" t="n">
        <f aca="false">INDEX(Mapping!$C$2:$C$99,MATCH(T$1&amp;"|"&amp;Customers!T13,Mapping!$D$2:$D$99,0))</f>
        <v>1</v>
      </c>
      <c r="U13" s="8" t="n">
        <f aca="false">INDEX(Mapping!$C$2:$C$99,MATCH(U$1&amp;"|"&amp;Customers!U13,Mapping!$D$2:$D$99,0))</f>
        <v>1</v>
      </c>
      <c r="V13" s="8" t="n">
        <f aca="false">INDEX(Mapping!$C$2:$C$99,MATCH(V$1&amp;"|"&amp;Customers!V13,Mapping!$D$2:$D$99,0))</f>
        <v>1</v>
      </c>
      <c r="W13" s="17" t="n">
        <f aca="false">SUMPRODUCT($C13:$V13,Weights!$C$27:$V$27)</f>
        <v>1.515</v>
      </c>
      <c r="X13" s="18" t="n">
        <f aca="false">ROUND($W13,2)</f>
        <v>1.52</v>
      </c>
      <c r="Y13" s="8" t="str">
        <f aca="false">IF($X13&lt;=2,"Low",IF($X13&lt;=3.49,"Medium","High"))</f>
        <v>Low</v>
      </c>
      <c r="Z13" s="8" t="str">
        <f aca="false">IF(OR($F13&gt;=3,$E13=5,$D13=5,$C13=5,$G13=5,$H13=5,$I13=5,$J13=5,Customers!$W13="Yes"),"Yes","No")</f>
        <v>No</v>
      </c>
      <c r="AA13" s="15" t="str">
        <f aca="false">IF($Z13="Yes","High",$Y13)</f>
        <v>Low</v>
      </c>
      <c r="AB13" s="18" t="n">
        <f aca="false">SUMPRODUCT($C13:$G13,Weights!$C$28:$G$28)</f>
        <v>1</v>
      </c>
      <c r="AC13" s="18" t="n">
        <f aca="false">SUMPRODUCT($H13:$J13,Weights!$H$28:$J$28)</f>
        <v>1</v>
      </c>
      <c r="AD13" s="18" t="n">
        <f aca="false">SUMPRODUCT($K13:$N13,Weights!$K$28:$N$28)</f>
        <v>2.35</v>
      </c>
      <c r="AE13" s="18" t="n">
        <f aca="false">SUMPRODUCT($O13:$Q13,Weights!$O$28:$Q$28)</f>
        <v>3</v>
      </c>
      <c r="AF13" s="18" t="n">
        <f aca="false">SUMPRODUCT($R13:$V13,Weights!$R$28:$V$28)</f>
        <v>1.3</v>
      </c>
      <c r="AH13" s="18" t="n">
        <f aca="false">SUMPRODUCT($AB13:$AF13,Validation!$D$7:$H$7)</f>
        <v>1.58857142857155</v>
      </c>
      <c r="AI13" s="18" t="n">
        <f aca="false">SUMPRODUCT($AB13:$AF13,Validation!$D$8:$H$8)</f>
        <v>1.44142857142845</v>
      </c>
      <c r="AJ13" s="18" t="n">
        <f aca="false">SUMPRODUCT($AB13:$AF13,Validation!$D$9:$H$9)</f>
        <v>1.58366666666645</v>
      </c>
      <c r="AK13" s="18" t="n">
        <f aca="false">SUMPRODUCT($AB13:$AF13,Validation!$D$10:$H$10)</f>
        <v>1.44633333333355</v>
      </c>
      <c r="AL13" s="18" t="n">
        <f aca="false">SUMPRODUCT($AB13:$AF13,Validation!$D$11:$H$11)</f>
        <v>1.410625</v>
      </c>
      <c r="AM13" s="18" t="n">
        <f aca="false">SUMPRODUCT($AB13:$AF13,Validation!$D$12:$H$12)</f>
        <v>1.619375</v>
      </c>
      <c r="AN13" s="18" t="n">
        <f aca="false">SUMPRODUCT($AB13:$AF13,Validation!$D$13:$H$13)</f>
        <v>1.3499999999998</v>
      </c>
      <c r="AO13" s="18" t="n">
        <f aca="false">SUMPRODUCT($AB13:$AF13,Validation!$D$14:$H$14)</f>
        <v>1.6800000000002</v>
      </c>
      <c r="AP13" s="18" t="n">
        <f aca="false">SUMPRODUCT($AB13:$AF13,Validation!$D$15:$H$15)</f>
        <v>1.54029411764675</v>
      </c>
      <c r="AQ13" s="18" t="n">
        <f aca="false">SUMPRODUCT($AB13:$AF13,Validation!$D$16:$H$16)</f>
        <v>1.48970588235325</v>
      </c>
      <c r="AR13" s="8" t="n">
        <f aca="false">COUNTIF($C13:$V13,"&gt;=4")</f>
        <v>0</v>
      </c>
      <c r="AS13" s="8" t="str">
        <f aca="false">IF($X13&lt;=1.6,"Low",IF($X13&lt;=2.2,"Medium","High"))</f>
        <v>Low</v>
      </c>
      <c r="AT13" s="8" t="str">
        <f aca="false">IF($AR13=0,"Low",IF($AR13&lt;3,"Medium","High"))</f>
        <v>Low</v>
      </c>
      <c r="AU13" s="8" t="str">
        <f aca="false">IF(OR($AS13="High",$AT13="High"),"High",IF(OR($AS13="Medium",$AT13="Medium"),"Medium","Low"))</f>
        <v>Low</v>
      </c>
      <c r="AV13" s="15" t="str">
        <f aca="false">IF($Z13="Yes","High",$AU13)</f>
        <v>Low</v>
      </c>
    </row>
    <row r="14" customFormat="false" ht="15" hidden="false" customHeight="false" outlineLevel="0" collapsed="false">
      <c r="A14" s="7" t="str">
        <f aca="false">Customers!$A14</f>
        <v>NG-10205</v>
      </c>
      <c r="B14" s="7" t="str">
        <f aca="false">Customers!$B14</f>
        <v>Personal</v>
      </c>
      <c r="C14" s="8" t="n">
        <f aca="false">INDEX(Mapping!$C$2:$C$99,MATCH(C$1&amp;"|"&amp;Customers!C14,Mapping!$D$2:$D$99,0))</f>
        <v>2</v>
      </c>
      <c r="D14" s="8" t="n">
        <f aca="false">INDEX(Mapping!$C$2:$C$99,MATCH(D$1&amp;"|"&amp;Customers!D14,Mapping!$D$2:$D$99,0))</f>
        <v>1</v>
      </c>
      <c r="E14" s="8" t="n">
        <f aca="false">INDEX(Mapping!$C$2:$C$99,MATCH(E$1&amp;"|"&amp;Customers!E14,Mapping!$D$2:$D$99,0))</f>
        <v>1</v>
      </c>
      <c r="F14" s="8" t="n">
        <f aca="false">INDEX(Mapping!$C$2:$C$99,MATCH(F$1&amp;"|"&amp;Customers!F14,Mapping!$D$2:$D$99,0))</f>
        <v>1</v>
      </c>
      <c r="G14" s="8" t="n">
        <f aca="false">INDEX(Mapping!$C$2:$C$99,MATCH(G$1&amp;"|"&amp;Customers!G14,Mapping!$D$2:$D$99,0))</f>
        <v>1</v>
      </c>
      <c r="H14" s="8" t="n">
        <f aca="false">INDEX(Mapping!$C$2:$C$99,MATCH(H$1&amp;"|"&amp;Customers!H14,Mapping!$D$2:$D$99,0))</f>
        <v>1</v>
      </c>
      <c r="I14" s="8" t="n">
        <f aca="false">INDEX(Mapping!$C$2:$C$99,MATCH(I$1&amp;"|"&amp;Customers!I14,Mapping!$D$2:$D$99,0))</f>
        <v>1</v>
      </c>
      <c r="J14" s="8" t="n">
        <f aca="false">INDEX(Mapping!$C$2:$C$99,MATCH(J$1&amp;"|"&amp;Customers!J14,Mapping!$D$2:$D$99,0))</f>
        <v>1</v>
      </c>
      <c r="K14" s="8" t="n">
        <f aca="false">INDEX(Mapping!$C$2:$C$99,MATCH(K$1&amp;"|"&amp;Customers!K14,Mapping!$D$2:$D$99,0))</f>
        <v>1</v>
      </c>
      <c r="L14" s="8" t="n">
        <f aca="false">INDEX(Mapping!$C$2:$C$99,MATCH(L$1&amp;"|"&amp;Customers!L14,Mapping!$D$2:$D$99,0))</f>
        <v>1</v>
      </c>
      <c r="M14" s="8" t="n">
        <f aca="false">INDEX(Mapping!$C$2:$C$99,MATCH(M$1&amp;"|"&amp;Customers!M14,Mapping!$D$2:$D$99,0))</f>
        <v>3</v>
      </c>
      <c r="N14" s="8" t="n">
        <f aca="false">INDEX(Mapping!$C$2:$C$99,MATCH(N$1&amp;"|"&amp;Customers!N14,Mapping!$D$2:$D$99,0))</f>
        <v>1</v>
      </c>
      <c r="O14" s="8" t="n">
        <f aca="false">INDEX(Mapping!$C$2:$C$99,MATCH(O$1&amp;"|"&amp;Customers!O14,Mapping!$D$2:$D$99,0))</f>
        <v>3</v>
      </c>
      <c r="P14" s="8" t="n">
        <f aca="false">INDEX(Mapping!$C$2:$C$99,MATCH(P$1&amp;"|"&amp;Customers!P14,Mapping!$D$2:$D$99,0))</f>
        <v>1</v>
      </c>
      <c r="Q14" s="8" t="n">
        <f aca="false">INDEX(Mapping!$C$2:$C$99,MATCH(Q$1&amp;"|"&amp;Customers!Q14,Mapping!$D$2:$D$99,0))</f>
        <v>1</v>
      </c>
      <c r="R14" s="8" t="n">
        <f aca="false">INDEX(Mapping!$C$2:$C$99,MATCH(R$1&amp;"|"&amp;Customers!R14,Mapping!$D$2:$D$99,0))</f>
        <v>2</v>
      </c>
      <c r="S14" s="8" t="n">
        <f aca="false">INDEX(Mapping!$C$2:$C$99,MATCH(S$1&amp;"|"&amp;Customers!S14,Mapping!$D$2:$D$99,0))</f>
        <v>1</v>
      </c>
      <c r="T14" s="8" t="n">
        <f aca="false">INDEX(Mapping!$C$2:$C$99,MATCH(T$1&amp;"|"&amp;Customers!T14,Mapping!$D$2:$D$99,0))</f>
        <v>1</v>
      </c>
      <c r="U14" s="8" t="n">
        <f aca="false">INDEX(Mapping!$C$2:$C$99,MATCH(U$1&amp;"|"&amp;Customers!U14,Mapping!$D$2:$D$99,0))</f>
        <v>1</v>
      </c>
      <c r="V14" s="8" t="n">
        <f aca="false">INDEX(Mapping!$C$2:$C$99,MATCH(V$1&amp;"|"&amp;Customers!V14,Mapping!$D$2:$D$99,0))</f>
        <v>1</v>
      </c>
      <c r="W14" s="17" t="n">
        <f aca="false">SUMPRODUCT($C14:$V14,Weights!$C$27:$V$27)</f>
        <v>1.2875</v>
      </c>
      <c r="X14" s="18" t="n">
        <f aca="false">ROUND($W14,2)</f>
        <v>1.29</v>
      </c>
      <c r="Y14" s="8" t="str">
        <f aca="false">IF($X14&lt;=2,"Low",IF($X14&lt;=3.49,"Medium","High"))</f>
        <v>Low</v>
      </c>
      <c r="Z14" s="8" t="str">
        <f aca="false">IF(OR($F14&gt;=3,$E14=5,$D14=5,$C14=5,$G14=5,$H14=5,$I14=5,$J14=5,Customers!$W14="Yes"),"Yes","No")</f>
        <v>No</v>
      </c>
      <c r="AA14" s="15" t="str">
        <f aca="false">IF($Z14="Yes","High",$Y14)</f>
        <v>Low</v>
      </c>
      <c r="AB14" s="18" t="n">
        <f aca="false">SUMPRODUCT($C14:$G14,Weights!$C$28:$G$28)</f>
        <v>1.2</v>
      </c>
      <c r="AC14" s="18" t="n">
        <f aca="false">SUMPRODUCT($H14:$J14,Weights!$H$28:$J$28)</f>
        <v>1</v>
      </c>
      <c r="AD14" s="18" t="n">
        <f aca="false">SUMPRODUCT($K14:$N14,Weights!$K$28:$N$28)</f>
        <v>1.5</v>
      </c>
      <c r="AE14" s="18" t="n">
        <f aca="false">SUMPRODUCT($O14:$Q14,Weights!$O$28:$Q$28)</f>
        <v>1.9</v>
      </c>
      <c r="AF14" s="18" t="n">
        <f aca="false">SUMPRODUCT($R14:$V14,Weights!$R$28:$V$28)</f>
        <v>1.25</v>
      </c>
      <c r="AH14" s="18" t="n">
        <f aca="false">SUMPRODUCT($AB14:$AF14,Validation!$D$7:$H$7)</f>
        <v>1.30000000000015</v>
      </c>
      <c r="AI14" s="18" t="n">
        <f aca="false">SUMPRODUCT($AB14:$AF14,Validation!$D$8:$H$8)</f>
        <v>1.27499999999985</v>
      </c>
      <c r="AJ14" s="18" t="n">
        <f aca="false">SUMPRODUCT($AB14:$AF14,Validation!$D$9:$H$9)</f>
        <v>1.3258333333332</v>
      </c>
      <c r="AK14" s="18" t="n">
        <f aca="false">SUMPRODUCT($AB14:$AF14,Validation!$D$10:$H$10)</f>
        <v>1.2491666666668</v>
      </c>
      <c r="AL14" s="18" t="n">
        <f aca="false">SUMPRODUCT($AB14:$AF14,Validation!$D$11:$H$11)</f>
        <v>1.2609375</v>
      </c>
      <c r="AM14" s="18" t="n">
        <f aca="false">SUMPRODUCT($AB14:$AF14,Validation!$D$12:$H$12)</f>
        <v>1.3140625</v>
      </c>
      <c r="AN14" s="18" t="n">
        <f aca="false">SUMPRODUCT($AB14:$AF14,Validation!$D$13:$H$13)</f>
        <v>1.21944444444435</v>
      </c>
      <c r="AO14" s="18" t="n">
        <f aca="false">SUMPRODUCT($AB14:$AF14,Validation!$D$14:$H$14)</f>
        <v>1.35555555555565</v>
      </c>
      <c r="AP14" s="18" t="n">
        <f aca="false">SUMPRODUCT($AB14:$AF14,Validation!$D$15:$H$15)</f>
        <v>1.2919117647057</v>
      </c>
      <c r="AQ14" s="18" t="n">
        <f aca="false">SUMPRODUCT($AB14:$AF14,Validation!$D$16:$H$16)</f>
        <v>1.2830882352943</v>
      </c>
      <c r="AR14" s="8" t="n">
        <f aca="false">COUNTIF($C14:$V14,"&gt;=4")</f>
        <v>0</v>
      </c>
      <c r="AS14" s="8" t="str">
        <f aca="false">IF($X14&lt;=1.6,"Low",IF($X14&lt;=2.2,"Medium","High"))</f>
        <v>Low</v>
      </c>
      <c r="AT14" s="8" t="str">
        <f aca="false">IF($AR14=0,"Low",IF($AR14&lt;3,"Medium","High"))</f>
        <v>Low</v>
      </c>
      <c r="AU14" s="8" t="str">
        <f aca="false">IF(OR($AS14="High",$AT14="High"),"High",IF(OR($AS14="Medium",$AT14="Medium"),"Medium","Low"))</f>
        <v>Low</v>
      </c>
      <c r="AV14" s="15" t="str">
        <f aca="false">IF($Z14="Yes","High",$AU14)</f>
        <v>Low</v>
      </c>
    </row>
    <row r="15" customFormat="false" ht="15" hidden="false" customHeight="false" outlineLevel="0" collapsed="false">
      <c r="A15" s="7" t="str">
        <f aca="false">Customers!$A15</f>
        <v>NG-10381</v>
      </c>
      <c r="B15" s="7" t="str">
        <f aca="false">Customers!$B15</f>
        <v>Limited company</v>
      </c>
      <c r="C15" s="8" t="n">
        <f aca="false">INDEX(Mapping!$C$2:$C$99,MATCH(C$1&amp;"|"&amp;Customers!C15,Mapping!$D$2:$D$99,0))</f>
        <v>3</v>
      </c>
      <c r="D15" s="8" t="n">
        <f aca="false">INDEX(Mapping!$C$2:$C$99,MATCH(D$1&amp;"|"&amp;Customers!D15,Mapping!$D$2:$D$99,0))</f>
        <v>3</v>
      </c>
      <c r="E15" s="8" t="n">
        <f aca="false">INDEX(Mapping!$C$2:$C$99,MATCH(E$1&amp;"|"&amp;Customers!E15,Mapping!$D$2:$D$99,0))</f>
        <v>3</v>
      </c>
      <c r="F15" s="8" t="n">
        <f aca="false">INDEX(Mapping!$C$2:$C$99,MATCH(F$1&amp;"|"&amp;Customers!F15,Mapping!$D$2:$D$99,0))</f>
        <v>1</v>
      </c>
      <c r="G15" s="8" t="n">
        <f aca="false">INDEX(Mapping!$C$2:$C$99,MATCH(G$1&amp;"|"&amp;Customers!G15,Mapping!$D$2:$D$99,0))</f>
        <v>1</v>
      </c>
      <c r="H15" s="8" t="n">
        <f aca="false">INDEX(Mapping!$C$2:$C$99,MATCH(H$1&amp;"|"&amp;Customers!H15,Mapping!$D$2:$D$99,0))</f>
        <v>1</v>
      </c>
      <c r="I15" s="8" t="n">
        <f aca="false">INDEX(Mapping!$C$2:$C$99,MATCH(I$1&amp;"|"&amp;Customers!I15,Mapping!$D$2:$D$99,0))</f>
        <v>1</v>
      </c>
      <c r="J15" s="8" t="n">
        <f aca="false">INDEX(Mapping!$C$2:$C$99,MATCH(J$1&amp;"|"&amp;Customers!J15,Mapping!$D$2:$D$99,0))</f>
        <v>2</v>
      </c>
      <c r="K15" s="8" t="n">
        <f aca="false">INDEX(Mapping!$C$2:$C$99,MATCH(K$1&amp;"|"&amp;Customers!K15,Mapping!$D$2:$D$99,0))</f>
        <v>4</v>
      </c>
      <c r="L15" s="8" t="n">
        <f aca="false">INDEX(Mapping!$C$2:$C$99,MATCH(L$1&amp;"|"&amp;Customers!L15,Mapping!$D$2:$D$99,0))</f>
        <v>3</v>
      </c>
      <c r="M15" s="8" t="n">
        <f aca="false">INDEX(Mapping!$C$2:$C$99,MATCH(M$1&amp;"|"&amp;Customers!M15,Mapping!$D$2:$D$99,0))</f>
        <v>3</v>
      </c>
      <c r="N15" s="8" t="n">
        <f aca="false">INDEX(Mapping!$C$2:$C$99,MATCH(N$1&amp;"|"&amp;Customers!N15,Mapping!$D$2:$D$99,0))</f>
        <v>1</v>
      </c>
      <c r="O15" s="8" t="n">
        <f aca="false">INDEX(Mapping!$C$2:$C$99,MATCH(O$1&amp;"|"&amp;Customers!O15,Mapping!$D$2:$D$99,0))</f>
        <v>3</v>
      </c>
      <c r="P15" s="8" t="n">
        <f aca="false">INDEX(Mapping!$C$2:$C$99,MATCH(P$1&amp;"|"&amp;Customers!P15,Mapping!$D$2:$D$99,0))</f>
        <v>4</v>
      </c>
      <c r="Q15" s="8" t="n">
        <f aca="false">INDEX(Mapping!$C$2:$C$99,MATCH(Q$1&amp;"|"&amp;Customers!Q15,Mapping!$D$2:$D$99,0))</f>
        <v>4</v>
      </c>
      <c r="R15" s="8" t="n">
        <f aca="false">INDEX(Mapping!$C$2:$C$99,MATCH(R$1&amp;"|"&amp;Customers!R15,Mapping!$D$2:$D$99,0))</f>
        <v>2</v>
      </c>
      <c r="S15" s="8" t="n">
        <f aca="false">INDEX(Mapping!$C$2:$C$99,MATCH(S$1&amp;"|"&amp;Customers!S15,Mapping!$D$2:$D$99,0))</f>
        <v>2</v>
      </c>
      <c r="T15" s="8" t="n">
        <f aca="false">INDEX(Mapping!$C$2:$C$99,MATCH(T$1&amp;"|"&amp;Customers!T15,Mapping!$D$2:$D$99,0))</f>
        <v>1</v>
      </c>
      <c r="U15" s="8" t="n">
        <f aca="false">INDEX(Mapping!$C$2:$C$99,MATCH(U$1&amp;"|"&amp;Customers!U15,Mapping!$D$2:$D$99,0))</f>
        <v>5</v>
      </c>
      <c r="V15" s="8" t="n">
        <f aca="false">INDEX(Mapping!$C$2:$C$99,MATCH(V$1&amp;"|"&amp;Customers!V15,Mapping!$D$2:$D$99,0))</f>
        <v>1</v>
      </c>
      <c r="W15" s="17" t="n">
        <f aca="false">SUMPRODUCT($C15:$V15,Weights!$C$27:$V$27)</f>
        <v>2.3275</v>
      </c>
      <c r="X15" s="18" t="n">
        <f aca="false">ROUND($W15,2)</f>
        <v>2.33</v>
      </c>
      <c r="Y15" s="8" t="str">
        <f aca="false">IF($X15&lt;=2,"Low",IF($X15&lt;=3.49,"Medium","High"))</f>
        <v>Medium</v>
      </c>
      <c r="Z15" s="8" t="str">
        <f aca="false">IF(OR($F15&gt;=3,$E15=5,$D15=5,$C15=5,$G15=5,$H15=5,$I15=5,$J15=5,Customers!$W15="Yes"),"Yes","No")</f>
        <v>No</v>
      </c>
      <c r="AA15" s="15" t="str">
        <f aca="false">IF($Z15="Yes","High",$Y15)</f>
        <v>Medium</v>
      </c>
      <c r="AB15" s="18" t="n">
        <f aca="false">SUMPRODUCT($C15:$G15,Weights!$C$28:$G$28)</f>
        <v>2.3</v>
      </c>
      <c r="AC15" s="18" t="n">
        <f aca="false">SUMPRODUCT($H15:$J15,Weights!$H$28:$J$28)</f>
        <v>1.4</v>
      </c>
      <c r="AD15" s="18" t="n">
        <f aca="false">SUMPRODUCT($K15:$N15,Weights!$K$28:$N$28)</f>
        <v>3.05</v>
      </c>
      <c r="AE15" s="18" t="n">
        <f aca="false">SUMPRODUCT($O15:$Q15,Weights!$O$28:$Q$28)</f>
        <v>3.55</v>
      </c>
      <c r="AF15" s="18" t="n">
        <f aca="false">SUMPRODUCT($R15:$V15,Weights!$R$28:$V$28)</f>
        <v>2.15</v>
      </c>
      <c r="AH15" s="18" t="n">
        <f aca="false">SUMPRODUCT($AB15:$AF15,Validation!$D$7:$H$7)</f>
        <v>2.3314285714288</v>
      </c>
      <c r="AI15" s="18" t="n">
        <f aca="false">SUMPRODUCT($AB15:$AF15,Validation!$D$8:$H$8)</f>
        <v>2.3235714285712</v>
      </c>
      <c r="AJ15" s="18" t="n">
        <f aca="false">SUMPRODUCT($AB15:$AF15,Validation!$D$9:$H$9)</f>
        <v>2.4511666666665</v>
      </c>
      <c r="AK15" s="18" t="n">
        <f aca="false">SUMPRODUCT($AB15:$AF15,Validation!$D$10:$H$10)</f>
        <v>2.2038333333335</v>
      </c>
      <c r="AL15" s="18" t="n">
        <f aca="false">SUMPRODUCT($AB15:$AF15,Validation!$D$11:$H$11)</f>
        <v>2.2371875</v>
      </c>
      <c r="AM15" s="18" t="n">
        <f aca="false">SUMPRODUCT($AB15:$AF15,Validation!$D$12:$H$12)</f>
        <v>2.4178125</v>
      </c>
      <c r="AN15" s="18" t="n">
        <f aca="false">SUMPRODUCT($AB15:$AF15,Validation!$D$13:$H$13)</f>
        <v>2.19166666666625</v>
      </c>
      <c r="AO15" s="18" t="n">
        <f aca="false">SUMPRODUCT($AB15:$AF15,Validation!$D$14:$H$14)</f>
        <v>2.46333333333375</v>
      </c>
      <c r="AP15" s="18" t="n">
        <f aca="false">SUMPRODUCT($AB15:$AF15,Validation!$D$15:$H$15)</f>
        <v>2.34838235294085</v>
      </c>
      <c r="AQ15" s="18" t="n">
        <f aca="false">SUMPRODUCT($AB15:$AF15,Validation!$D$16:$H$16)</f>
        <v>2.30661764705915</v>
      </c>
      <c r="AR15" s="8" t="n">
        <f aca="false">COUNTIF($C15:$V15,"&gt;=4")</f>
        <v>4</v>
      </c>
      <c r="AS15" s="8" t="str">
        <f aca="false">IF($X15&lt;=1.6,"Low",IF($X15&lt;=2.2,"Medium","High"))</f>
        <v>High</v>
      </c>
      <c r="AT15" s="8" t="str">
        <f aca="false">IF($AR15=0,"Low",IF($AR15&lt;3,"Medium","High"))</f>
        <v>High</v>
      </c>
      <c r="AU15" s="8" t="str">
        <f aca="false">IF(OR($AS15="High",$AT15="High"),"High",IF(OR($AS15="Medium",$AT15="Medium"),"Medium","Low"))</f>
        <v>High</v>
      </c>
      <c r="AV15" s="15" t="str">
        <f aca="false">IF($Z15="Yes","High",$AU15)</f>
        <v>High</v>
      </c>
    </row>
    <row r="16" customFormat="false" ht="15" hidden="false" customHeight="false" outlineLevel="0" collapsed="false">
      <c r="A16" s="7" t="str">
        <f aca="false">Customers!$A16</f>
        <v>NG-10131</v>
      </c>
      <c r="B16" s="7" t="str">
        <f aca="false">Customers!$B16</f>
        <v>Personal</v>
      </c>
      <c r="C16" s="8" t="n">
        <f aca="false">INDEX(Mapping!$C$2:$C$99,MATCH(C$1&amp;"|"&amp;Customers!C16,Mapping!$D$2:$D$99,0))</f>
        <v>1</v>
      </c>
      <c r="D16" s="8" t="n">
        <f aca="false">INDEX(Mapping!$C$2:$C$99,MATCH(D$1&amp;"|"&amp;Customers!D16,Mapping!$D$2:$D$99,0))</f>
        <v>1</v>
      </c>
      <c r="E16" s="8" t="n">
        <f aca="false">INDEX(Mapping!$C$2:$C$99,MATCH(E$1&amp;"|"&amp;Customers!E16,Mapping!$D$2:$D$99,0))</f>
        <v>1</v>
      </c>
      <c r="F16" s="8" t="n">
        <f aca="false">INDEX(Mapping!$C$2:$C$99,MATCH(F$1&amp;"|"&amp;Customers!F16,Mapping!$D$2:$D$99,0))</f>
        <v>1</v>
      </c>
      <c r="G16" s="8" t="n">
        <f aca="false">INDEX(Mapping!$C$2:$C$99,MATCH(G$1&amp;"|"&amp;Customers!G16,Mapping!$D$2:$D$99,0))</f>
        <v>3</v>
      </c>
      <c r="H16" s="8" t="n">
        <f aca="false">INDEX(Mapping!$C$2:$C$99,MATCH(H$1&amp;"|"&amp;Customers!H16,Mapping!$D$2:$D$99,0))</f>
        <v>1</v>
      </c>
      <c r="I16" s="8" t="n">
        <f aca="false">INDEX(Mapping!$C$2:$C$99,MATCH(I$1&amp;"|"&amp;Customers!I16,Mapping!$D$2:$D$99,0))</f>
        <v>1</v>
      </c>
      <c r="J16" s="8" t="n">
        <f aca="false">INDEX(Mapping!$C$2:$C$99,MATCH(J$1&amp;"|"&amp;Customers!J16,Mapping!$D$2:$D$99,0))</f>
        <v>4</v>
      </c>
      <c r="K16" s="8" t="n">
        <f aca="false">INDEX(Mapping!$C$2:$C$99,MATCH(K$1&amp;"|"&amp;Customers!K16,Mapping!$D$2:$D$99,0))</f>
        <v>3</v>
      </c>
      <c r="L16" s="8" t="n">
        <f aca="false">INDEX(Mapping!$C$2:$C$99,MATCH(L$1&amp;"|"&amp;Customers!L16,Mapping!$D$2:$D$99,0))</f>
        <v>2</v>
      </c>
      <c r="M16" s="8" t="n">
        <f aca="false">INDEX(Mapping!$C$2:$C$99,MATCH(M$1&amp;"|"&amp;Customers!M16,Mapping!$D$2:$D$99,0))</f>
        <v>2</v>
      </c>
      <c r="N16" s="8" t="n">
        <f aca="false">INDEX(Mapping!$C$2:$C$99,MATCH(N$1&amp;"|"&amp;Customers!N16,Mapping!$D$2:$D$99,0))</f>
        <v>1</v>
      </c>
      <c r="O16" s="8" t="n">
        <f aca="false">INDEX(Mapping!$C$2:$C$99,MATCH(O$1&amp;"|"&amp;Customers!O16,Mapping!$D$2:$D$99,0))</f>
        <v>4</v>
      </c>
      <c r="P16" s="8" t="n">
        <f aca="false">INDEX(Mapping!$C$2:$C$99,MATCH(P$1&amp;"|"&amp;Customers!P16,Mapping!$D$2:$D$99,0))</f>
        <v>2</v>
      </c>
      <c r="Q16" s="8" t="n">
        <f aca="false">INDEX(Mapping!$C$2:$C$99,MATCH(Q$1&amp;"|"&amp;Customers!Q16,Mapping!$D$2:$D$99,0))</f>
        <v>2</v>
      </c>
      <c r="R16" s="8" t="n">
        <f aca="false">INDEX(Mapping!$C$2:$C$99,MATCH(R$1&amp;"|"&amp;Customers!R16,Mapping!$D$2:$D$99,0))</f>
        <v>2</v>
      </c>
      <c r="S16" s="8" t="n">
        <f aca="false">INDEX(Mapping!$C$2:$C$99,MATCH(S$1&amp;"|"&amp;Customers!S16,Mapping!$D$2:$D$99,0))</f>
        <v>2</v>
      </c>
      <c r="T16" s="8" t="n">
        <f aca="false">INDEX(Mapping!$C$2:$C$99,MATCH(T$1&amp;"|"&amp;Customers!T16,Mapping!$D$2:$D$99,0))</f>
        <v>1</v>
      </c>
      <c r="U16" s="8" t="n">
        <f aca="false">INDEX(Mapping!$C$2:$C$99,MATCH(U$1&amp;"|"&amp;Customers!U16,Mapping!$D$2:$D$99,0))</f>
        <v>1</v>
      </c>
      <c r="V16" s="8" t="n">
        <f aca="false">INDEX(Mapping!$C$2:$C$99,MATCH(V$1&amp;"|"&amp;Customers!V16,Mapping!$D$2:$D$99,0))</f>
        <v>3</v>
      </c>
      <c r="W16" s="17" t="n">
        <f aca="false">SUMPRODUCT($C16:$V16,Weights!$C$27:$V$27)</f>
        <v>1.9325</v>
      </c>
      <c r="X16" s="18" t="n">
        <f aca="false">ROUND($W16,2)</f>
        <v>1.93</v>
      </c>
      <c r="Y16" s="8" t="str">
        <f aca="false">IF($X16&lt;=2,"Low",IF($X16&lt;=3.49,"Medium","High"))</f>
        <v>Low</v>
      </c>
      <c r="Z16" s="8" t="str">
        <f aca="false">IF(OR($F16&gt;=3,$E16=5,$D16=5,$C16=5,$G16=5,$H16=5,$I16=5,$J16=5,Customers!$W16="Yes"),"Yes","No")</f>
        <v>No</v>
      </c>
      <c r="AA16" s="15" t="str">
        <f aca="false">IF($Z16="Yes","High",$Y16)</f>
        <v>Low</v>
      </c>
      <c r="AB16" s="18" t="n">
        <f aca="false">SUMPRODUCT($C16:$G16,Weights!$C$28:$G$28)</f>
        <v>1.3</v>
      </c>
      <c r="AC16" s="18" t="n">
        <f aca="false">SUMPRODUCT($H16:$J16,Weights!$H$28:$J$28)</f>
        <v>2.2</v>
      </c>
      <c r="AD16" s="18" t="n">
        <f aca="false">SUMPRODUCT($K16:$N16,Weights!$K$28:$N$28)</f>
        <v>2.2</v>
      </c>
      <c r="AE16" s="18" t="n">
        <f aca="false">SUMPRODUCT($O16:$Q16,Weights!$O$28:$Q$28)</f>
        <v>2.9</v>
      </c>
      <c r="AF16" s="18" t="n">
        <f aca="false">SUMPRODUCT($R16:$V16,Weights!$R$28:$V$28)</f>
        <v>1.75</v>
      </c>
      <c r="AH16" s="18" t="n">
        <f aca="false">SUMPRODUCT($AB16:$AF16,Validation!$D$7:$H$7)</f>
        <v>2.02285714285715</v>
      </c>
      <c r="AI16" s="18" t="n">
        <f aca="false">SUMPRODUCT($AB16:$AF16,Validation!$D$8:$H$8)</f>
        <v>1.84214285714285</v>
      </c>
      <c r="AJ16" s="18" t="n">
        <f aca="false">SUMPRODUCT($AB16:$AF16,Validation!$D$9:$H$9)</f>
        <v>1.8968333333331</v>
      </c>
      <c r="AK16" s="18" t="n">
        <f aca="false">SUMPRODUCT($AB16:$AF16,Validation!$D$10:$H$10)</f>
        <v>1.9681666666669</v>
      </c>
      <c r="AL16" s="18" t="n">
        <f aca="false">SUMPRODUCT($AB16:$AF16,Validation!$D$11:$H$11)</f>
        <v>1.8990625</v>
      </c>
      <c r="AM16" s="18" t="n">
        <f aca="false">SUMPRODUCT($AB16:$AF16,Validation!$D$12:$H$12)</f>
        <v>1.9659375</v>
      </c>
      <c r="AN16" s="18" t="n">
        <f aca="false">SUMPRODUCT($AB16:$AF16,Validation!$D$13:$H$13)</f>
        <v>1.82500000000015</v>
      </c>
      <c r="AO16" s="18" t="n">
        <f aca="false">SUMPRODUCT($AB16:$AF16,Validation!$D$14:$H$14)</f>
        <v>2.03999999999985</v>
      </c>
      <c r="AP16" s="18" t="n">
        <f aca="false">SUMPRODUCT($AB16:$AF16,Validation!$D$15:$H$15)</f>
        <v>1.9539705882351</v>
      </c>
      <c r="AQ16" s="18" t="n">
        <f aca="false">SUMPRODUCT($AB16:$AF16,Validation!$D$16:$H$16)</f>
        <v>1.9110294117649</v>
      </c>
      <c r="AR16" s="8" t="n">
        <f aca="false">COUNTIF($C16:$V16,"&gt;=4")</f>
        <v>2</v>
      </c>
      <c r="AS16" s="8" t="str">
        <f aca="false">IF($X16&lt;=1.6,"Low",IF($X16&lt;=2.2,"Medium","High"))</f>
        <v>Medium</v>
      </c>
      <c r="AT16" s="8" t="str">
        <f aca="false">IF($AR16=0,"Low",IF($AR16&lt;3,"Medium","High"))</f>
        <v>Medium</v>
      </c>
      <c r="AU16" s="8" t="str">
        <f aca="false">IF(OR($AS16="High",$AT16="High"),"High",IF(OR($AS16="Medium",$AT16="Medium"),"Medium","Low"))</f>
        <v>Medium</v>
      </c>
      <c r="AV16" s="15" t="str">
        <f aca="false">IF($Z16="Yes","High",$AU16)</f>
        <v>Medium</v>
      </c>
    </row>
    <row r="17" customFormat="false" ht="15" hidden="false" customHeight="false" outlineLevel="0" collapsed="false">
      <c r="A17" s="7" t="str">
        <f aca="false">Customers!$A17</f>
        <v>NG-10395</v>
      </c>
      <c r="B17" s="7" t="str">
        <f aca="false">Customers!$B17</f>
        <v>Limited company</v>
      </c>
      <c r="C17" s="8" t="n">
        <f aca="false">INDEX(Mapping!$C$2:$C$99,MATCH(C$1&amp;"|"&amp;Customers!C17,Mapping!$D$2:$D$99,0))</f>
        <v>3</v>
      </c>
      <c r="D17" s="8" t="n">
        <f aca="false">INDEX(Mapping!$C$2:$C$99,MATCH(D$1&amp;"|"&amp;Customers!D17,Mapping!$D$2:$D$99,0))</f>
        <v>2</v>
      </c>
      <c r="E17" s="8" t="n">
        <f aca="false">INDEX(Mapping!$C$2:$C$99,MATCH(E$1&amp;"|"&amp;Customers!E17,Mapping!$D$2:$D$99,0))</f>
        <v>2</v>
      </c>
      <c r="F17" s="8" t="n">
        <f aca="false">INDEX(Mapping!$C$2:$C$99,MATCH(F$1&amp;"|"&amp;Customers!F17,Mapping!$D$2:$D$99,0))</f>
        <v>1</v>
      </c>
      <c r="G17" s="8" t="n">
        <f aca="false">INDEX(Mapping!$C$2:$C$99,MATCH(G$1&amp;"|"&amp;Customers!G17,Mapping!$D$2:$D$99,0))</f>
        <v>1</v>
      </c>
      <c r="H17" s="8" t="n">
        <f aca="false">INDEX(Mapping!$C$2:$C$99,MATCH(H$1&amp;"|"&amp;Customers!H17,Mapping!$D$2:$D$99,0))</f>
        <v>1</v>
      </c>
      <c r="I17" s="8" t="n">
        <f aca="false">INDEX(Mapping!$C$2:$C$99,MATCH(I$1&amp;"|"&amp;Customers!I17,Mapping!$D$2:$D$99,0))</f>
        <v>1</v>
      </c>
      <c r="J17" s="8" t="n">
        <f aca="false">INDEX(Mapping!$C$2:$C$99,MATCH(J$1&amp;"|"&amp;Customers!J17,Mapping!$D$2:$D$99,0))</f>
        <v>1</v>
      </c>
      <c r="K17" s="8" t="n">
        <f aca="false">INDEX(Mapping!$C$2:$C$99,MATCH(K$1&amp;"|"&amp;Customers!K17,Mapping!$D$2:$D$99,0))</f>
        <v>5</v>
      </c>
      <c r="L17" s="8" t="n">
        <f aca="false">INDEX(Mapping!$C$2:$C$99,MATCH(L$1&amp;"|"&amp;Customers!L17,Mapping!$D$2:$D$99,0))</f>
        <v>4</v>
      </c>
      <c r="M17" s="8" t="n">
        <f aca="false">INDEX(Mapping!$C$2:$C$99,MATCH(M$1&amp;"|"&amp;Customers!M17,Mapping!$D$2:$D$99,0))</f>
        <v>2</v>
      </c>
      <c r="N17" s="8" t="n">
        <f aca="false">INDEX(Mapping!$C$2:$C$99,MATCH(N$1&amp;"|"&amp;Customers!N17,Mapping!$D$2:$D$99,0))</f>
        <v>3</v>
      </c>
      <c r="O17" s="8" t="n">
        <f aca="false">INDEX(Mapping!$C$2:$C$99,MATCH(O$1&amp;"|"&amp;Customers!O17,Mapping!$D$2:$D$99,0))</f>
        <v>1</v>
      </c>
      <c r="P17" s="8" t="n">
        <f aca="false">INDEX(Mapping!$C$2:$C$99,MATCH(P$1&amp;"|"&amp;Customers!P17,Mapping!$D$2:$D$99,0))</f>
        <v>3</v>
      </c>
      <c r="Q17" s="8" t="n">
        <f aca="false">INDEX(Mapping!$C$2:$C$99,MATCH(Q$1&amp;"|"&amp;Customers!Q17,Mapping!$D$2:$D$99,0))</f>
        <v>1</v>
      </c>
      <c r="R17" s="8" t="n">
        <f aca="false">INDEX(Mapping!$C$2:$C$99,MATCH(R$1&amp;"|"&amp;Customers!R17,Mapping!$D$2:$D$99,0))</f>
        <v>4</v>
      </c>
      <c r="S17" s="8" t="n">
        <f aca="false">INDEX(Mapping!$C$2:$C$99,MATCH(S$1&amp;"|"&amp;Customers!S17,Mapping!$D$2:$D$99,0))</f>
        <v>2</v>
      </c>
      <c r="T17" s="8" t="n">
        <f aca="false">INDEX(Mapping!$C$2:$C$99,MATCH(T$1&amp;"|"&amp;Customers!T17,Mapping!$D$2:$D$99,0))</f>
        <v>3</v>
      </c>
      <c r="U17" s="8" t="n">
        <f aca="false">INDEX(Mapping!$C$2:$C$99,MATCH(U$1&amp;"|"&amp;Customers!U17,Mapping!$D$2:$D$99,0))</f>
        <v>3</v>
      </c>
      <c r="V17" s="8" t="n">
        <f aca="false">INDEX(Mapping!$C$2:$C$99,MATCH(V$1&amp;"|"&amp;Customers!V17,Mapping!$D$2:$D$99,0))</f>
        <v>1</v>
      </c>
      <c r="W17" s="17" t="n">
        <f aca="false">SUMPRODUCT($C17:$V17,Weights!$C$27:$V$27)</f>
        <v>2.1275</v>
      </c>
      <c r="X17" s="18" t="n">
        <f aca="false">ROUND($W17,2)</f>
        <v>2.13</v>
      </c>
      <c r="Y17" s="8" t="str">
        <f aca="false">IF($X17&lt;=2,"Low",IF($X17&lt;=3.49,"Medium","High"))</f>
        <v>Medium</v>
      </c>
      <c r="Z17" s="8" t="str">
        <f aca="false">IF(OR($F17&gt;=3,$E17=5,$D17=5,$C17=5,$G17=5,$H17=5,$I17=5,$J17=5,Customers!$W17="Yes"),"Yes","No")</f>
        <v>No</v>
      </c>
      <c r="AA17" s="15" t="str">
        <f aca="false">IF($Z17="Yes","High",$Y17)</f>
        <v>Medium</v>
      </c>
      <c r="AB17" s="18" t="n">
        <f aca="false">SUMPRODUCT($C17:$G17,Weights!$C$28:$G$28)</f>
        <v>1.85</v>
      </c>
      <c r="AC17" s="18" t="n">
        <f aca="false">SUMPRODUCT($H17:$J17,Weights!$H$28:$J$28)</f>
        <v>1</v>
      </c>
      <c r="AD17" s="18" t="n">
        <f aca="false">SUMPRODUCT($K17:$N17,Weights!$K$28:$N$28)</f>
        <v>3.7</v>
      </c>
      <c r="AE17" s="18" t="n">
        <f aca="false">SUMPRODUCT($O17:$Q17,Weights!$O$28:$Q$28)</f>
        <v>1.7</v>
      </c>
      <c r="AF17" s="18" t="n">
        <f aca="false">SUMPRODUCT($R17:$V17,Weights!$R$28:$V$28)</f>
        <v>2.75</v>
      </c>
      <c r="AH17" s="18" t="n">
        <f aca="false">SUMPRODUCT($AB17:$AF17,Validation!$D$7:$H$7)</f>
        <v>2.16714285714265</v>
      </c>
      <c r="AI17" s="18" t="n">
        <f aca="false">SUMPRODUCT($AB17:$AF17,Validation!$D$8:$H$8)</f>
        <v>2.08785714285735</v>
      </c>
      <c r="AJ17" s="18" t="n">
        <f aca="false">SUMPRODUCT($AB17:$AF17,Validation!$D$9:$H$9)</f>
        <v>2.277833333334</v>
      </c>
      <c r="AK17" s="18" t="n">
        <f aca="false">SUMPRODUCT($AB17:$AF17,Validation!$D$10:$H$10)</f>
        <v>1.977166666666</v>
      </c>
      <c r="AL17" s="18" t="n">
        <f aca="false">SUMPRODUCT($AB17:$AF17,Validation!$D$11:$H$11)</f>
        <v>1.9309375</v>
      </c>
      <c r="AM17" s="18" t="n">
        <f aca="false">SUMPRODUCT($AB17:$AF17,Validation!$D$12:$H$12)</f>
        <v>2.3240625</v>
      </c>
      <c r="AN17" s="18" t="n">
        <f aca="false">SUMPRODUCT($AB17:$AF17,Validation!$D$13:$H$13)</f>
        <v>2.1749999999997</v>
      </c>
      <c r="AO17" s="18" t="n">
        <f aca="false">SUMPRODUCT($AB17:$AF17,Validation!$D$14:$H$14)</f>
        <v>2.0800000000003</v>
      </c>
      <c r="AP17" s="18" t="n">
        <f aca="false">SUMPRODUCT($AB17:$AF17,Validation!$D$15:$H$15)</f>
        <v>2.05426470588285</v>
      </c>
      <c r="AQ17" s="18" t="n">
        <f aca="false">SUMPRODUCT($AB17:$AF17,Validation!$D$16:$H$16)</f>
        <v>2.20073529411715</v>
      </c>
      <c r="AR17" s="8" t="n">
        <f aca="false">COUNTIF($C17:$V17,"&gt;=4")</f>
        <v>3</v>
      </c>
      <c r="AS17" s="8" t="str">
        <f aca="false">IF($X17&lt;=1.6,"Low",IF($X17&lt;=2.2,"Medium","High"))</f>
        <v>Medium</v>
      </c>
      <c r="AT17" s="8" t="str">
        <f aca="false">IF($AR17=0,"Low",IF($AR17&lt;3,"Medium","High"))</f>
        <v>High</v>
      </c>
      <c r="AU17" s="8" t="str">
        <f aca="false">IF(OR($AS17="High",$AT17="High"),"High",IF(OR($AS17="Medium",$AT17="Medium"),"Medium","Low"))</f>
        <v>High</v>
      </c>
      <c r="AV17" s="15" t="str">
        <f aca="false">IF($Z17="Yes","High",$AU17)</f>
        <v>High</v>
      </c>
    </row>
    <row r="18" customFormat="false" ht="15" hidden="false" customHeight="false" outlineLevel="0" collapsed="false">
      <c r="A18" s="7" t="str">
        <f aca="false">Customers!$A18</f>
        <v>NG-10270</v>
      </c>
      <c r="B18" s="7" t="str">
        <f aca="false">Customers!$B18</f>
        <v>Personal</v>
      </c>
      <c r="C18" s="8" t="n">
        <f aca="false">INDEX(Mapping!$C$2:$C$99,MATCH(C$1&amp;"|"&amp;Customers!C18,Mapping!$D$2:$D$99,0))</f>
        <v>2</v>
      </c>
      <c r="D18" s="8" t="n">
        <f aca="false">INDEX(Mapping!$C$2:$C$99,MATCH(D$1&amp;"|"&amp;Customers!D18,Mapping!$D$2:$D$99,0))</f>
        <v>1</v>
      </c>
      <c r="E18" s="8" t="n">
        <f aca="false">INDEX(Mapping!$C$2:$C$99,MATCH(E$1&amp;"|"&amp;Customers!E18,Mapping!$D$2:$D$99,0))</f>
        <v>2</v>
      </c>
      <c r="F18" s="8" t="n">
        <f aca="false">INDEX(Mapping!$C$2:$C$99,MATCH(F$1&amp;"|"&amp;Customers!F18,Mapping!$D$2:$D$99,0))</f>
        <v>1</v>
      </c>
      <c r="G18" s="8" t="n">
        <f aca="false">INDEX(Mapping!$C$2:$C$99,MATCH(G$1&amp;"|"&amp;Customers!G18,Mapping!$D$2:$D$99,0))</f>
        <v>2</v>
      </c>
      <c r="H18" s="8" t="n">
        <f aca="false">INDEX(Mapping!$C$2:$C$99,MATCH(H$1&amp;"|"&amp;Customers!H18,Mapping!$D$2:$D$99,0))</f>
        <v>1</v>
      </c>
      <c r="I18" s="8" t="n">
        <f aca="false">INDEX(Mapping!$C$2:$C$99,MATCH(I$1&amp;"|"&amp;Customers!I18,Mapping!$D$2:$D$99,0))</f>
        <v>1</v>
      </c>
      <c r="J18" s="8" t="n">
        <f aca="false">INDEX(Mapping!$C$2:$C$99,MATCH(J$1&amp;"|"&amp;Customers!J18,Mapping!$D$2:$D$99,0))</f>
        <v>1</v>
      </c>
      <c r="K18" s="8" t="n">
        <f aca="false">INDEX(Mapping!$C$2:$C$99,MATCH(K$1&amp;"|"&amp;Customers!K18,Mapping!$D$2:$D$99,0))</f>
        <v>2</v>
      </c>
      <c r="L18" s="8" t="n">
        <f aca="false">INDEX(Mapping!$C$2:$C$99,MATCH(L$1&amp;"|"&amp;Customers!L18,Mapping!$D$2:$D$99,0))</f>
        <v>3</v>
      </c>
      <c r="M18" s="8" t="n">
        <f aca="false">INDEX(Mapping!$C$2:$C$99,MATCH(M$1&amp;"|"&amp;Customers!M18,Mapping!$D$2:$D$99,0))</f>
        <v>1</v>
      </c>
      <c r="N18" s="8" t="n">
        <f aca="false">INDEX(Mapping!$C$2:$C$99,MATCH(N$1&amp;"|"&amp;Customers!N18,Mapping!$D$2:$D$99,0))</f>
        <v>1</v>
      </c>
      <c r="O18" s="8" t="n">
        <f aca="false">INDEX(Mapping!$C$2:$C$99,MATCH(O$1&amp;"|"&amp;Customers!O18,Mapping!$D$2:$D$99,0))</f>
        <v>3</v>
      </c>
      <c r="P18" s="8" t="n">
        <f aca="false">INDEX(Mapping!$C$2:$C$99,MATCH(P$1&amp;"|"&amp;Customers!P18,Mapping!$D$2:$D$99,0))</f>
        <v>3</v>
      </c>
      <c r="Q18" s="8" t="n">
        <f aca="false">INDEX(Mapping!$C$2:$C$99,MATCH(Q$1&amp;"|"&amp;Customers!Q18,Mapping!$D$2:$D$99,0))</f>
        <v>1</v>
      </c>
      <c r="R18" s="8" t="n">
        <f aca="false">INDEX(Mapping!$C$2:$C$99,MATCH(R$1&amp;"|"&amp;Customers!R18,Mapping!$D$2:$D$99,0))</f>
        <v>2</v>
      </c>
      <c r="S18" s="8" t="n">
        <f aca="false">INDEX(Mapping!$C$2:$C$99,MATCH(S$1&amp;"|"&amp;Customers!S18,Mapping!$D$2:$D$99,0))</f>
        <v>2</v>
      </c>
      <c r="T18" s="8" t="n">
        <f aca="false">INDEX(Mapping!$C$2:$C$99,MATCH(T$1&amp;"|"&amp;Customers!T18,Mapping!$D$2:$D$99,0))</f>
        <v>4</v>
      </c>
      <c r="U18" s="8" t="n">
        <f aca="false">INDEX(Mapping!$C$2:$C$99,MATCH(U$1&amp;"|"&amp;Customers!U18,Mapping!$D$2:$D$99,0))</f>
        <v>1</v>
      </c>
      <c r="V18" s="8" t="n">
        <f aca="false">INDEX(Mapping!$C$2:$C$99,MATCH(V$1&amp;"|"&amp;Customers!V18,Mapping!$D$2:$D$99,0))</f>
        <v>1</v>
      </c>
      <c r="W18" s="17" t="n">
        <f aca="false">SUMPRODUCT($C18:$V18,Weights!$C$27:$V$27)</f>
        <v>1.6825</v>
      </c>
      <c r="X18" s="18" t="n">
        <f aca="false">ROUND($W18,2)</f>
        <v>1.68</v>
      </c>
      <c r="Y18" s="8" t="str">
        <f aca="false">IF($X18&lt;=2,"Low",IF($X18&lt;=3.49,"Medium","High"))</f>
        <v>Low</v>
      </c>
      <c r="Z18" s="8" t="str">
        <f aca="false">IF(OR($F18&gt;=3,$E18=5,$D18=5,$C18=5,$G18=5,$H18=5,$I18=5,$J18=5,Customers!$W18="Yes"),"Yes","No")</f>
        <v>No</v>
      </c>
      <c r="AA18" s="15" t="str">
        <f aca="false">IF($Z18="Yes","High",$Y18)</f>
        <v>Low</v>
      </c>
      <c r="AB18" s="18" t="n">
        <f aca="false">SUMPRODUCT($C18:$G18,Weights!$C$28:$G$28)</f>
        <v>1.6</v>
      </c>
      <c r="AC18" s="18" t="n">
        <f aca="false">SUMPRODUCT($H18:$J18,Weights!$H$28:$J$28)</f>
        <v>1</v>
      </c>
      <c r="AD18" s="18" t="n">
        <f aca="false">SUMPRODUCT($K18:$N18,Weights!$K$28:$N$28)</f>
        <v>1.85</v>
      </c>
      <c r="AE18" s="18" t="n">
        <f aca="false">SUMPRODUCT($O18:$Q18,Weights!$O$28:$Q$28)</f>
        <v>2.6</v>
      </c>
      <c r="AF18" s="18" t="n">
        <f aca="false">SUMPRODUCT($R18:$V18,Weights!$R$28:$V$28)</f>
        <v>2.15</v>
      </c>
      <c r="AH18" s="18" t="n">
        <f aca="false">SUMPRODUCT($AB18:$AF18,Validation!$D$7:$H$7)</f>
        <v>1.6942857142863</v>
      </c>
      <c r="AI18" s="18" t="n">
        <f aca="false">SUMPRODUCT($AB18:$AF18,Validation!$D$8:$H$8)</f>
        <v>1.6707142857137</v>
      </c>
      <c r="AJ18" s="18" t="n">
        <f aca="false">SUMPRODUCT($AB18:$AF18,Validation!$D$9:$H$9)</f>
        <v>1.77349999999975</v>
      </c>
      <c r="AK18" s="18" t="n">
        <f aca="false">SUMPRODUCT($AB18:$AF18,Validation!$D$10:$H$10)</f>
        <v>1.59150000000025</v>
      </c>
      <c r="AL18" s="18" t="n">
        <f aca="false">SUMPRODUCT($AB18:$AF18,Validation!$D$11:$H$11)</f>
        <v>1.6615625</v>
      </c>
      <c r="AM18" s="18" t="n">
        <f aca="false">SUMPRODUCT($AB18:$AF18,Validation!$D$12:$H$12)</f>
        <v>1.7034375</v>
      </c>
      <c r="AN18" s="18" t="n">
        <f aca="false">SUMPRODUCT($AB18:$AF18,Validation!$D$13:$H$13)</f>
        <v>1.58055555555555</v>
      </c>
      <c r="AO18" s="18" t="n">
        <f aca="false">SUMPRODUCT($AB18:$AF18,Validation!$D$14:$H$14)</f>
        <v>1.78444444444445</v>
      </c>
      <c r="AP18" s="18" t="n">
        <f aca="false">SUMPRODUCT($AB18:$AF18,Validation!$D$15:$H$15)</f>
        <v>1.62749999999965</v>
      </c>
      <c r="AQ18" s="18" t="n">
        <f aca="false">SUMPRODUCT($AB18:$AF18,Validation!$D$16:$H$16)</f>
        <v>1.73750000000035</v>
      </c>
      <c r="AR18" s="8" t="n">
        <f aca="false">COUNTIF($C18:$V18,"&gt;=4")</f>
        <v>1</v>
      </c>
      <c r="AS18" s="8" t="str">
        <f aca="false">IF($X18&lt;=1.6,"Low",IF($X18&lt;=2.2,"Medium","High"))</f>
        <v>Medium</v>
      </c>
      <c r="AT18" s="8" t="str">
        <f aca="false">IF($AR18=0,"Low",IF($AR18&lt;3,"Medium","High"))</f>
        <v>Medium</v>
      </c>
      <c r="AU18" s="8" t="str">
        <f aca="false">IF(OR($AS18="High",$AT18="High"),"High",IF(OR($AS18="Medium",$AT18="Medium"),"Medium","Low"))</f>
        <v>Medium</v>
      </c>
      <c r="AV18" s="15" t="str">
        <f aca="false">IF($Z18="Yes","High",$AU18)</f>
        <v>Medium</v>
      </c>
    </row>
    <row r="19" customFormat="false" ht="15" hidden="false" customHeight="false" outlineLevel="0" collapsed="false">
      <c r="A19" s="7" t="str">
        <f aca="false">Customers!$A19</f>
        <v>NG-10189</v>
      </c>
      <c r="B19" s="7" t="str">
        <f aca="false">Customers!$B19</f>
        <v>Personal</v>
      </c>
      <c r="C19" s="8" t="n">
        <f aca="false">INDEX(Mapping!$C$2:$C$99,MATCH(C$1&amp;"|"&amp;Customers!C19,Mapping!$D$2:$D$99,0))</f>
        <v>1</v>
      </c>
      <c r="D19" s="8" t="n">
        <f aca="false">INDEX(Mapping!$C$2:$C$99,MATCH(D$1&amp;"|"&amp;Customers!D19,Mapping!$D$2:$D$99,0))</f>
        <v>1</v>
      </c>
      <c r="E19" s="8" t="n">
        <f aca="false">INDEX(Mapping!$C$2:$C$99,MATCH(E$1&amp;"|"&amp;Customers!E19,Mapping!$D$2:$D$99,0))</f>
        <v>5</v>
      </c>
      <c r="F19" s="8" t="n">
        <f aca="false">INDEX(Mapping!$C$2:$C$99,MATCH(F$1&amp;"|"&amp;Customers!F19,Mapping!$D$2:$D$99,0))</f>
        <v>4</v>
      </c>
      <c r="G19" s="8" t="n">
        <f aca="false">INDEX(Mapping!$C$2:$C$99,MATCH(G$1&amp;"|"&amp;Customers!G19,Mapping!$D$2:$D$99,0))</f>
        <v>1</v>
      </c>
      <c r="H19" s="8" t="n">
        <f aca="false">INDEX(Mapping!$C$2:$C$99,MATCH(H$1&amp;"|"&amp;Customers!H19,Mapping!$D$2:$D$99,0))</f>
        <v>1</v>
      </c>
      <c r="I19" s="8" t="n">
        <f aca="false">INDEX(Mapping!$C$2:$C$99,MATCH(I$1&amp;"|"&amp;Customers!I19,Mapping!$D$2:$D$99,0))</f>
        <v>1</v>
      </c>
      <c r="J19" s="8" t="n">
        <f aca="false">INDEX(Mapping!$C$2:$C$99,MATCH(J$1&amp;"|"&amp;Customers!J19,Mapping!$D$2:$D$99,0))</f>
        <v>1</v>
      </c>
      <c r="K19" s="8" t="n">
        <f aca="false">INDEX(Mapping!$C$2:$C$99,MATCH(K$1&amp;"|"&amp;Customers!K19,Mapping!$D$2:$D$99,0))</f>
        <v>2</v>
      </c>
      <c r="L19" s="8" t="n">
        <f aca="false">INDEX(Mapping!$C$2:$C$99,MATCH(L$1&amp;"|"&amp;Customers!L19,Mapping!$D$2:$D$99,0))</f>
        <v>3</v>
      </c>
      <c r="M19" s="8" t="n">
        <f aca="false">INDEX(Mapping!$C$2:$C$99,MATCH(M$1&amp;"|"&amp;Customers!M19,Mapping!$D$2:$D$99,0))</f>
        <v>2</v>
      </c>
      <c r="N19" s="8" t="n">
        <f aca="false">INDEX(Mapping!$C$2:$C$99,MATCH(N$1&amp;"|"&amp;Customers!N19,Mapping!$D$2:$D$99,0))</f>
        <v>1</v>
      </c>
      <c r="O19" s="8" t="n">
        <f aca="false">INDEX(Mapping!$C$2:$C$99,MATCH(O$1&amp;"|"&amp;Customers!O19,Mapping!$D$2:$D$99,0))</f>
        <v>3</v>
      </c>
      <c r="P19" s="8" t="n">
        <f aca="false">INDEX(Mapping!$C$2:$C$99,MATCH(P$1&amp;"|"&amp;Customers!P19,Mapping!$D$2:$D$99,0))</f>
        <v>3</v>
      </c>
      <c r="Q19" s="8" t="n">
        <f aca="false">INDEX(Mapping!$C$2:$C$99,MATCH(Q$1&amp;"|"&amp;Customers!Q19,Mapping!$D$2:$D$99,0))</f>
        <v>1</v>
      </c>
      <c r="R19" s="8" t="n">
        <f aca="false">INDEX(Mapping!$C$2:$C$99,MATCH(R$1&amp;"|"&amp;Customers!R19,Mapping!$D$2:$D$99,0))</f>
        <v>1</v>
      </c>
      <c r="S19" s="8" t="n">
        <f aca="false">INDEX(Mapping!$C$2:$C$99,MATCH(S$1&amp;"|"&amp;Customers!S19,Mapping!$D$2:$D$99,0))</f>
        <v>1</v>
      </c>
      <c r="T19" s="8" t="n">
        <f aca="false">INDEX(Mapping!$C$2:$C$99,MATCH(T$1&amp;"|"&amp;Customers!T19,Mapping!$D$2:$D$99,0))</f>
        <v>1</v>
      </c>
      <c r="U19" s="8" t="n">
        <f aca="false">INDEX(Mapping!$C$2:$C$99,MATCH(U$1&amp;"|"&amp;Customers!U19,Mapping!$D$2:$D$99,0))</f>
        <v>1</v>
      </c>
      <c r="V19" s="8" t="n">
        <f aca="false">INDEX(Mapping!$C$2:$C$99,MATCH(V$1&amp;"|"&amp;Customers!V19,Mapping!$D$2:$D$99,0))</f>
        <v>1</v>
      </c>
      <c r="W19" s="17" t="n">
        <f aca="false">SUMPRODUCT($C19:$V19,Weights!$C$27:$V$27)</f>
        <v>1.86</v>
      </c>
      <c r="X19" s="18" t="n">
        <f aca="false">ROUND($W19,2)</f>
        <v>1.86</v>
      </c>
      <c r="Y19" s="8" t="str">
        <f aca="false">IF($X19&lt;=2,"Low",IF($X19&lt;=3.49,"Medium","High"))</f>
        <v>Low</v>
      </c>
      <c r="Z19" s="8" t="str">
        <f aca="false">IF(OR($F19&gt;=3,$E19=5,$D19=5,$C19=5,$G19=5,$H19=5,$I19=5,$J19=5,Customers!$W19="Yes"),"Yes","No")</f>
        <v>Yes</v>
      </c>
      <c r="AA19" s="15" t="str">
        <f aca="false">IF($Z19="Yes","High",$Y19)</f>
        <v>High</v>
      </c>
      <c r="AB19" s="18" t="n">
        <f aca="false">SUMPRODUCT($C19:$G19,Weights!$C$28:$G$28)</f>
        <v>2.6</v>
      </c>
      <c r="AC19" s="18" t="n">
        <f aca="false">SUMPRODUCT($H19:$J19,Weights!$H$28:$J$28)</f>
        <v>1</v>
      </c>
      <c r="AD19" s="18" t="n">
        <f aca="false">SUMPRODUCT($K19:$N19,Weights!$K$28:$N$28)</f>
        <v>2.1</v>
      </c>
      <c r="AE19" s="18" t="n">
        <f aca="false">SUMPRODUCT($O19:$Q19,Weights!$O$28:$Q$28)</f>
        <v>2.6</v>
      </c>
      <c r="AF19" s="18" t="n">
        <f aca="false">SUMPRODUCT($R19:$V19,Weights!$R$28:$V$28)</f>
        <v>1</v>
      </c>
      <c r="AH19" s="18" t="n">
        <f aca="false">SUMPRODUCT($AB19:$AF19,Validation!$D$7:$H$7)</f>
        <v>1.7542857142857</v>
      </c>
      <c r="AI19" s="18" t="n">
        <f aca="false">SUMPRODUCT($AB19:$AF19,Validation!$D$8:$H$8)</f>
        <v>1.9657142857143</v>
      </c>
      <c r="AJ19" s="18" t="n">
        <f aca="false">SUMPRODUCT($AB19:$AF19,Validation!$D$9:$H$9)</f>
        <v>1.9746666666665</v>
      </c>
      <c r="AK19" s="18" t="n">
        <f aca="false">SUMPRODUCT($AB19:$AF19,Validation!$D$10:$H$10)</f>
        <v>1.7453333333335</v>
      </c>
      <c r="AL19" s="18" t="n">
        <f aca="false">SUMPRODUCT($AB19:$AF19,Validation!$D$11:$H$11)</f>
        <v>1.83</v>
      </c>
      <c r="AM19" s="18" t="n">
        <f aca="false">SUMPRODUCT($AB19:$AF19,Validation!$D$12:$H$12)</f>
        <v>1.89</v>
      </c>
      <c r="AN19" s="18" t="n">
        <f aca="false">SUMPRODUCT($AB19:$AF19,Validation!$D$13:$H$13)</f>
        <v>1.777777777777</v>
      </c>
      <c r="AO19" s="18" t="n">
        <f aca="false">SUMPRODUCT($AB19:$AF19,Validation!$D$14:$H$14)</f>
        <v>1.942222222223</v>
      </c>
      <c r="AP19" s="18" t="n">
        <f aca="false">SUMPRODUCT($AB19:$AF19,Validation!$D$15:$H$15)</f>
        <v>1.9611764705879</v>
      </c>
      <c r="AQ19" s="18" t="n">
        <f aca="false">SUMPRODUCT($AB19:$AF19,Validation!$D$16:$H$16)</f>
        <v>1.7588235294121</v>
      </c>
      <c r="AR19" s="8" t="n">
        <f aca="false">COUNTIF($C19:$V19,"&gt;=4")</f>
        <v>2</v>
      </c>
      <c r="AS19" s="8" t="str">
        <f aca="false">IF($X19&lt;=1.6,"Low",IF($X19&lt;=2.2,"Medium","High"))</f>
        <v>Medium</v>
      </c>
      <c r="AT19" s="8" t="str">
        <f aca="false">IF($AR19=0,"Low",IF($AR19&lt;3,"Medium","High"))</f>
        <v>Medium</v>
      </c>
      <c r="AU19" s="8" t="str">
        <f aca="false">IF(OR($AS19="High",$AT19="High"),"High",IF(OR($AS19="Medium",$AT19="Medium"),"Medium","Low"))</f>
        <v>Medium</v>
      </c>
      <c r="AV19" s="15" t="str">
        <f aca="false">IF($Z19="Yes","High",$AU19)</f>
        <v>High</v>
      </c>
    </row>
    <row r="20" customFormat="false" ht="15" hidden="false" customHeight="false" outlineLevel="0" collapsed="false">
      <c r="A20" s="7" t="str">
        <f aca="false">Customers!$A20</f>
        <v>NG-10372</v>
      </c>
      <c r="B20" s="7" t="str">
        <f aca="false">Customers!$B20</f>
        <v>Limited company</v>
      </c>
      <c r="C20" s="8" t="n">
        <f aca="false">INDEX(Mapping!$C$2:$C$99,MATCH(C$1&amp;"|"&amp;Customers!C20,Mapping!$D$2:$D$99,0))</f>
        <v>3</v>
      </c>
      <c r="D20" s="8" t="n">
        <f aca="false">INDEX(Mapping!$C$2:$C$99,MATCH(D$1&amp;"|"&amp;Customers!D20,Mapping!$D$2:$D$99,0))</f>
        <v>4</v>
      </c>
      <c r="E20" s="8" t="n">
        <f aca="false">INDEX(Mapping!$C$2:$C$99,MATCH(E$1&amp;"|"&amp;Customers!E20,Mapping!$D$2:$D$99,0))</f>
        <v>2</v>
      </c>
      <c r="F20" s="8" t="n">
        <f aca="false">INDEX(Mapping!$C$2:$C$99,MATCH(F$1&amp;"|"&amp;Customers!F20,Mapping!$D$2:$D$99,0))</f>
        <v>1</v>
      </c>
      <c r="G20" s="8" t="n">
        <f aca="false">INDEX(Mapping!$C$2:$C$99,MATCH(G$1&amp;"|"&amp;Customers!G20,Mapping!$D$2:$D$99,0))</f>
        <v>1</v>
      </c>
      <c r="H20" s="8" t="n">
        <f aca="false">INDEX(Mapping!$C$2:$C$99,MATCH(H$1&amp;"|"&amp;Customers!H20,Mapping!$D$2:$D$99,0))</f>
        <v>1</v>
      </c>
      <c r="I20" s="8" t="n">
        <f aca="false">INDEX(Mapping!$C$2:$C$99,MATCH(I$1&amp;"|"&amp;Customers!I20,Mapping!$D$2:$D$99,0))</f>
        <v>1</v>
      </c>
      <c r="J20" s="8" t="n">
        <f aca="false">INDEX(Mapping!$C$2:$C$99,MATCH(J$1&amp;"|"&amp;Customers!J20,Mapping!$D$2:$D$99,0))</f>
        <v>3</v>
      </c>
      <c r="K20" s="8" t="n">
        <f aca="false">INDEX(Mapping!$C$2:$C$99,MATCH(K$1&amp;"|"&amp;Customers!K20,Mapping!$D$2:$D$99,0))</f>
        <v>5</v>
      </c>
      <c r="L20" s="8" t="n">
        <f aca="false">INDEX(Mapping!$C$2:$C$99,MATCH(L$1&amp;"|"&amp;Customers!L20,Mapping!$D$2:$D$99,0))</f>
        <v>4</v>
      </c>
      <c r="M20" s="8" t="n">
        <f aca="false">INDEX(Mapping!$C$2:$C$99,MATCH(M$1&amp;"|"&amp;Customers!M20,Mapping!$D$2:$D$99,0))</f>
        <v>4</v>
      </c>
      <c r="N20" s="8" t="n">
        <f aca="false">INDEX(Mapping!$C$2:$C$99,MATCH(N$1&amp;"|"&amp;Customers!N20,Mapping!$D$2:$D$99,0))</f>
        <v>3</v>
      </c>
      <c r="O20" s="8" t="n">
        <f aca="false">INDEX(Mapping!$C$2:$C$99,MATCH(O$1&amp;"|"&amp;Customers!O20,Mapping!$D$2:$D$99,0))</f>
        <v>3</v>
      </c>
      <c r="P20" s="8" t="n">
        <f aca="false">INDEX(Mapping!$C$2:$C$99,MATCH(P$1&amp;"|"&amp;Customers!P20,Mapping!$D$2:$D$99,0))</f>
        <v>3</v>
      </c>
      <c r="Q20" s="8" t="n">
        <f aca="false">INDEX(Mapping!$C$2:$C$99,MATCH(Q$1&amp;"|"&amp;Customers!Q20,Mapping!$D$2:$D$99,0))</f>
        <v>2</v>
      </c>
      <c r="R20" s="8" t="n">
        <f aca="false">INDEX(Mapping!$C$2:$C$99,MATCH(R$1&amp;"|"&amp;Customers!R20,Mapping!$D$2:$D$99,0))</f>
        <v>4</v>
      </c>
      <c r="S20" s="8" t="n">
        <f aca="false">INDEX(Mapping!$C$2:$C$99,MATCH(S$1&amp;"|"&amp;Customers!S20,Mapping!$D$2:$D$99,0))</f>
        <v>3</v>
      </c>
      <c r="T20" s="8" t="n">
        <f aca="false">INDEX(Mapping!$C$2:$C$99,MATCH(T$1&amp;"|"&amp;Customers!T20,Mapping!$D$2:$D$99,0))</f>
        <v>5</v>
      </c>
      <c r="U20" s="8" t="n">
        <f aca="false">INDEX(Mapping!$C$2:$C$99,MATCH(U$1&amp;"|"&amp;Customers!U20,Mapping!$D$2:$D$99,0))</f>
        <v>3</v>
      </c>
      <c r="V20" s="8" t="n">
        <f aca="false">INDEX(Mapping!$C$2:$C$99,MATCH(V$1&amp;"|"&amp;Customers!V20,Mapping!$D$2:$D$99,0))</f>
        <v>1</v>
      </c>
      <c r="W20" s="17" t="n">
        <f aca="false">SUMPRODUCT($C20:$V20,Weights!$C$27:$V$27)</f>
        <v>2.7625</v>
      </c>
      <c r="X20" s="18" t="n">
        <f aca="false">ROUND($W20,2)</f>
        <v>2.76</v>
      </c>
      <c r="Y20" s="8" t="str">
        <f aca="false">IF($X20&lt;=2,"Low",IF($X20&lt;=3.49,"Medium","High"))</f>
        <v>Medium</v>
      </c>
      <c r="Z20" s="8" t="str">
        <f aca="false">IF(OR($F20&gt;=3,$E20=5,$D20=5,$C20=5,$G20=5,$H20=5,$I20=5,$J20=5,Customers!$W20="Yes"),"Yes","No")</f>
        <v>No</v>
      </c>
      <c r="AA20" s="15" t="str">
        <f aca="false">IF($Z20="Yes","High",$Y20)</f>
        <v>Medium</v>
      </c>
      <c r="AB20" s="18" t="n">
        <f aca="false">SUMPRODUCT($C20:$G20,Weights!$C$28:$G$28)</f>
        <v>2.25</v>
      </c>
      <c r="AC20" s="18" t="n">
        <f aca="false">SUMPRODUCT($H20:$J20,Weights!$H$28:$J$28)</f>
        <v>1.8</v>
      </c>
      <c r="AD20" s="18" t="n">
        <f aca="false">SUMPRODUCT($K20:$N20,Weights!$K$28:$N$28)</f>
        <v>4.2</v>
      </c>
      <c r="AE20" s="18" t="n">
        <f aca="false">SUMPRODUCT($O20:$Q20,Weights!$O$28:$Q$28)</f>
        <v>2.8</v>
      </c>
      <c r="AF20" s="18" t="n">
        <f aca="false">SUMPRODUCT($R20:$V20,Weights!$R$28:$V$28)</f>
        <v>3.45</v>
      </c>
      <c r="AH20" s="18" t="n">
        <f aca="false">SUMPRODUCT($AB20:$AF20,Validation!$D$7:$H$7)</f>
        <v>2.83571428571425</v>
      </c>
      <c r="AI20" s="18" t="n">
        <f aca="false">SUMPRODUCT($AB20:$AF20,Validation!$D$8:$H$8)</f>
        <v>2.68928571428575</v>
      </c>
      <c r="AJ20" s="18" t="n">
        <f aca="false">SUMPRODUCT($AB20:$AF20,Validation!$D$9:$H$9)</f>
        <v>2.8908333333338</v>
      </c>
      <c r="AK20" s="18" t="n">
        <f aca="false">SUMPRODUCT($AB20:$AF20,Validation!$D$10:$H$10)</f>
        <v>2.6341666666662</v>
      </c>
      <c r="AL20" s="18" t="n">
        <f aca="false">SUMPRODUCT($AB20:$AF20,Validation!$D$11:$H$11)</f>
        <v>2.5828125</v>
      </c>
      <c r="AM20" s="18" t="n">
        <f aca="false">SUMPRODUCT($AB20:$AF20,Validation!$D$12:$H$12)</f>
        <v>2.9421875</v>
      </c>
      <c r="AN20" s="18" t="n">
        <f aca="false">SUMPRODUCT($AB20:$AF20,Validation!$D$13:$H$13)</f>
        <v>2.7583333333332</v>
      </c>
      <c r="AO20" s="18" t="n">
        <f aca="false">SUMPRODUCT($AB20:$AF20,Validation!$D$14:$H$14)</f>
        <v>2.7666666666668</v>
      </c>
      <c r="AP20" s="18" t="n">
        <f aca="false">SUMPRODUCT($AB20:$AF20,Validation!$D$15:$H$15)</f>
        <v>2.68161764705915</v>
      </c>
      <c r="AQ20" s="18" t="n">
        <f aca="false">SUMPRODUCT($AB20:$AF20,Validation!$D$16:$H$16)</f>
        <v>2.84338235294085</v>
      </c>
      <c r="AR20" s="8" t="n">
        <f aca="false">COUNTIF($C20:$V20,"&gt;=4")</f>
        <v>6</v>
      </c>
      <c r="AS20" s="8" t="str">
        <f aca="false">IF($X20&lt;=1.6,"Low",IF($X20&lt;=2.2,"Medium","High"))</f>
        <v>High</v>
      </c>
      <c r="AT20" s="8" t="str">
        <f aca="false">IF($AR20=0,"Low",IF($AR20&lt;3,"Medium","High"))</f>
        <v>High</v>
      </c>
      <c r="AU20" s="8" t="str">
        <f aca="false">IF(OR($AS20="High",$AT20="High"),"High",IF(OR($AS20="Medium",$AT20="Medium"),"Medium","Low"))</f>
        <v>High</v>
      </c>
      <c r="AV20" s="15" t="str">
        <f aca="false">IF($Z20="Yes","High",$AU20)</f>
        <v>High</v>
      </c>
    </row>
    <row r="21" customFormat="false" ht="15" hidden="false" customHeight="false" outlineLevel="0" collapsed="false">
      <c r="A21" s="7" t="str">
        <f aca="false">Customers!$A21</f>
        <v>NG-10317</v>
      </c>
      <c r="B21" s="7" t="str">
        <f aca="false">Customers!$B21</f>
        <v>Sole trader</v>
      </c>
      <c r="C21" s="8" t="n">
        <f aca="false">INDEX(Mapping!$C$2:$C$99,MATCH(C$1&amp;"|"&amp;Customers!C21,Mapping!$D$2:$D$99,0))</f>
        <v>2</v>
      </c>
      <c r="D21" s="8" t="n">
        <f aca="false">INDEX(Mapping!$C$2:$C$99,MATCH(D$1&amp;"|"&amp;Customers!D21,Mapping!$D$2:$D$99,0))</f>
        <v>1</v>
      </c>
      <c r="E21" s="8" t="n">
        <f aca="false">INDEX(Mapping!$C$2:$C$99,MATCH(E$1&amp;"|"&amp;Customers!E21,Mapping!$D$2:$D$99,0))</f>
        <v>1</v>
      </c>
      <c r="F21" s="8" t="n">
        <f aca="false">INDEX(Mapping!$C$2:$C$99,MATCH(F$1&amp;"|"&amp;Customers!F21,Mapping!$D$2:$D$99,0))</f>
        <v>3</v>
      </c>
      <c r="G21" s="8" t="n">
        <f aca="false">INDEX(Mapping!$C$2:$C$99,MATCH(G$1&amp;"|"&amp;Customers!G21,Mapping!$D$2:$D$99,0))</f>
        <v>1</v>
      </c>
      <c r="H21" s="8" t="n">
        <f aca="false">INDEX(Mapping!$C$2:$C$99,MATCH(H$1&amp;"|"&amp;Customers!H21,Mapping!$D$2:$D$99,0))</f>
        <v>1</v>
      </c>
      <c r="I21" s="8" t="n">
        <f aca="false">INDEX(Mapping!$C$2:$C$99,MATCH(I$1&amp;"|"&amp;Customers!I21,Mapping!$D$2:$D$99,0))</f>
        <v>1</v>
      </c>
      <c r="J21" s="8" t="n">
        <f aca="false">INDEX(Mapping!$C$2:$C$99,MATCH(J$1&amp;"|"&amp;Customers!J21,Mapping!$D$2:$D$99,0))</f>
        <v>1</v>
      </c>
      <c r="K21" s="8" t="n">
        <f aca="false">INDEX(Mapping!$C$2:$C$99,MATCH(K$1&amp;"|"&amp;Customers!K21,Mapping!$D$2:$D$99,0))</f>
        <v>4</v>
      </c>
      <c r="L21" s="8" t="n">
        <f aca="false">INDEX(Mapping!$C$2:$C$99,MATCH(L$1&amp;"|"&amp;Customers!L21,Mapping!$D$2:$D$99,0))</f>
        <v>5</v>
      </c>
      <c r="M21" s="8" t="n">
        <f aca="false">INDEX(Mapping!$C$2:$C$99,MATCH(M$1&amp;"|"&amp;Customers!M21,Mapping!$D$2:$D$99,0))</f>
        <v>3</v>
      </c>
      <c r="N21" s="8" t="n">
        <f aca="false">INDEX(Mapping!$C$2:$C$99,MATCH(N$1&amp;"|"&amp;Customers!N21,Mapping!$D$2:$D$99,0))</f>
        <v>1</v>
      </c>
      <c r="O21" s="8" t="n">
        <f aca="false">INDEX(Mapping!$C$2:$C$99,MATCH(O$1&amp;"|"&amp;Customers!O21,Mapping!$D$2:$D$99,0))</f>
        <v>1</v>
      </c>
      <c r="P21" s="8" t="n">
        <f aca="false">INDEX(Mapping!$C$2:$C$99,MATCH(P$1&amp;"|"&amp;Customers!P21,Mapping!$D$2:$D$99,0))</f>
        <v>4</v>
      </c>
      <c r="Q21" s="8" t="n">
        <f aca="false">INDEX(Mapping!$C$2:$C$99,MATCH(Q$1&amp;"|"&amp;Customers!Q21,Mapping!$D$2:$D$99,0))</f>
        <v>3</v>
      </c>
      <c r="R21" s="8" t="n">
        <f aca="false">INDEX(Mapping!$C$2:$C$99,MATCH(R$1&amp;"|"&amp;Customers!R21,Mapping!$D$2:$D$99,0))</f>
        <v>3</v>
      </c>
      <c r="S21" s="8" t="n">
        <f aca="false">INDEX(Mapping!$C$2:$C$99,MATCH(S$1&amp;"|"&amp;Customers!S21,Mapping!$D$2:$D$99,0))</f>
        <v>3</v>
      </c>
      <c r="T21" s="8" t="n">
        <f aca="false">INDEX(Mapping!$C$2:$C$99,MATCH(T$1&amp;"|"&amp;Customers!T21,Mapping!$D$2:$D$99,0))</f>
        <v>1</v>
      </c>
      <c r="U21" s="8" t="n">
        <f aca="false">INDEX(Mapping!$C$2:$C$99,MATCH(U$1&amp;"|"&amp;Customers!U21,Mapping!$D$2:$D$99,0))</f>
        <v>3</v>
      </c>
      <c r="V21" s="8" t="n">
        <f aca="false">INDEX(Mapping!$C$2:$C$99,MATCH(V$1&amp;"|"&amp;Customers!V21,Mapping!$D$2:$D$99,0))</f>
        <v>1</v>
      </c>
      <c r="W21" s="17" t="n">
        <f aca="false">SUMPRODUCT($C21:$V21,Weights!$C$27:$V$27)</f>
        <v>2.045</v>
      </c>
      <c r="X21" s="18" t="n">
        <f aca="false">ROUND($W21,2)</f>
        <v>2.05</v>
      </c>
      <c r="Y21" s="8" t="str">
        <f aca="false">IF($X21&lt;=2,"Low",IF($X21&lt;=3.49,"Medium","High"))</f>
        <v>Medium</v>
      </c>
      <c r="Z21" s="8" t="str">
        <f aca="false">IF(OR($F21&gt;=3,$E21=5,$D21=5,$C21=5,$G21=5,$H21=5,$I21=5,$J21=5,Customers!$W21="Yes"),"Yes","No")</f>
        <v>Yes</v>
      </c>
      <c r="AA21" s="15" t="str">
        <f aca="false">IF($Z21="Yes","High",$Y21)</f>
        <v>High</v>
      </c>
      <c r="AB21" s="18" t="n">
        <f aca="false">SUMPRODUCT($C21:$G21,Weights!$C$28:$G$28)</f>
        <v>1.6</v>
      </c>
      <c r="AC21" s="18" t="n">
        <f aca="false">SUMPRODUCT($H21:$J21,Weights!$H$28:$J$28)</f>
        <v>1</v>
      </c>
      <c r="AD21" s="18" t="n">
        <f aca="false">SUMPRODUCT($K21:$N21,Weights!$K$28:$N$28)</f>
        <v>3.55</v>
      </c>
      <c r="AE21" s="18" t="n">
        <f aca="false">SUMPRODUCT($O21:$Q21,Weights!$O$28:$Q$28)</f>
        <v>2.45</v>
      </c>
      <c r="AF21" s="18" t="n">
        <f aca="false">SUMPRODUCT($R21:$V21,Weights!$R$28:$V$28)</f>
        <v>2.4</v>
      </c>
      <c r="AH21" s="18" t="n">
        <f aca="false">SUMPRODUCT($AB21:$AF21,Validation!$D$7:$H$7)</f>
        <v>2.10857142857135</v>
      </c>
      <c r="AI21" s="18" t="n">
        <f aca="false">SUMPRODUCT($AB21:$AF21,Validation!$D$8:$H$8)</f>
        <v>1.98142857142865</v>
      </c>
      <c r="AJ21" s="18" t="n">
        <f aca="false">SUMPRODUCT($AB21:$AF21,Validation!$D$9:$H$9)</f>
        <v>2.1843333333337</v>
      </c>
      <c r="AK21" s="18" t="n">
        <f aca="false">SUMPRODUCT($AB21:$AF21,Validation!$D$10:$H$10)</f>
        <v>1.9056666666663</v>
      </c>
      <c r="AL21" s="18" t="n">
        <f aca="false">SUMPRODUCT($AB21:$AF21,Validation!$D$11:$H$11)</f>
        <v>1.856875</v>
      </c>
      <c r="AM21" s="18" t="n">
        <f aca="false">SUMPRODUCT($AB21:$AF21,Validation!$D$12:$H$12)</f>
        <v>2.233125</v>
      </c>
      <c r="AN21" s="18" t="n">
        <f aca="false">SUMPRODUCT($AB21:$AF21,Validation!$D$13:$H$13)</f>
        <v>1.9999999999997</v>
      </c>
      <c r="AO21" s="18" t="n">
        <f aca="false">SUMPRODUCT($AB21:$AF21,Validation!$D$14:$H$14)</f>
        <v>2.0900000000003</v>
      </c>
      <c r="AP21" s="18" t="n">
        <f aca="false">SUMPRODUCT($AB21:$AF21,Validation!$D$15:$H$15)</f>
        <v>2.00323529411785</v>
      </c>
      <c r="AQ21" s="18" t="n">
        <f aca="false">SUMPRODUCT($AB21:$AF21,Validation!$D$16:$H$16)</f>
        <v>2.08676470588215</v>
      </c>
      <c r="AR21" s="8" t="n">
        <f aca="false">COUNTIF($C21:$V21,"&gt;=4")</f>
        <v>3</v>
      </c>
      <c r="AS21" s="8" t="str">
        <f aca="false">IF($X21&lt;=1.6,"Low",IF($X21&lt;=2.2,"Medium","High"))</f>
        <v>Medium</v>
      </c>
      <c r="AT21" s="8" t="str">
        <f aca="false">IF($AR21=0,"Low",IF($AR21&lt;3,"Medium","High"))</f>
        <v>High</v>
      </c>
      <c r="AU21" s="8" t="str">
        <f aca="false">IF(OR($AS21="High",$AT21="High"),"High",IF(OR($AS21="Medium",$AT21="Medium"),"Medium","Low"))</f>
        <v>High</v>
      </c>
      <c r="AV21" s="15" t="str">
        <f aca="false">IF($Z21="Yes","High",$AU21)</f>
        <v>High</v>
      </c>
    </row>
    <row r="22" customFormat="false" ht="15" hidden="false" customHeight="false" outlineLevel="0" collapsed="false">
      <c r="A22" s="7" t="str">
        <f aca="false">Customers!$A22</f>
        <v>NG-10170</v>
      </c>
      <c r="B22" s="7" t="str">
        <f aca="false">Customers!$B22</f>
        <v>Personal</v>
      </c>
      <c r="C22" s="8" t="n">
        <f aca="false">INDEX(Mapping!$C$2:$C$99,MATCH(C$1&amp;"|"&amp;Customers!C22,Mapping!$D$2:$D$99,0))</f>
        <v>1</v>
      </c>
      <c r="D22" s="8" t="n">
        <f aca="false">INDEX(Mapping!$C$2:$C$99,MATCH(D$1&amp;"|"&amp;Customers!D22,Mapping!$D$2:$D$99,0))</f>
        <v>1</v>
      </c>
      <c r="E22" s="8" t="n">
        <f aca="false">INDEX(Mapping!$C$2:$C$99,MATCH(E$1&amp;"|"&amp;Customers!E22,Mapping!$D$2:$D$99,0))</f>
        <v>4</v>
      </c>
      <c r="F22" s="8" t="n">
        <f aca="false">INDEX(Mapping!$C$2:$C$99,MATCH(F$1&amp;"|"&amp;Customers!F22,Mapping!$D$2:$D$99,0))</f>
        <v>1</v>
      </c>
      <c r="G22" s="8" t="n">
        <f aca="false">INDEX(Mapping!$C$2:$C$99,MATCH(G$1&amp;"|"&amp;Customers!G22,Mapping!$D$2:$D$99,0))</f>
        <v>1</v>
      </c>
      <c r="H22" s="8" t="n">
        <f aca="false">INDEX(Mapping!$C$2:$C$99,MATCH(H$1&amp;"|"&amp;Customers!H22,Mapping!$D$2:$D$99,0))</f>
        <v>1</v>
      </c>
      <c r="I22" s="8" t="n">
        <f aca="false">INDEX(Mapping!$C$2:$C$99,MATCH(I$1&amp;"|"&amp;Customers!I22,Mapping!$D$2:$D$99,0))</f>
        <v>1</v>
      </c>
      <c r="J22" s="8" t="n">
        <f aca="false">INDEX(Mapping!$C$2:$C$99,MATCH(J$1&amp;"|"&amp;Customers!J22,Mapping!$D$2:$D$99,0))</f>
        <v>1</v>
      </c>
      <c r="K22" s="8" t="n">
        <f aca="false">INDEX(Mapping!$C$2:$C$99,MATCH(K$1&amp;"|"&amp;Customers!K22,Mapping!$D$2:$D$99,0))</f>
        <v>2</v>
      </c>
      <c r="L22" s="8" t="n">
        <f aca="false">INDEX(Mapping!$C$2:$C$99,MATCH(L$1&amp;"|"&amp;Customers!L22,Mapping!$D$2:$D$99,0))</f>
        <v>3</v>
      </c>
      <c r="M22" s="8" t="n">
        <f aca="false">INDEX(Mapping!$C$2:$C$99,MATCH(M$1&amp;"|"&amp;Customers!M22,Mapping!$D$2:$D$99,0))</f>
        <v>1</v>
      </c>
      <c r="N22" s="8" t="n">
        <f aca="false">INDEX(Mapping!$C$2:$C$99,MATCH(N$1&amp;"|"&amp;Customers!N22,Mapping!$D$2:$D$99,0))</f>
        <v>2</v>
      </c>
      <c r="O22" s="8" t="n">
        <f aca="false">INDEX(Mapping!$C$2:$C$99,MATCH(O$1&amp;"|"&amp;Customers!O22,Mapping!$D$2:$D$99,0))</f>
        <v>3</v>
      </c>
      <c r="P22" s="8" t="n">
        <f aca="false">INDEX(Mapping!$C$2:$C$99,MATCH(P$1&amp;"|"&amp;Customers!P22,Mapping!$D$2:$D$99,0))</f>
        <v>3</v>
      </c>
      <c r="Q22" s="8" t="n">
        <f aca="false">INDEX(Mapping!$C$2:$C$99,MATCH(Q$1&amp;"|"&amp;Customers!Q22,Mapping!$D$2:$D$99,0))</f>
        <v>3</v>
      </c>
      <c r="R22" s="8" t="n">
        <f aca="false">INDEX(Mapping!$C$2:$C$99,MATCH(R$1&amp;"|"&amp;Customers!R22,Mapping!$D$2:$D$99,0))</f>
        <v>2</v>
      </c>
      <c r="S22" s="8" t="n">
        <f aca="false">INDEX(Mapping!$C$2:$C$99,MATCH(S$1&amp;"|"&amp;Customers!S22,Mapping!$D$2:$D$99,0))</f>
        <v>2</v>
      </c>
      <c r="T22" s="8" t="n">
        <f aca="false">INDEX(Mapping!$C$2:$C$99,MATCH(T$1&amp;"|"&amp;Customers!T22,Mapping!$D$2:$D$99,0))</f>
        <v>2</v>
      </c>
      <c r="U22" s="8" t="n">
        <f aca="false">INDEX(Mapping!$C$2:$C$99,MATCH(U$1&amp;"|"&amp;Customers!U22,Mapping!$D$2:$D$99,0))</f>
        <v>1</v>
      </c>
      <c r="V22" s="8" t="n">
        <f aca="false">INDEX(Mapping!$C$2:$C$99,MATCH(V$1&amp;"|"&amp;Customers!V22,Mapping!$D$2:$D$99,0))</f>
        <v>2</v>
      </c>
      <c r="W22" s="17" t="n">
        <f aca="false">SUMPRODUCT($C22:$V22,Weights!$C$27:$V$27)</f>
        <v>1.7525</v>
      </c>
      <c r="X22" s="18" t="n">
        <f aca="false">ROUND($W22,2)</f>
        <v>1.75</v>
      </c>
      <c r="Y22" s="8" t="str">
        <f aca="false">IF($X22&lt;=2,"Low",IF($X22&lt;=3.49,"Medium","High"))</f>
        <v>Low</v>
      </c>
      <c r="Z22" s="8" t="str">
        <f aca="false">IF(OR($F22&gt;=3,$E22=5,$D22=5,$C22=5,$G22=5,$H22=5,$I22=5,$J22=5,Customers!$W22="Yes"),"Yes","No")</f>
        <v>No</v>
      </c>
      <c r="AA22" s="15" t="str">
        <f aca="false">IF($Z22="Yes","High",$Y22)</f>
        <v>Low</v>
      </c>
      <c r="AB22" s="18" t="n">
        <f aca="false">SUMPRODUCT($C22:$G22,Weights!$C$28:$G$28)</f>
        <v>1.75</v>
      </c>
      <c r="AC22" s="18" t="n">
        <f aca="false">SUMPRODUCT($H22:$J22,Weights!$H$28:$J$28)</f>
        <v>1</v>
      </c>
      <c r="AD22" s="18" t="n">
        <f aca="false">SUMPRODUCT($K22:$N22,Weights!$K$28:$N$28)</f>
        <v>2</v>
      </c>
      <c r="AE22" s="18" t="n">
        <f aca="false">SUMPRODUCT($O22:$Q22,Weights!$O$28:$Q$28)</f>
        <v>3</v>
      </c>
      <c r="AF22" s="18" t="n">
        <f aca="false">SUMPRODUCT($R22:$V22,Weights!$R$28:$V$28)</f>
        <v>1.85</v>
      </c>
      <c r="AH22" s="18" t="n">
        <f aca="false">SUMPRODUCT($AB22:$AF22,Validation!$D$7:$H$7)</f>
        <v>1.75285714285765</v>
      </c>
      <c r="AI22" s="18" t="n">
        <f aca="false">SUMPRODUCT($AB22:$AF22,Validation!$D$8:$H$8)</f>
        <v>1.75214285714235</v>
      </c>
      <c r="AJ22" s="18" t="n">
        <f aca="false">SUMPRODUCT($AB22:$AF22,Validation!$D$9:$H$9)</f>
        <v>1.852833333333</v>
      </c>
      <c r="AK22" s="18" t="n">
        <f aca="false">SUMPRODUCT($AB22:$AF22,Validation!$D$10:$H$10)</f>
        <v>1.652166666667</v>
      </c>
      <c r="AL22" s="18" t="n">
        <f aca="false">SUMPRODUCT($AB22:$AF22,Validation!$D$11:$H$11)</f>
        <v>1.7215625</v>
      </c>
      <c r="AM22" s="18" t="n">
        <f aca="false">SUMPRODUCT($AB22:$AF22,Validation!$D$12:$H$12)</f>
        <v>1.7834375</v>
      </c>
      <c r="AN22" s="18" t="n">
        <f aca="false">SUMPRODUCT($AB22:$AF22,Validation!$D$13:$H$13)</f>
        <v>1.6138888888887</v>
      </c>
      <c r="AO22" s="18" t="n">
        <f aca="false">SUMPRODUCT($AB22:$AF22,Validation!$D$14:$H$14)</f>
        <v>1.8911111111113</v>
      </c>
      <c r="AP22" s="18" t="n">
        <f aca="false">SUMPRODUCT($AB22:$AF22,Validation!$D$15:$H$15)</f>
        <v>1.74102941176425</v>
      </c>
      <c r="AQ22" s="18" t="n">
        <f aca="false">SUMPRODUCT($AB22:$AF22,Validation!$D$16:$H$16)</f>
        <v>1.76397058823575</v>
      </c>
      <c r="AR22" s="8" t="n">
        <f aca="false">COUNTIF($C22:$V22,"&gt;=4")</f>
        <v>1</v>
      </c>
      <c r="AS22" s="8" t="str">
        <f aca="false">IF($X22&lt;=1.6,"Low",IF($X22&lt;=2.2,"Medium","High"))</f>
        <v>Medium</v>
      </c>
      <c r="AT22" s="8" t="str">
        <f aca="false">IF($AR22=0,"Low",IF($AR22&lt;3,"Medium","High"))</f>
        <v>Medium</v>
      </c>
      <c r="AU22" s="8" t="str">
        <f aca="false">IF(OR($AS22="High",$AT22="High"),"High",IF(OR($AS22="Medium",$AT22="Medium"),"Medium","Low"))</f>
        <v>Medium</v>
      </c>
      <c r="AV22" s="15" t="str">
        <f aca="false">IF($Z22="Yes","High",$AU22)</f>
        <v>Medium</v>
      </c>
    </row>
    <row r="23" customFormat="false" ht="15" hidden="false" customHeight="false" outlineLevel="0" collapsed="false">
      <c r="A23" s="7" t="str">
        <f aca="false">Customers!$A23</f>
        <v>NG-10194</v>
      </c>
      <c r="B23" s="7" t="str">
        <f aca="false">Customers!$B23</f>
        <v>Personal</v>
      </c>
      <c r="C23" s="8" t="n">
        <f aca="false">INDEX(Mapping!$C$2:$C$99,MATCH(C$1&amp;"|"&amp;Customers!C23,Mapping!$D$2:$D$99,0))</f>
        <v>2</v>
      </c>
      <c r="D23" s="8" t="n">
        <f aca="false">INDEX(Mapping!$C$2:$C$99,MATCH(D$1&amp;"|"&amp;Customers!D23,Mapping!$D$2:$D$99,0))</f>
        <v>1</v>
      </c>
      <c r="E23" s="8" t="n">
        <f aca="false">INDEX(Mapping!$C$2:$C$99,MATCH(E$1&amp;"|"&amp;Customers!E23,Mapping!$D$2:$D$99,0))</f>
        <v>1</v>
      </c>
      <c r="F23" s="8" t="n">
        <f aca="false">INDEX(Mapping!$C$2:$C$99,MATCH(F$1&amp;"|"&amp;Customers!F23,Mapping!$D$2:$D$99,0))</f>
        <v>1</v>
      </c>
      <c r="G23" s="8" t="n">
        <f aca="false">INDEX(Mapping!$C$2:$C$99,MATCH(G$1&amp;"|"&amp;Customers!G23,Mapping!$D$2:$D$99,0))</f>
        <v>1</v>
      </c>
      <c r="H23" s="8" t="n">
        <f aca="false">INDEX(Mapping!$C$2:$C$99,MATCH(H$1&amp;"|"&amp;Customers!H23,Mapping!$D$2:$D$99,0))</f>
        <v>1</v>
      </c>
      <c r="I23" s="8" t="n">
        <f aca="false">INDEX(Mapping!$C$2:$C$99,MATCH(I$1&amp;"|"&amp;Customers!I23,Mapping!$D$2:$D$99,0))</f>
        <v>1</v>
      </c>
      <c r="J23" s="8" t="n">
        <f aca="false">INDEX(Mapping!$C$2:$C$99,MATCH(J$1&amp;"|"&amp;Customers!J23,Mapping!$D$2:$D$99,0))</f>
        <v>2</v>
      </c>
      <c r="K23" s="8" t="n">
        <f aca="false">INDEX(Mapping!$C$2:$C$99,MATCH(K$1&amp;"|"&amp;Customers!K23,Mapping!$D$2:$D$99,0))</f>
        <v>2</v>
      </c>
      <c r="L23" s="8" t="n">
        <f aca="false">INDEX(Mapping!$C$2:$C$99,MATCH(L$1&amp;"|"&amp;Customers!L23,Mapping!$D$2:$D$99,0))</f>
        <v>2</v>
      </c>
      <c r="M23" s="8" t="n">
        <f aca="false">INDEX(Mapping!$C$2:$C$99,MATCH(M$1&amp;"|"&amp;Customers!M23,Mapping!$D$2:$D$99,0))</f>
        <v>1</v>
      </c>
      <c r="N23" s="8" t="n">
        <f aca="false">INDEX(Mapping!$C$2:$C$99,MATCH(N$1&amp;"|"&amp;Customers!N23,Mapping!$D$2:$D$99,0))</f>
        <v>1</v>
      </c>
      <c r="O23" s="8" t="n">
        <f aca="false">INDEX(Mapping!$C$2:$C$99,MATCH(O$1&amp;"|"&amp;Customers!O23,Mapping!$D$2:$D$99,0))</f>
        <v>3</v>
      </c>
      <c r="P23" s="8" t="n">
        <f aca="false">INDEX(Mapping!$C$2:$C$99,MATCH(P$1&amp;"|"&amp;Customers!P23,Mapping!$D$2:$D$99,0))</f>
        <v>3</v>
      </c>
      <c r="Q23" s="8" t="n">
        <f aca="false">INDEX(Mapping!$C$2:$C$99,MATCH(Q$1&amp;"|"&amp;Customers!Q23,Mapping!$D$2:$D$99,0))</f>
        <v>3</v>
      </c>
      <c r="R23" s="8" t="n">
        <f aca="false">INDEX(Mapping!$C$2:$C$99,MATCH(R$1&amp;"|"&amp;Customers!R23,Mapping!$D$2:$D$99,0))</f>
        <v>4</v>
      </c>
      <c r="S23" s="8" t="n">
        <f aca="false">INDEX(Mapping!$C$2:$C$99,MATCH(S$1&amp;"|"&amp;Customers!S23,Mapping!$D$2:$D$99,0))</f>
        <v>2</v>
      </c>
      <c r="T23" s="8" t="n">
        <f aca="false">INDEX(Mapping!$C$2:$C$99,MATCH(T$1&amp;"|"&amp;Customers!T23,Mapping!$D$2:$D$99,0))</f>
        <v>1</v>
      </c>
      <c r="U23" s="8" t="n">
        <f aca="false">INDEX(Mapping!$C$2:$C$99,MATCH(U$1&amp;"|"&amp;Customers!U23,Mapping!$D$2:$D$99,0))</f>
        <v>1</v>
      </c>
      <c r="V23" s="8" t="n">
        <f aca="false">INDEX(Mapping!$C$2:$C$99,MATCH(V$1&amp;"|"&amp;Customers!V23,Mapping!$D$2:$D$99,0))</f>
        <v>1</v>
      </c>
      <c r="W23" s="17" t="n">
        <f aca="false">SUMPRODUCT($C23:$V23,Weights!$C$27:$V$27)</f>
        <v>1.6375</v>
      </c>
      <c r="X23" s="18" t="n">
        <f aca="false">ROUND($W23,2)</f>
        <v>1.64</v>
      </c>
      <c r="Y23" s="8" t="str">
        <f aca="false">IF($X23&lt;=2,"Low",IF($X23&lt;=3.49,"Medium","High"))</f>
        <v>Low</v>
      </c>
      <c r="Z23" s="8" t="str">
        <f aca="false">IF(OR($F23&gt;=3,$E23=5,$D23=5,$C23=5,$G23=5,$H23=5,$I23=5,$J23=5,Customers!$W23="Yes"),"Yes","No")</f>
        <v>Yes</v>
      </c>
      <c r="AA23" s="15" t="str">
        <f aca="false">IF($Z23="Yes","High",$Y23)</f>
        <v>High</v>
      </c>
      <c r="AB23" s="18" t="n">
        <f aca="false">SUMPRODUCT($C23:$G23,Weights!$C$28:$G$28)</f>
        <v>1.2</v>
      </c>
      <c r="AC23" s="18" t="n">
        <f aca="false">SUMPRODUCT($H23:$J23,Weights!$H$28:$J$28)</f>
        <v>1.4</v>
      </c>
      <c r="AD23" s="18" t="n">
        <f aca="false">SUMPRODUCT($K23:$N23,Weights!$K$28:$N$28)</f>
        <v>1.6</v>
      </c>
      <c r="AE23" s="18" t="n">
        <f aca="false">SUMPRODUCT($O23:$Q23,Weights!$O$28:$Q$28)</f>
        <v>3</v>
      </c>
      <c r="AF23" s="18" t="n">
        <f aca="false">SUMPRODUCT($R23:$V23,Weights!$R$28:$V$28)</f>
        <v>2.05</v>
      </c>
      <c r="AH23" s="18" t="n">
        <f aca="false">SUMPRODUCT($AB23:$AF23,Validation!$D$7:$H$7)</f>
        <v>1.70000000000065</v>
      </c>
      <c r="AI23" s="18" t="n">
        <f aca="false">SUMPRODUCT($AB23:$AF23,Validation!$D$8:$H$8)</f>
        <v>1.57499999999935</v>
      </c>
      <c r="AJ23" s="18" t="n">
        <f aca="false">SUMPRODUCT($AB23:$AF23,Validation!$D$9:$H$9)</f>
        <v>1.6691666666662</v>
      </c>
      <c r="AK23" s="18" t="n">
        <f aca="false">SUMPRODUCT($AB23:$AF23,Validation!$D$10:$H$10)</f>
        <v>1.6058333333338</v>
      </c>
      <c r="AL23" s="18" t="n">
        <f aca="false">SUMPRODUCT($AB23:$AF23,Validation!$D$11:$H$11)</f>
        <v>1.6421875</v>
      </c>
      <c r="AM23" s="18" t="n">
        <f aca="false">SUMPRODUCT($AB23:$AF23,Validation!$D$12:$H$12)</f>
        <v>1.6328125</v>
      </c>
      <c r="AN23" s="18" t="n">
        <f aca="false">SUMPRODUCT($AB23:$AF23,Validation!$D$13:$H$13)</f>
        <v>1.48611111111135</v>
      </c>
      <c r="AO23" s="18" t="n">
        <f aca="false">SUMPRODUCT($AB23:$AF23,Validation!$D$14:$H$14)</f>
        <v>1.78888888888865</v>
      </c>
      <c r="AP23" s="18" t="n">
        <f aca="false">SUMPRODUCT($AB23:$AF23,Validation!$D$15:$H$15)</f>
        <v>1.5889705882348</v>
      </c>
      <c r="AQ23" s="18" t="n">
        <f aca="false">SUMPRODUCT($AB23:$AF23,Validation!$D$16:$H$16)</f>
        <v>1.6860294117652</v>
      </c>
      <c r="AR23" s="8" t="n">
        <f aca="false">COUNTIF($C23:$V23,"&gt;=4")</f>
        <v>1</v>
      </c>
      <c r="AS23" s="8" t="str">
        <f aca="false">IF($X23&lt;=1.6,"Low",IF($X23&lt;=2.2,"Medium","High"))</f>
        <v>Medium</v>
      </c>
      <c r="AT23" s="8" t="str">
        <f aca="false">IF($AR23=0,"Low",IF($AR23&lt;3,"Medium","High"))</f>
        <v>Medium</v>
      </c>
      <c r="AU23" s="8" t="str">
        <f aca="false">IF(OR($AS23="High",$AT23="High"),"High",IF(OR($AS23="Medium",$AT23="Medium"),"Medium","Low"))</f>
        <v>Medium</v>
      </c>
      <c r="AV23" s="15" t="str">
        <f aca="false">IF($Z23="Yes","High",$AU23)</f>
        <v>High</v>
      </c>
    </row>
    <row r="24" customFormat="false" ht="15" hidden="false" customHeight="false" outlineLevel="0" collapsed="false">
      <c r="A24" s="7" t="str">
        <f aca="false">Customers!$A24</f>
        <v>NG-10060</v>
      </c>
      <c r="B24" s="7" t="str">
        <f aca="false">Customers!$B24</f>
        <v>Personal</v>
      </c>
      <c r="C24" s="8" t="n">
        <f aca="false">INDEX(Mapping!$C$2:$C$99,MATCH(C$1&amp;"|"&amp;Customers!C24,Mapping!$D$2:$D$99,0))</f>
        <v>1</v>
      </c>
      <c r="D24" s="8" t="n">
        <f aca="false">INDEX(Mapping!$C$2:$C$99,MATCH(D$1&amp;"|"&amp;Customers!D24,Mapping!$D$2:$D$99,0))</f>
        <v>1</v>
      </c>
      <c r="E24" s="8" t="n">
        <f aca="false">INDEX(Mapping!$C$2:$C$99,MATCH(E$1&amp;"|"&amp;Customers!E24,Mapping!$D$2:$D$99,0))</f>
        <v>1</v>
      </c>
      <c r="F24" s="8" t="n">
        <f aca="false">INDEX(Mapping!$C$2:$C$99,MATCH(F$1&amp;"|"&amp;Customers!F24,Mapping!$D$2:$D$99,0))</f>
        <v>1</v>
      </c>
      <c r="G24" s="8" t="n">
        <f aca="false">INDEX(Mapping!$C$2:$C$99,MATCH(G$1&amp;"|"&amp;Customers!G24,Mapping!$D$2:$D$99,0))</f>
        <v>1</v>
      </c>
      <c r="H24" s="8" t="n">
        <f aca="false">INDEX(Mapping!$C$2:$C$99,MATCH(H$1&amp;"|"&amp;Customers!H24,Mapping!$D$2:$D$99,0))</f>
        <v>1</v>
      </c>
      <c r="I24" s="8" t="n">
        <f aca="false">INDEX(Mapping!$C$2:$C$99,MATCH(I$1&amp;"|"&amp;Customers!I24,Mapping!$D$2:$D$99,0))</f>
        <v>1</v>
      </c>
      <c r="J24" s="8" t="n">
        <f aca="false">INDEX(Mapping!$C$2:$C$99,MATCH(J$1&amp;"|"&amp;Customers!J24,Mapping!$D$2:$D$99,0))</f>
        <v>1</v>
      </c>
      <c r="K24" s="8" t="n">
        <f aca="false">INDEX(Mapping!$C$2:$C$99,MATCH(K$1&amp;"|"&amp;Customers!K24,Mapping!$D$2:$D$99,0))</f>
        <v>3</v>
      </c>
      <c r="L24" s="8" t="n">
        <f aca="false">INDEX(Mapping!$C$2:$C$99,MATCH(L$1&amp;"|"&amp;Customers!L24,Mapping!$D$2:$D$99,0))</f>
        <v>3</v>
      </c>
      <c r="M24" s="8" t="n">
        <f aca="false">INDEX(Mapping!$C$2:$C$99,MATCH(M$1&amp;"|"&amp;Customers!M24,Mapping!$D$2:$D$99,0))</f>
        <v>1</v>
      </c>
      <c r="N24" s="8" t="n">
        <f aca="false">INDEX(Mapping!$C$2:$C$99,MATCH(N$1&amp;"|"&amp;Customers!N24,Mapping!$D$2:$D$99,0))</f>
        <v>1</v>
      </c>
      <c r="O24" s="8" t="n">
        <f aca="false">INDEX(Mapping!$C$2:$C$99,MATCH(O$1&amp;"|"&amp;Customers!O24,Mapping!$D$2:$D$99,0))</f>
        <v>3</v>
      </c>
      <c r="P24" s="8" t="n">
        <f aca="false">INDEX(Mapping!$C$2:$C$99,MATCH(P$1&amp;"|"&amp;Customers!P24,Mapping!$D$2:$D$99,0))</f>
        <v>3</v>
      </c>
      <c r="Q24" s="8" t="n">
        <f aca="false">INDEX(Mapping!$C$2:$C$99,MATCH(Q$1&amp;"|"&amp;Customers!Q24,Mapping!$D$2:$D$99,0))</f>
        <v>1</v>
      </c>
      <c r="R24" s="8" t="n">
        <f aca="false">INDEX(Mapping!$C$2:$C$99,MATCH(R$1&amp;"|"&amp;Customers!R24,Mapping!$D$2:$D$99,0))</f>
        <v>1</v>
      </c>
      <c r="S24" s="8" t="n">
        <f aca="false">INDEX(Mapping!$C$2:$C$99,MATCH(S$1&amp;"|"&amp;Customers!S24,Mapping!$D$2:$D$99,0))</f>
        <v>1</v>
      </c>
      <c r="T24" s="8" t="n">
        <f aca="false">INDEX(Mapping!$C$2:$C$99,MATCH(T$1&amp;"|"&amp;Customers!T24,Mapping!$D$2:$D$99,0))</f>
        <v>1</v>
      </c>
      <c r="U24" s="8" t="n">
        <f aca="false">INDEX(Mapping!$C$2:$C$99,MATCH(U$1&amp;"|"&amp;Customers!U24,Mapping!$D$2:$D$99,0))</f>
        <v>2</v>
      </c>
      <c r="V24" s="8" t="n">
        <f aca="false">INDEX(Mapping!$C$2:$C$99,MATCH(V$1&amp;"|"&amp;Customers!V24,Mapping!$D$2:$D$99,0))</f>
        <v>1</v>
      </c>
      <c r="W24" s="17" t="n">
        <f aca="false">SUMPRODUCT($C24:$V24,Weights!$C$27:$V$27)</f>
        <v>1.4225</v>
      </c>
      <c r="X24" s="18" t="n">
        <f aca="false">ROUND($W24,2)</f>
        <v>1.42</v>
      </c>
      <c r="Y24" s="8" t="str">
        <f aca="false">IF($X24&lt;=2,"Low",IF($X24&lt;=3.49,"Medium","High"))</f>
        <v>Low</v>
      </c>
      <c r="Z24" s="8" t="str">
        <f aca="false">IF(OR($F24&gt;=3,$E24=5,$D24=5,$C24=5,$G24=5,$H24=5,$I24=5,$J24=5,Customers!$W24="Yes"),"Yes","No")</f>
        <v>No</v>
      </c>
      <c r="AA24" s="15" t="str">
        <f aca="false">IF($Z24="Yes","High",$Y24)</f>
        <v>Low</v>
      </c>
      <c r="AB24" s="18" t="n">
        <f aca="false">SUMPRODUCT($C24:$G24,Weights!$C$28:$G$28)</f>
        <v>1</v>
      </c>
      <c r="AC24" s="18" t="n">
        <f aca="false">SUMPRODUCT($H24:$J24,Weights!$H$28:$J$28)</f>
        <v>1</v>
      </c>
      <c r="AD24" s="18" t="n">
        <f aca="false">SUMPRODUCT($K24:$N24,Weights!$K$28:$N$28)</f>
        <v>2.2</v>
      </c>
      <c r="AE24" s="18" t="n">
        <f aca="false">SUMPRODUCT($O24:$Q24,Weights!$O$28:$Q$28)</f>
        <v>2.6</v>
      </c>
      <c r="AF24" s="18" t="n">
        <f aca="false">SUMPRODUCT($R24:$V24,Weights!$R$28:$V$28)</f>
        <v>1.15</v>
      </c>
      <c r="AH24" s="18" t="n">
        <f aca="false">SUMPRODUCT($AB24:$AF24,Validation!$D$7:$H$7)</f>
        <v>1.48285714285715</v>
      </c>
      <c r="AI24" s="18" t="n">
        <f aca="false">SUMPRODUCT($AB24:$AF24,Validation!$D$8:$H$8)</f>
        <v>1.36214285714285</v>
      </c>
      <c r="AJ24" s="18" t="n">
        <f aca="false">SUMPRODUCT($AB24:$AF24,Validation!$D$9:$H$9)</f>
        <v>1.4788333333332</v>
      </c>
      <c r="AK24" s="18" t="n">
        <f aca="false">SUMPRODUCT($AB24:$AF24,Validation!$D$10:$H$10)</f>
        <v>1.3661666666668</v>
      </c>
      <c r="AL24" s="18" t="n">
        <f aca="false">SUMPRODUCT($AB24:$AF24,Validation!$D$11:$H$11)</f>
        <v>1.3253125</v>
      </c>
      <c r="AM24" s="18" t="n">
        <f aca="false">SUMPRODUCT($AB24:$AF24,Validation!$D$12:$H$12)</f>
        <v>1.5196875</v>
      </c>
      <c r="AN24" s="18" t="n">
        <f aca="false">SUMPRODUCT($AB24:$AF24,Validation!$D$13:$H$13)</f>
        <v>1.29166666666645</v>
      </c>
      <c r="AO24" s="18" t="n">
        <f aca="false">SUMPRODUCT($AB24:$AF24,Validation!$D$14:$H$14)</f>
        <v>1.55333333333355</v>
      </c>
      <c r="AP24" s="18" t="n">
        <f aca="false">SUMPRODUCT($AB24:$AF24,Validation!$D$15:$H$15)</f>
        <v>1.4545588235292</v>
      </c>
      <c r="AQ24" s="18" t="n">
        <f aca="false">SUMPRODUCT($AB24:$AF24,Validation!$D$16:$H$16)</f>
        <v>1.3904411764708</v>
      </c>
      <c r="AR24" s="8" t="n">
        <f aca="false">COUNTIF($C24:$V24,"&gt;=4")</f>
        <v>0</v>
      </c>
      <c r="AS24" s="8" t="str">
        <f aca="false">IF($X24&lt;=1.6,"Low",IF($X24&lt;=2.2,"Medium","High"))</f>
        <v>Low</v>
      </c>
      <c r="AT24" s="8" t="str">
        <f aca="false">IF($AR24=0,"Low",IF($AR24&lt;3,"Medium","High"))</f>
        <v>Low</v>
      </c>
      <c r="AU24" s="8" t="str">
        <f aca="false">IF(OR($AS24="High",$AT24="High"),"High",IF(OR($AS24="Medium",$AT24="Medium"),"Medium","Low"))</f>
        <v>Low</v>
      </c>
      <c r="AV24" s="15" t="str">
        <f aca="false">IF($Z24="Yes","High",$AU24)</f>
        <v>Low</v>
      </c>
    </row>
    <row r="25" customFormat="false" ht="15" hidden="false" customHeight="false" outlineLevel="0" collapsed="false">
      <c r="A25" s="7" t="str">
        <f aca="false">Customers!$A25</f>
        <v>NG-10155</v>
      </c>
      <c r="B25" s="7" t="str">
        <f aca="false">Customers!$B25</f>
        <v>Personal</v>
      </c>
      <c r="C25" s="8" t="n">
        <f aca="false">INDEX(Mapping!$C$2:$C$99,MATCH(C$1&amp;"|"&amp;Customers!C25,Mapping!$D$2:$D$99,0))</f>
        <v>1</v>
      </c>
      <c r="D25" s="8" t="n">
        <f aca="false">INDEX(Mapping!$C$2:$C$99,MATCH(D$1&amp;"|"&amp;Customers!D25,Mapping!$D$2:$D$99,0))</f>
        <v>1</v>
      </c>
      <c r="E25" s="8" t="n">
        <f aca="false">INDEX(Mapping!$C$2:$C$99,MATCH(E$1&amp;"|"&amp;Customers!E25,Mapping!$D$2:$D$99,0))</f>
        <v>1</v>
      </c>
      <c r="F25" s="8" t="n">
        <f aca="false">INDEX(Mapping!$C$2:$C$99,MATCH(F$1&amp;"|"&amp;Customers!F25,Mapping!$D$2:$D$99,0))</f>
        <v>1</v>
      </c>
      <c r="G25" s="8" t="n">
        <f aca="false">INDEX(Mapping!$C$2:$C$99,MATCH(G$1&amp;"|"&amp;Customers!G25,Mapping!$D$2:$D$99,0))</f>
        <v>1</v>
      </c>
      <c r="H25" s="8" t="n">
        <f aca="false">INDEX(Mapping!$C$2:$C$99,MATCH(H$1&amp;"|"&amp;Customers!H25,Mapping!$D$2:$D$99,0))</f>
        <v>1</v>
      </c>
      <c r="I25" s="8" t="n">
        <f aca="false">INDEX(Mapping!$C$2:$C$99,MATCH(I$1&amp;"|"&amp;Customers!I25,Mapping!$D$2:$D$99,0))</f>
        <v>1</v>
      </c>
      <c r="J25" s="8" t="n">
        <f aca="false">INDEX(Mapping!$C$2:$C$99,MATCH(J$1&amp;"|"&amp;Customers!J25,Mapping!$D$2:$D$99,0))</f>
        <v>1</v>
      </c>
      <c r="K25" s="8" t="n">
        <f aca="false">INDEX(Mapping!$C$2:$C$99,MATCH(K$1&amp;"|"&amp;Customers!K25,Mapping!$D$2:$D$99,0))</f>
        <v>3</v>
      </c>
      <c r="L25" s="8" t="n">
        <f aca="false">INDEX(Mapping!$C$2:$C$99,MATCH(L$1&amp;"|"&amp;Customers!L25,Mapping!$D$2:$D$99,0))</f>
        <v>2</v>
      </c>
      <c r="M25" s="8" t="n">
        <f aca="false">INDEX(Mapping!$C$2:$C$99,MATCH(M$1&amp;"|"&amp;Customers!M25,Mapping!$D$2:$D$99,0))</f>
        <v>2</v>
      </c>
      <c r="N25" s="8" t="n">
        <f aca="false">INDEX(Mapping!$C$2:$C$99,MATCH(N$1&amp;"|"&amp;Customers!N25,Mapping!$D$2:$D$99,0))</f>
        <v>1</v>
      </c>
      <c r="O25" s="8" t="n">
        <f aca="false">INDEX(Mapping!$C$2:$C$99,MATCH(O$1&amp;"|"&amp;Customers!O25,Mapping!$D$2:$D$99,0))</f>
        <v>3</v>
      </c>
      <c r="P25" s="8" t="n">
        <f aca="false">INDEX(Mapping!$C$2:$C$99,MATCH(P$1&amp;"|"&amp;Customers!P25,Mapping!$D$2:$D$99,0))</f>
        <v>1</v>
      </c>
      <c r="Q25" s="8" t="n">
        <f aca="false">INDEX(Mapping!$C$2:$C$99,MATCH(Q$1&amp;"|"&amp;Customers!Q25,Mapping!$D$2:$D$99,0))</f>
        <v>1</v>
      </c>
      <c r="R25" s="8" t="n">
        <f aca="false">INDEX(Mapping!$C$2:$C$99,MATCH(R$1&amp;"|"&amp;Customers!R25,Mapping!$D$2:$D$99,0))</f>
        <v>1</v>
      </c>
      <c r="S25" s="8" t="n">
        <f aca="false">INDEX(Mapping!$C$2:$C$99,MATCH(S$1&amp;"|"&amp;Customers!S25,Mapping!$D$2:$D$99,0))</f>
        <v>2</v>
      </c>
      <c r="T25" s="8" t="n">
        <f aca="false">INDEX(Mapping!$C$2:$C$99,MATCH(T$1&amp;"|"&amp;Customers!T25,Mapping!$D$2:$D$99,0))</f>
        <v>1</v>
      </c>
      <c r="U25" s="8" t="n">
        <f aca="false">INDEX(Mapping!$C$2:$C$99,MATCH(U$1&amp;"|"&amp;Customers!U25,Mapping!$D$2:$D$99,0))</f>
        <v>1</v>
      </c>
      <c r="V25" s="8" t="n">
        <f aca="false">INDEX(Mapping!$C$2:$C$99,MATCH(V$1&amp;"|"&amp;Customers!V25,Mapping!$D$2:$D$99,0))</f>
        <v>1</v>
      </c>
      <c r="W25" s="17" t="n">
        <f aca="false">SUMPRODUCT($C25:$V25,Weights!$C$27:$V$27)</f>
        <v>1.375</v>
      </c>
      <c r="X25" s="18" t="n">
        <f aca="false">ROUND($W25,2)</f>
        <v>1.38</v>
      </c>
      <c r="Y25" s="8" t="str">
        <f aca="false">IF($X25&lt;=2,"Low",IF($X25&lt;=3.49,"Medium","High"))</f>
        <v>Low</v>
      </c>
      <c r="Z25" s="8" t="str">
        <f aca="false">IF(OR($F25&gt;=3,$E25=5,$D25=5,$C25=5,$G25=5,$H25=5,$I25=5,$J25=5,Customers!$W25="Yes"),"Yes","No")</f>
        <v>No</v>
      </c>
      <c r="AA25" s="15" t="str">
        <f aca="false">IF($Z25="Yes","High",$Y25)</f>
        <v>Low</v>
      </c>
      <c r="AB25" s="18" t="n">
        <f aca="false">SUMPRODUCT($C25:$G25,Weights!$C$28:$G$28)</f>
        <v>1</v>
      </c>
      <c r="AC25" s="18" t="n">
        <f aca="false">SUMPRODUCT($H25:$J25,Weights!$H$28:$J$28)</f>
        <v>1</v>
      </c>
      <c r="AD25" s="18" t="n">
        <f aca="false">SUMPRODUCT($K25:$N25,Weights!$K$28:$N$28)</f>
        <v>2.2</v>
      </c>
      <c r="AE25" s="18" t="n">
        <f aca="false">SUMPRODUCT($O25:$Q25,Weights!$O$28:$Q$28)</f>
        <v>1.9</v>
      </c>
      <c r="AF25" s="18" t="n">
        <f aca="false">SUMPRODUCT($R25:$V25,Weights!$R$28:$V$28)</f>
        <v>1.3</v>
      </c>
      <c r="AH25" s="18" t="n">
        <f aca="false">SUMPRODUCT($AB25:$AF25,Validation!$D$7:$H$7)</f>
        <v>1.4285714285713</v>
      </c>
      <c r="AI25" s="18" t="n">
        <f aca="false">SUMPRODUCT($AB25:$AF25,Validation!$D$8:$H$8)</f>
        <v>1.3214285714287</v>
      </c>
      <c r="AJ25" s="18" t="n">
        <f aca="false">SUMPRODUCT($AB25:$AF25,Validation!$D$9:$H$9)</f>
        <v>1.4250000000001</v>
      </c>
      <c r="AK25" s="18" t="n">
        <f aca="false">SUMPRODUCT($AB25:$AF25,Validation!$D$10:$H$10)</f>
        <v>1.3249999999999</v>
      </c>
      <c r="AL25" s="18" t="n">
        <f aca="false">SUMPRODUCT($AB25:$AF25,Validation!$D$11:$H$11)</f>
        <v>1.271875</v>
      </c>
      <c r="AM25" s="18" t="n">
        <f aca="false">SUMPRODUCT($AB25:$AF25,Validation!$D$12:$H$12)</f>
        <v>1.478125</v>
      </c>
      <c r="AN25" s="18" t="n">
        <f aca="false">SUMPRODUCT($AB25:$AF25,Validation!$D$13:$H$13)</f>
        <v>1.3166666666665</v>
      </c>
      <c r="AO25" s="18" t="n">
        <f aca="false">SUMPRODUCT($AB25:$AF25,Validation!$D$14:$H$14)</f>
        <v>1.4333333333335</v>
      </c>
      <c r="AP25" s="18" t="n">
        <f aca="false">SUMPRODUCT($AB25:$AF25,Validation!$D$15:$H$15)</f>
        <v>1.3838235294118</v>
      </c>
      <c r="AQ25" s="18" t="n">
        <f aca="false">SUMPRODUCT($AB25:$AF25,Validation!$D$16:$H$16)</f>
        <v>1.3661764705882</v>
      </c>
      <c r="AR25" s="8" t="n">
        <f aca="false">COUNTIF($C25:$V25,"&gt;=4")</f>
        <v>0</v>
      </c>
      <c r="AS25" s="8" t="str">
        <f aca="false">IF($X25&lt;=1.6,"Low",IF($X25&lt;=2.2,"Medium","High"))</f>
        <v>Low</v>
      </c>
      <c r="AT25" s="8" t="str">
        <f aca="false">IF($AR25=0,"Low",IF($AR25&lt;3,"Medium","High"))</f>
        <v>Low</v>
      </c>
      <c r="AU25" s="8" t="str">
        <f aca="false">IF(OR($AS25="High",$AT25="High"),"High",IF(OR($AS25="Medium",$AT25="Medium"),"Medium","Low"))</f>
        <v>Low</v>
      </c>
      <c r="AV25" s="15" t="str">
        <f aca="false">IF($Z25="Yes","High",$AU25)</f>
        <v>Low</v>
      </c>
    </row>
    <row r="26" customFormat="false" ht="15" hidden="false" customHeight="false" outlineLevel="0" collapsed="false">
      <c r="A26" s="7" t="str">
        <f aca="false">Customers!$A26</f>
        <v>NG-10039</v>
      </c>
      <c r="B26" s="7" t="str">
        <f aca="false">Customers!$B26</f>
        <v>Personal</v>
      </c>
      <c r="C26" s="8" t="n">
        <f aca="false">INDEX(Mapping!$C$2:$C$99,MATCH(C$1&amp;"|"&amp;Customers!C26,Mapping!$D$2:$D$99,0))</f>
        <v>2</v>
      </c>
      <c r="D26" s="8" t="n">
        <f aca="false">INDEX(Mapping!$C$2:$C$99,MATCH(D$1&amp;"|"&amp;Customers!D26,Mapping!$D$2:$D$99,0))</f>
        <v>1</v>
      </c>
      <c r="E26" s="8" t="n">
        <f aca="false">INDEX(Mapping!$C$2:$C$99,MATCH(E$1&amp;"|"&amp;Customers!E26,Mapping!$D$2:$D$99,0))</f>
        <v>3</v>
      </c>
      <c r="F26" s="8" t="n">
        <f aca="false">INDEX(Mapping!$C$2:$C$99,MATCH(F$1&amp;"|"&amp;Customers!F26,Mapping!$D$2:$D$99,0))</f>
        <v>1</v>
      </c>
      <c r="G26" s="8" t="n">
        <f aca="false">INDEX(Mapping!$C$2:$C$99,MATCH(G$1&amp;"|"&amp;Customers!G26,Mapping!$D$2:$D$99,0))</f>
        <v>2</v>
      </c>
      <c r="H26" s="8" t="n">
        <f aca="false">INDEX(Mapping!$C$2:$C$99,MATCH(H$1&amp;"|"&amp;Customers!H26,Mapping!$D$2:$D$99,0))</f>
        <v>1</v>
      </c>
      <c r="I26" s="8" t="n">
        <f aca="false">INDEX(Mapping!$C$2:$C$99,MATCH(I$1&amp;"|"&amp;Customers!I26,Mapping!$D$2:$D$99,0))</f>
        <v>1</v>
      </c>
      <c r="J26" s="8" t="n">
        <f aca="false">INDEX(Mapping!$C$2:$C$99,MATCH(J$1&amp;"|"&amp;Customers!J26,Mapping!$D$2:$D$99,0))</f>
        <v>1</v>
      </c>
      <c r="K26" s="8" t="n">
        <f aca="false">INDEX(Mapping!$C$2:$C$99,MATCH(K$1&amp;"|"&amp;Customers!K26,Mapping!$D$2:$D$99,0))</f>
        <v>2</v>
      </c>
      <c r="L26" s="8" t="n">
        <f aca="false">INDEX(Mapping!$C$2:$C$99,MATCH(L$1&amp;"|"&amp;Customers!L26,Mapping!$D$2:$D$99,0))</f>
        <v>1</v>
      </c>
      <c r="M26" s="8" t="n">
        <f aca="false">INDEX(Mapping!$C$2:$C$99,MATCH(M$1&amp;"|"&amp;Customers!M26,Mapping!$D$2:$D$99,0))</f>
        <v>2</v>
      </c>
      <c r="N26" s="8" t="n">
        <f aca="false">INDEX(Mapping!$C$2:$C$99,MATCH(N$1&amp;"|"&amp;Customers!N26,Mapping!$D$2:$D$99,0))</f>
        <v>2</v>
      </c>
      <c r="O26" s="8" t="n">
        <f aca="false">INDEX(Mapping!$C$2:$C$99,MATCH(O$1&amp;"|"&amp;Customers!O26,Mapping!$D$2:$D$99,0))</f>
        <v>3</v>
      </c>
      <c r="P26" s="8" t="n">
        <f aca="false">INDEX(Mapping!$C$2:$C$99,MATCH(P$1&amp;"|"&amp;Customers!P26,Mapping!$D$2:$D$99,0))</f>
        <v>3</v>
      </c>
      <c r="Q26" s="8" t="n">
        <f aca="false">INDEX(Mapping!$C$2:$C$99,MATCH(Q$1&amp;"|"&amp;Customers!Q26,Mapping!$D$2:$D$99,0))</f>
        <v>2</v>
      </c>
      <c r="R26" s="8" t="n">
        <f aca="false">INDEX(Mapping!$C$2:$C$99,MATCH(R$1&amp;"|"&amp;Customers!R26,Mapping!$D$2:$D$99,0))</f>
        <v>1</v>
      </c>
      <c r="S26" s="8" t="n">
        <f aca="false">INDEX(Mapping!$C$2:$C$99,MATCH(S$1&amp;"|"&amp;Customers!S26,Mapping!$D$2:$D$99,0))</f>
        <v>3</v>
      </c>
      <c r="T26" s="8" t="n">
        <f aca="false">INDEX(Mapping!$C$2:$C$99,MATCH(T$1&amp;"|"&amp;Customers!T26,Mapping!$D$2:$D$99,0))</f>
        <v>2</v>
      </c>
      <c r="U26" s="8" t="n">
        <f aca="false">INDEX(Mapping!$C$2:$C$99,MATCH(U$1&amp;"|"&amp;Customers!U26,Mapping!$D$2:$D$99,0))</f>
        <v>2</v>
      </c>
      <c r="V26" s="8" t="n">
        <f aca="false">INDEX(Mapping!$C$2:$C$99,MATCH(V$1&amp;"|"&amp;Customers!V26,Mapping!$D$2:$D$99,0))</f>
        <v>1</v>
      </c>
      <c r="W26" s="17" t="n">
        <f aca="false">SUMPRODUCT($C26:$V26,Weights!$C$27:$V$27)</f>
        <v>1.7275</v>
      </c>
      <c r="X26" s="18" t="n">
        <f aca="false">ROUND($W26,2)</f>
        <v>1.73</v>
      </c>
      <c r="Y26" s="8" t="str">
        <f aca="false">IF($X26&lt;=2,"Low",IF($X26&lt;=3.49,"Medium","High"))</f>
        <v>Low</v>
      </c>
      <c r="Z26" s="8" t="str">
        <f aca="false">IF(OR($F26&gt;=3,$E26=5,$D26=5,$C26=5,$G26=5,$H26=5,$I26=5,$J26=5,Customers!$W26="Yes"),"Yes","No")</f>
        <v>No</v>
      </c>
      <c r="AA26" s="15" t="str">
        <f aca="false">IF($Z26="Yes","High",$Y26)</f>
        <v>Low</v>
      </c>
      <c r="AB26" s="18" t="n">
        <f aca="false">SUMPRODUCT($C26:$G26,Weights!$C$28:$G$28)</f>
        <v>1.85</v>
      </c>
      <c r="AC26" s="18" t="n">
        <f aca="false">SUMPRODUCT($H26:$J26,Weights!$H$28:$J$28)</f>
        <v>1</v>
      </c>
      <c r="AD26" s="18" t="n">
        <f aca="false">SUMPRODUCT($K26:$N26,Weights!$K$28:$N$28)</f>
        <v>1.75</v>
      </c>
      <c r="AE26" s="18" t="n">
        <f aca="false">SUMPRODUCT($O26:$Q26,Weights!$O$28:$Q$28)</f>
        <v>2.8</v>
      </c>
      <c r="AF26" s="18" t="n">
        <f aca="false">SUMPRODUCT($R26:$V26,Weights!$R$28:$V$28)</f>
        <v>1.95</v>
      </c>
      <c r="AH26" s="18" t="n">
        <f aca="false">SUMPRODUCT($AB26:$AF26,Validation!$D$7:$H$7)</f>
        <v>1.7100000000006</v>
      </c>
      <c r="AI26" s="18" t="n">
        <f aca="false">SUMPRODUCT($AB26:$AF26,Validation!$D$8:$H$8)</f>
        <v>1.7449999999994</v>
      </c>
      <c r="AJ26" s="18" t="n">
        <f aca="false">SUMPRODUCT($AB26:$AF26,Validation!$D$9:$H$9)</f>
        <v>1.82449999999965</v>
      </c>
      <c r="AK26" s="18" t="n">
        <f aca="false">SUMPRODUCT($AB26:$AF26,Validation!$D$10:$H$10)</f>
        <v>1.63050000000035</v>
      </c>
      <c r="AL26" s="18" t="n">
        <f aca="false">SUMPRODUCT($AB26:$AF26,Validation!$D$11:$H$11)</f>
        <v>1.7246875</v>
      </c>
      <c r="AM26" s="18" t="n">
        <f aca="false">SUMPRODUCT($AB26:$AF26,Validation!$D$12:$H$12)</f>
        <v>1.7303125</v>
      </c>
      <c r="AN26" s="18" t="n">
        <f aca="false">SUMPRODUCT($AB26:$AF26,Validation!$D$13:$H$13)</f>
        <v>1.6083333333332</v>
      </c>
      <c r="AO26" s="18" t="n">
        <f aca="false">SUMPRODUCT($AB26:$AF26,Validation!$D$14:$H$14)</f>
        <v>1.8466666666668</v>
      </c>
      <c r="AP26" s="18" t="n">
        <f aca="false">SUMPRODUCT($AB26:$AF26,Validation!$D$15:$H$15)</f>
        <v>1.7013235294113</v>
      </c>
      <c r="AQ26" s="18" t="n">
        <f aca="false">SUMPRODUCT($AB26:$AF26,Validation!$D$16:$H$16)</f>
        <v>1.7536764705887</v>
      </c>
      <c r="AR26" s="8" t="n">
        <f aca="false">COUNTIF($C26:$V26,"&gt;=4")</f>
        <v>0</v>
      </c>
      <c r="AS26" s="8" t="str">
        <f aca="false">IF($X26&lt;=1.6,"Low",IF($X26&lt;=2.2,"Medium","High"))</f>
        <v>Medium</v>
      </c>
      <c r="AT26" s="8" t="str">
        <f aca="false">IF($AR26=0,"Low",IF($AR26&lt;3,"Medium","High"))</f>
        <v>Low</v>
      </c>
      <c r="AU26" s="8" t="str">
        <f aca="false">IF(OR($AS26="High",$AT26="High"),"High",IF(OR($AS26="Medium",$AT26="Medium"),"Medium","Low"))</f>
        <v>Medium</v>
      </c>
      <c r="AV26" s="15" t="str">
        <f aca="false">IF($Z26="Yes","High",$AU26)</f>
        <v>Medium</v>
      </c>
    </row>
    <row r="27" customFormat="false" ht="15" hidden="false" customHeight="false" outlineLevel="0" collapsed="false">
      <c r="A27" s="7" t="str">
        <f aca="false">Customers!$A27</f>
        <v>NG-10053</v>
      </c>
      <c r="B27" s="7" t="str">
        <f aca="false">Customers!$B27</f>
        <v>Personal</v>
      </c>
      <c r="C27" s="8" t="n">
        <f aca="false">INDEX(Mapping!$C$2:$C$99,MATCH(C$1&amp;"|"&amp;Customers!C27,Mapping!$D$2:$D$99,0))</f>
        <v>1</v>
      </c>
      <c r="D27" s="8" t="n">
        <f aca="false">INDEX(Mapping!$C$2:$C$99,MATCH(D$1&amp;"|"&amp;Customers!D27,Mapping!$D$2:$D$99,0))</f>
        <v>1</v>
      </c>
      <c r="E27" s="8" t="n">
        <f aca="false">INDEX(Mapping!$C$2:$C$99,MATCH(E$1&amp;"|"&amp;Customers!E27,Mapping!$D$2:$D$99,0))</f>
        <v>1</v>
      </c>
      <c r="F27" s="8" t="n">
        <f aca="false">INDEX(Mapping!$C$2:$C$99,MATCH(F$1&amp;"|"&amp;Customers!F27,Mapping!$D$2:$D$99,0))</f>
        <v>1</v>
      </c>
      <c r="G27" s="8" t="n">
        <f aca="false">INDEX(Mapping!$C$2:$C$99,MATCH(G$1&amp;"|"&amp;Customers!G27,Mapping!$D$2:$D$99,0))</f>
        <v>1</v>
      </c>
      <c r="H27" s="8" t="n">
        <f aca="false">INDEX(Mapping!$C$2:$C$99,MATCH(H$1&amp;"|"&amp;Customers!H27,Mapping!$D$2:$D$99,0))</f>
        <v>1</v>
      </c>
      <c r="I27" s="8" t="n">
        <f aca="false">INDEX(Mapping!$C$2:$C$99,MATCH(I$1&amp;"|"&amp;Customers!I27,Mapping!$D$2:$D$99,0))</f>
        <v>1</v>
      </c>
      <c r="J27" s="8" t="n">
        <f aca="false">INDEX(Mapping!$C$2:$C$99,MATCH(J$1&amp;"|"&amp;Customers!J27,Mapping!$D$2:$D$99,0))</f>
        <v>1</v>
      </c>
      <c r="K27" s="8" t="n">
        <f aca="false">INDEX(Mapping!$C$2:$C$99,MATCH(K$1&amp;"|"&amp;Customers!K27,Mapping!$D$2:$D$99,0))</f>
        <v>3</v>
      </c>
      <c r="L27" s="8" t="n">
        <f aca="false">INDEX(Mapping!$C$2:$C$99,MATCH(L$1&amp;"|"&amp;Customers!L27,Mapping!$D$2:$D$99,0))</f>
        <v>2</v>
      </c>
      <c r="M27" s="8" t="n">
        <f aca="false">INDEX(Mapping!$C$2:$C$99,MATCH(M$1&amp;"|"&amp;Customers!M27,Mapping!$D$2:$D$99,0))</f>
        <v>2</v>
      </c>
      <c r="N27" s="8" t="n">
        <f aca="false">INDEX(Mapping!$C$2:$C$99,MATCH(N$1&amp;"|"&amp;Customers!N27,Mapping!$D$2:$D$99,0))</f>
        <v>1</v>
      </c>
      <c r="O27" s="8" t="n">
        <f aca="false">INDEX(Mapping!$C$2:$C$99,MATCH(O$1&amp;"|"&amp;Customers!O27,Mapping!$D$2:$D$99,0))</f>
        <v>3</v>
      </c>
      <c r="P27" s="8" t="n">
        <f aca="false">INDEX(Mapping!$C$2:$C$99,MATCH(P$1&amp;"|"&amp;Customers!P27,Mapping!$D$2:$D$99,0))</f>
        <v>3</v>
      </c>
      <c r="Q27" s="8" t="n">
        <f aca="false">INDEX(Mapping!$C$2:$C$99,MATCH(Q$1&amp;"|"&amp;Customers!Q27,Mapping!$D$2:$D$99,0))</f>
        <v>1</v>
      </c>
      <c r="R27" s="8" t="n">
        <f aca="false">INDEX(Mapping!$C$2:$C$99,MATCH(R$1&amp;"|"&amp;Customers!R27,Mapping!$D$2:$D$99,0))</f>
        <v>2</v>
      </c>
      <c r="S27" s="8" t="n">
        <f aca="false">INDEX(Mapping!$C$2:$C$99,MATCH(S$1&amp;"|"&amp;Customers!S27,Mapping!$D$2:$D$99,0))</f>
        <v>2</v>
      </c>
      <c r="T27" s="8" t="n">
        <f aca="false">INDEX(Mapping!$C$2:$C$99,MATCH(T$1&amp;"|"&amp;Customers!T27,Mapping!$D$2:$D$99,0))</f>
        <v>2</v>
      </c>
      <c r="U27" s="8" t="n">
        <f aca="false">INDEX(Mapping!$C$2:$C$99,MATCH(U$1&amp;"|"&amp;Customers!U27,Mapping!$D$2:$D$99,0))</f>
        <v>1</v>
      </c>
      <c r="V27" s="8" t="n">
        <f aca="false">INDEX(Mapping!$C$2:$C$99,MATCH(V$1&amp;"|"&amp;Customers!V27,Mapping!$D$2:$D$99,0))</f>
        <v>1</v>
      </c>
      <c r="W27" s="17" t="n">
        <f aca="false">SUMPRODUCT($C27:$V27,Weights!$C$27:$V$27)</f>
        <v>1.5125</v>
      </c>
      <c r="X27" s="18" t="n">
        <f aca="false">ROUND($W27,2)</f>
        <v>1.51</v>
      </c>
      <c r="Y27" s="8" t="str">
        <f aca="false">IF($X27&lt;=2,"Low",IF($X27&lt;=3.49,"Medium","High"))</f>
        <v>Low</v>
      </c>
      <c r="Z27" s="8" t="str">
        <f aca="false">IF(OR($F27&gt;=3,$E27=5,$D27=5,$C27=5,$G27=5,$H27=5,$I27=5,$J27=5,Customers!$W27="Yes"),"Yes","No")</f>
        <v>No</v>
      </c>
      <c r="AA27" s="15" t="str">
        <f aca="false">IF($Z27="Yes","High",$Y27)</f>
        <v>Low</v>
      </c>
      <c r="AB27" s="18" t="n">
        <f aca="false">SUMPRODUCT($C27:$G27,Weights!$C$28:$G$28)</f>
        <v>1</v>
      </c>
      <c r="AC27" s="18" t="n">
        <f aca="false">SUMPRODUCT($H27:$J27,Weights!$H$28:$J$28)</f>
        <v>1</v>
      </c>
      <c r="AD27" s="18" t="n">
        <f aca="false">SUMPRODUCT($K27:$N27,Weights!$K$28:$N$28)</f>
        <v>2.2</v>
      </c>
      <c r="AE27" s="18" t="n">
        <f aca="false">SUMPRODUCT($O27:$Q27,Weights!$O$28:$Q$28)</f>
        <v>2.6</v>
      </c>
      <c r="AF27" s="18" t="n">
        <f aca="false">SUMPRODUCT($R27:$V27,Weights!$R$28:$V$28)</f>
        <v>1.75</v>
      </c>
      <c r="AH27" s="18" t="n">
        <f aca="false">SUMPRODUCT($AB27:$AF27,Validation!$D$7:$H$7)</f>
        <v>1.58571428571455</v>
      </c>
      <c r="AI27" s="18" t="n">
        <f aca="false">SUMPRODUCT($AB27:$AF27,Validation!$D$8:$H$8)</f>
        <v>1.43928571428545</v>
      </c>
      <c r="AJ27" s="18" t="n">
        <f aca="false">SUMPRODUCT($AB27:$AF27,Validation!$D$9:$H$9)</f>
        <v>1.5808333333332</v>
      </c>
      <c r="AK27" s="18" t="n">
        <f aca="false">SUMPRODUCT($AB27:$AF27,Validation!$D$10:$H$10)</f>
        <v>1.4441666666668</v>
      </c>
      <c r="AL27" s="18" t="n">
        <f aca="false">SUMPRODUCT($AB27:$AF27,Validation!$D$11:$H$11)</f>
        <v>1.4265625</v>
      </c>
      <c r="AM27" s="18" t="n">
        <f aca="false">SUMPRODUCT($AB27:$AF27,Validation!$D$12:$H$12)</f>
        <v>1.5984375</v>
      </c>
      <c r="AN27" s="18" t="n">
        <f aca="false">SUMPRODUCT($AB27:$AF27,Validation!$D$13:$H$13)</f>
        <v>1.39166666666665</v>
      </c>
      <c r="AO27" s="18" t="n">
        <f aca="false">SUMPRODUCT($AB27:$AF27,Validation!$D$14:$H$14)</f>
        <v>1.63333333333335</v>
      </c>
      <c r="AP27" s="18" t="n">
        <f aca="false">SUMPRODUCT($AB27:$AF27,Validation!$D$15:$H$15)</f>
        <v>1.4845588235292</v>
      </c>
      <c r="AQ27" s="18" t="n">
        <f aca="false">SUMPRODUCT($AB27:$AF27,Validation!$D$16:$H$16)</f>
        <v>1.5404411764708</v>
      </c>
      <c r="AR27" s="8" t="n">
        <f aca="false">COUNTIF($C27:$V27,"&gt;=4")</f>
        <v>0</v>
      </c>
      <c r="AS27" s="8" t="str">
        <f aca="false">IF($X27&lt;=1.6,"Low",IF($X27&lt;=2.2,"Medium","High"))</f>
        <v>Low</v>
      </c>
      <c r="AT27" s="8" t="str">
        <f aca="false">IF($AR27=0,"Low",IF($AR27&lt;3,"Medium","High"))</f>
        <v>Low</v>
      </c>
      <c r="AU27" s="8" t="str">
        <f aca="false">IF(OR($AS27="High",$AT27="High"),"High",IF(OR($AS27="Medium",$AT27="Medium"),"Medium","Low"))</f>
        <v>Low</v>
      </c>
      <c r="AV27" s="15" t="str">
        <f aca="false">IF($Z27="Yes","High",$AU27)</f>
        <v>Low</v>
      </c>
    </row>
    <row r="28" customFormat="false" ht="15" hidden="false" customHeight="false" outlineLevel="0" collapsed="false">
      <c r="A28" s="7" t="str">
        <f aca="false">Customers!$A28</f>
        <v>NG-10371</v>
      </c>
      <c r="B28" s="7" t="str">
        <f aca="false">Customers!$B28</f>
        <v>Limited company</v>
      </c>
      <c r="C28" s="8" t="n">
        <f aca="false">INDEX(Mapping!$C$2:$C$99,MATCH(C$1&amp;"|"&amp;Customers!C28,Mapping!$D$2:$D$99,0))</f>
        <v>3</v>
      </c>
      <c r="D28" s="8" t="n">
        <f aca="false">INDEX(Mapping!$C$2:$C$99,MATCH(D$1&amp;"|"&amp;Customers!D28,Mapping!$D$2:$D$99,0))</f>
        <v>2</v>
      </c>
      <c r="E28" s="8" t="n">
        <f aca="false">INDEX(Mapping!$C$2:$C$99,MATCH(E$1&amp;"|"&amp;Customers!E28,Mapping!$D$2:$D$99,0))</f>
        <v>3</v>
      </c>
      <c r="F28" s="8" t="n">
        <f aca="false">INDEX(Mapping!$C$2:$C$99,MATCH(F$1&amp;"|"&amp;Customers!F28,Mapping!$D$2:$D$99,0))</f>
        <v>1</v>
      </c>
      <c r="G28" s="8" t="n">
        <f aca="false">INDEX(Mapping!$C$2:$C$99,MATCH(G$1&amp;"|"&amp;Customers!G28,Mapping!$D$2:$D$99,0))</f>
        <v>1</v>
      </c>
      <c r="H28" s="8" t="n">
        <f aca="false">INDEX(Mapping!$C$2:$C$99,MATCH(H$1&amp;"|"&amp;Customers!H28,Mapping!$D$2:$D$99,0))</f>
        <v>1</v>
      </c>
      <c r="I28" s="8" t="n">
        <f aca="false">INDEX(Mapping!$C$2:$C$99,MATCH(I$1&amp;"|"&amp;Customers!I28,Mapping!$D$2:$D$99,0))</f>
        <v>1</v>
      </c>
      <c r="J28" s="8" t="n">
        <f aca="false">INDEX(Mapping!$C$2:$C$99,MATCH(J$1&amp;"|"&amp;Customers!J28,Mapping!$D$2:$D$99,0))</f>
        <v>1</v>
      </c>
      <c r="K28" s="8" t="n">
        <f aca="false">INDEX(Mapping!$C$2:$C$99,MATCH(K$1&amp;"|"&amp;Customers!K28,Mapping!$D$2:$D$99,0))</f>
        <v>5</v>
      </c>
      <c r="L28" s="8" t="n">
        <f aca="false">INDEX(Mapping!$C$2:$C$99,MATCH(L$1&amp;"|"&amp;Customers!L28,Mapping!$D$2:$D$99,0))</f>
        <v>3</v>
      </c>
      <c r="M28" s="8" t="n">
        <f aca="false">INDEX(Mapping!$C$2:$C$99,MATCH(M$1&amp;"|"&amp;Customers!M28,Mapping!$D$2:$D$99,0))</f>
        <v>1</v>
      </c>
      <c r="N28" s="8" t="n">
        <f aca="false">INDEX(Mapping!$C$2:$C$99,MATCH(N$1&amp;"|"&amp;Customers!N28,Mapping!$D$2:$D$99,0))</f>
        <v>5</v>
      </c>
      <c r="O28" s="8" t="n">
        <f aca="false">INDEX(Mapping!$C$2:$C$99,MATCH(O$1&amp;"|"&amp;Customers!O28,Mapping!$D$2:$D$99,0))</f>
        <v>4</v>
      </c>
      <c r="P28" s="8" t="n">
        <f aca="false">INDEX(Mapping!$C$2:$C$99,MATCH(P$1&amp;"|"&amp;Customers!P28,Mapping!$D$2:$D$99,0))</f>
        <v>1</v>
      </c>
      <c r="Q28" s="8" t="n">
        <f aca="false">INDEX(Mapping!$C$2:$C$99,MATCH(Q$1&amp;"|"&amp;Customers!Q28,Mapping!$D$2:$D$99,0))</f>
        <v>1</v>
      </c>
      <c r="R28" s="8" t="n">
        <f aca="false">INDEX(Mapping!$C$2:$C$99,MATCH(R$1&amp;"|"&amp;Customers!R28,Mapping!$D$2:$D$99,0))</f>
        <v>4</v>
      </c>
      <c r="S28" s="8" t="n">
        <f aca="false">INDEX(Mapping!$C$2:$C$99,MATCH(S$1&amp;"|"&amp;Customers!S28,Mapping!$D$2:$D$99,0))</f>
        <v>1</v>
      </c>
      <c r="T28" s="8" t="n">
        <f aca="false">INDEX(Mapping!$C$2:$C$99,MATCH(T$1&amp;"|"&amp;Customers!T28,Mapping!$D$2:$D$99,0))</f>
        <v>3</v>
      </c>
      <c r="U28" s="8" t="n">
        <f aca="false">INDEX(Mapping!$C$2:$C$99,MATCH(U$1&amp;"|"&amp;Customers!U28,Mapping!$D$2:$D$99,0))</f>
        <v>2</v>
      </c>
      <c r="V28" s="8" t="n">
        <f aca="false">INDEX(Mapping!$C$2:$C$99,MATCH(V$1&amp;"|"&amp;Customers!V28,Mapping!$D$2:$D$99,0))</f>
        <v>3</v>
      </c>
      <c r="W28" s="17" t="n">
        <f aca="false">SUMPRODUCT($C28:$V28,Weights!$C$27:$V$27)</f>
        <v>2.19</v>
      </c>
      <c r="X28" s="18" t="n">
        <f aca="false">ROUND($W28,2)</f>
        <v>2.19</v>
      </c>
      <c r="Y28" s="8" t="str">
        <f aca="false">IF($X28&lt;=2,"Low",IF($X28&lt;=3.49,"Medium","High"))</f>
        <v>Medium</v>
      </c>
      <c r="Z28" s="8" t="str">
        <f aca="false">IF(OR($F28&gt;=3,$E28=5,$D28=5,$C28=5,$G28=5,$H28=5,$I28=5,$J28=5,Customers!$W28="Yes"),"Yes","No")</f>
        <v>No</v>
      </c>
      <c r="AA28" s="15" t="str">
        <f aca="false">IF($Z28="Yes","High",$Y28)</f>
        <v>Medium</v>
      </c>
      <c r="AB28" s="18" t="n">
        <f aca="false">SUMPRODUCT($C28:$G28,Weights!$C$28:$G$28)</f>
        <v>2.1</v>
      </c>
      <c r="AC28" s="18" t="n">
        <f aca="false">SUMPRODUCT($H28:$J28,Weights!$H$28:$J$28)</f>
        <v>1</v>
      </c>
      <c r="AD28" s="18" t="n">
        <f aca="false">SUMPRODUCT($K28:$N28,Weights!$K$28:$N$28)</f>
        <v>3.5</v>
      </c>
      <c r="AE28" s="18" t="n">
        <f aca="false">SUMPRODUCT($O28:$Q28,Weights!$O$28:$Q$28)</f>
        <v>2.35</v>
      </c>
      <c r="AF28" s="18" t="n">
        <f aca="false">SUMPRODUCT($R28:$V28,Weights!$R$28:$V$28)</f>
        <v>2.5</v>
      </c>
      <c r="AH28" s="18" t="n">
        <f aca="false">SUMPRODUCT($AB28:$AF28,Validation!$D$7:$H$7)</f>
        <v>2.2028571428571</v>
      </c>
      <c r="AI28" s="18" t="n">
        <f aca="false">SUMPRODUCT($AB28:$AF28,Validation!$D$8:$H$8)</f>
        <v>2.1771428571429</v>
      </c>
      <c r="AJ28" s="18" t="n">
        <f aca="false">SUMPRODUCT($AB28:$AF28,Validation!$D$9:$H$9)</f>
        <v>2.34866666666705</v>
      </c>
      <c r="AK28" s="18" t="n">
        <f aca="false">SUMPRODUCT($AB28:$AF28,Validation!$D$10:$H$10)</f>
        <v>2.03133333333295</v>
      </c>
      <c r="AL28" s="18" t="n">
        <f aca="false">SUMPRODUCT($AB28:$AF28,Validation!$D$11:$H$11)</f>
        <v>2.02625</v>
      </c>
      <c r="AM28" s="18" t="n">
        <f aca="false">SUMPRODUCT($AB28:$AF28,Validation!$D$12:$H$12)</f>
        <v>2.35375</v>
      </c>
      <c r="AN28" s="18" t="n">
        <f aca="false">SUMPRODUCT($AB28:$AF28,Validation!$D$13:$H$13)</f>
        <v>2.1722222222218</v>
      </c>
      <c r="AO28" s="18" t="n">
        <f aca="false">SUMPRODUCT($AB28:$AF28,Validation!$D$14:$H$14)</f>
        <v>2.2077777777782</v>
      </c>
      <c r="AP28" s="18" t="n">
        <f aca="false">SUMPRODUCT($AB28:$AF28,Validation!$D$15:$H$15)</f>
        <v>2.1535294117649</v>
      </c>
      <c r="AQ28" s="18" t="n">
        <f aca="false">SUMPRODUCT($AB28:$AF28,Validation!$D$16:$H$16)</f>
        <v>2.2264705882351</v>
      </c>
      <c r="AR28" s="8" t="n">
        <f aca="false">COUNTIF($C28:$V28,"&gt;=4")</f>
        <v>4</v>
      </c>
      <c r="AS28" s="8" t="str">
        <f aca="false">IF($X28&lt;=1.6,"Low",IF($X28&lt;=2.2,"Medium","High"))</f>
        <v>Medium</v>
      </c>
      <c r="AT28" s="8" t="str">
        <f aca="false">IF($AR28=0,"Low",IF($AR28&lt;3,"Medium","High"))</f>
        <v>High</v>
      </c>
      <c r="AU28" s="8" t="str">
        <f aca="false">IF(OR($AS28="High",$AT28="High"),"High",IF(OR($AS28="Medium",$AT28="Medium"),"Medium","Low"))</f>
        <v>High</v>
      </c>
      <c r="AV28" s="15" t="str">
        <f aca="false">IF($Z28="Yes","High",$AU28)</f>
        <v>High</v>
      </c>
    </row>
    <row r="29" customFormat="false" ht="15" hidden="false" customHeight="false" outlineLevel="0" collapsed="false">
      <c r="A29" s="7" t="str">
        <f aca="false">Customers!$A29</f>
        <v>NG-10008</v>
      </c>
      <c r="B29" s="7" t="str">
        <f aca="false">Customers!$B29</f>
        <v>Personal</v>
      </c>
      <c r="C29" s="8" t="n">
        <f aca="false">INDEX(Mapping!$C$2:$C$99,MATCH(C$1&amp;"|"&amp;Customers!C29,Mapping!$D$2:$D$99,0))</f>
        <v>1</v>
      </c>
      <c r="D29" s="8" t="n">
        <f aca="false">INDEX(Mapping!$C$2:$C$99,MATCH(D$1&amp;"|"&amp;Customers!D29,Mapping!$D$2:$D$99,0))</f>
        <v>1</v>
      </c>
      <c r="E29" s="8" t="n">
        <f aca="false">INDEX(Mapping!$C$2:$C$99,MATCH(E$1&amp;"|"&amp;Customers!E29,Mapping!$D$2:$D$99,0))</f>
        <v>4</v>
      </c>
      <c r="F29" s="8" t="n">
        <f aca="false">INDEX(Mapping!$C$2:$C$99,MATCH(F$1&amp;"|"&amp;Customers!F29,Mapping!$D$2:$D$99,0))</f>
        <v>1</v>
      </c>
      <c r="G29" s="8" t="n">
        <f aca="false">INDEX(Mapping!$C$2:$C$99,MATCH(G$1&amp;"|"&amp;Customers!G29,Mapping!$D$2:$D$99,0))</f>
        <v>1</v>
      </c>
      <c r="H29" s="8" t="n">
        <f aca="false">INDEX(Mapping!$C$2:$C$99,MATCH(H$1&amp;"|"&amp;Customers!H29,Mapping!$D$2:$D$99,0))</f>
        <v>1</v>
      </c>
      <c r="I29" s="8" t="n">
        <f aca="false">INDEX(Mapping!$C$2:$C$99,MATCH(I$1&amp;"|"&amp;Customers!I29,Mapping!$D$2:$D$99,0))</f>
        <v>2</v>
      </c>
      <c r="J29" s="8" t="n">
        <f aca="false">INDEX(Mapping!$C$2:$C$99,MATCH(J$1&amp;"|"&amp;Customers!J29,Mapping!$D$2:$D$99,0))</f>
        <v>1</v>
      </c>
      <c r="K29" s="8" t="n">
        <f aca="false">INDEX(Mapping!$C$2:$C$99,MATCH(K$1&amp;"|"&amp;Customers!K29,Mapping!$D$2:$D$99,0))</f>
        <v>2</v>
      </c>
      <c r="L29" s="8" t="n">
        <f aca="false">INDEX(Mapping!$C$2:$C$99,MATCH(L$1&amp;"|"&amp;Customers!L29,Mapping!$D$2:$D$99,0))</f>
        <v>1</v>
      </c>
      <c r="M29" s="8" t="n">
        <f aca="false">INDEX(Mapping!$C$2:$C$99,MATCH(M$1&amp;"|"&amp;Customers!M29,Mapping!$D$2:$D$99,0))</f>
        <v>3</v>
      </c>
      <c r="N29" s="8" t="n">
        <f aca="false">INDEX(Mapping!$C$2:$C$99,MATCH(N$1&amp;"|"&amp;Customers!N29,Mapping!$D$2:$D$99,0))</f>
        <v>2</v>
      </c>
      <c r="O29" s="8" t="n">
        <f aca="false">INDEX(Mapping!$C$2:$C$99,MATCH(O$1&amp;"|"&amp;Customers!O29,Mapping!$D$2:$D$99,0))</f>
        <v>4</v>
      </c>
      <c r="P29" s="8" t="n">
        <f aca="false">INDEX(Mapping!$C$2:$C$99,MATCH(P$1&amp;"|"&amp;Customers!P29,Mapping!$D$2:$D$99,0))</f>
        <v>3</v>
      </c>
      <c r="Q29" s="8" t="n">
        <f aca="false">INDEX(Mapping!$C$2:$C$99,MATCH(Q$1&amp;"|"&amp;Customers!Q29,Mapping!$D$2:$D$99,0))</f>
        <v>4</v>
      </c>
      <c r="R29" s="8" t="n">
        <f aca="false">INDEX(Mapping!$C$2:$C$99,MATCH(R$1&amp;"|"&amp;Customers!R29,Mapping!$D$2:$D$99,0))</f>
        <v>3</v>
      </c>
      <c r="S29" s="8" t="n">
        <f aca="false">INDEX(Mapping!$C$2:$C$99,MATCH(S$1&amp;"|"&amp;Customers!S29,Mapping!$D$2:$D$99,0))</f>
        <v>1</v>
      </c>
      <c r="T29" s="8" t="n">
        <f aca="false">INDEX(Mapping!$C$2:$C$99,MATCH(T$1&amp;"|"&amp;Customers!T29,Mapping!$D$2:$D$99,0))</f>
        <v>1</v>
      </c>
      <c r="U29" s="8" t="n">
        <f aca="false">INDEX(Mapping!$C$2:$C$99,MATCH(U$1&amp;"|"&amp;Customers!U29,Mapping!$D$2:$D$99,0))</f>
        <v>1</v>
      </c>
      <c r="V29" s="8" t="n">
        <f aca="false">INDEX(Mapping!$C$2:$C$99,MATCH(V$1&amp;"|"&amp;Customers!V29,Mapping!$D$2:$D$99,0))</f>
        <v>1</v>
      </c>
      <c r="W29" s="17" t="n">
        <f aca="false">SUMPRODUCT($C29:$V29,Weights!$C$27:$V$27)</f>
        <v>1.815</v>
      </c>
      <c r="X29" s="18" t="n">
        <f aca="false">ROUND($W29,2)</f>
        <v>1.82</v>
      </c>
      <c r="Y29" s="8" t="str">
        <f aca="false">IF($X29&lt;=2,"Low",IF($X29&lt;=3.49,"Medium","High"))</f>
        <v>Low</v>
      </c>
      <c r="Z29" s="8" t="str">
        <f aca="false">IF(OR($F29&gt;=3,$E29=5,$D29=5,$C29=5,$G29=5,$H29=5,$I29=5,$J29=5,Customers!$W29="Yes"),"Yes","No")</f>
        <v>No</v>
      </c>
      <c r="AA29" s="15" t="str">
        <f aca="false">IF($Z29="Yes","High",$Y29)</f>
        <v>Low</v>
      </c>
      <c r="AB29" s="18" t="n">
        <f aca="false">SUMPRODUCT($C29:$G29,Weights!$C$28:$G$28)</f>
        <v>1.75</v>
      </c>
      <c r="AC29" s="18" t="n">
        <f aca="false">SUMPRODUCT($H29:$J29,Weights!$H$28:$J$28)</f>
        <v>1.2</v>
      </c>
      <c r="AD29" s="18" t="n">
        <f aca="false">SUMPRODUCT($K29:$N29,Weights!$K$28:$N$28)</f>
        <v>2</v>
      </c>
      <c r="AE29" s="18" t="n">
        <f aca="false">SUMPRODUCT($O29:$Q29,Weights!$O$28:$Q$28)</f>
        <v>3.65</v>
      </c>
      <c r="AF29" s="18" t="n">
        <f aca="false">SUMPRODUCT($R29:$V29,Weights!$R$28:$V$28)</f>
        <v>1.5</v>
      </c>
      <c r="AH29" s="18" t="n">
        <f aca="false">SUMPRODUCT($AB29:$AF29,Validation!$D$7:$H$7)</f>
        <v>1.8242857142862</v>
      </c>
      <c r="AI29" s="18" t="n">
        <f aca="false">SUMPRODUCT($AB29:$AF29,Validation!$D$8:$H$8)</f>
        <v>1.8057142857138</v>
      </c>
      <c r="AJ29" s="18" t="n">
        <f aca="false">SUMPRODUCT($AB29:$AF29,Validation!$D$9:$H$9)</f>
        <v>1.89699999999945</v>
      </c>
      <c r="AK29" s="18" t="n">
        <f aca="false">SUMPRODUCT($AB29:$AF29,Validation!$D$10:$H$10)</f>
        <v>1.73300000000055</v>
      </c>
      <c r="AL29" s="18" t="n">
        <f aca="false">SUMPRODUCT($AB29:$AF29,Validation!$D$11:$H$11)</f>
        <v>1.791875</v>
      </c>
      <c r="AM29" s="18" t="n">
        <f aca="false">SUMPRODUCT($AB29:$AF29,Validation!$D$12:$H$12)</f>
        <v>1.838125</v>
      </c>
      <c r="AN29" s="18" t="n">
        <f aca="false">SUMPRODUCT($AB29:$AF29,Validation!$D$13:$H$13)</f>
        <v>1.61111111111085</v>
      </c>
      <c r="AO29" s="18" t="n">
        <f aca="false">SUMPRODUCT($AB29:$AF29,Validation!$D$14:$H$14)</f>
        <v>2.01888888888915</v>
      </c>
      <c r="AP29" s="18" t="n">
        <f aca="false">SUMPRODUCT($AB29:$AF29,Validation!$D$15:$H$15)</f>
        <v>1.85205882352875</v>
      </c>
      <c r="AQ29" s="18" t="n">
        <f aca="false">SUMPRODUCT($AB29:$AF29,Validation!$D$16:$H$16)</f>
        <v>1.77794117647125</v>
      </c>
      <c r="AR29" s="8" t="n">
        <f aca="false">COUNTIF($C29:$V29,"&gt;=4")</f>
        <v>3</v>
      </c>
      <c r="AS29" s="8" t="str">
        <f aca="false">IF($X29&lt;=1.6,"Low",IF($X29&lt;=2.2,"Medium","High"))</f>
        <v>Medium</v>
      </c>
      <c r="AT29" s="8" t="str">
        <f aca="false">IF($AR29=0,"Low",IF($AR29&lt;3,"Medium","High"))</f>
        <v>High</v>
      </c>
      <c r="AU29" s="8" t="str">
        <f aca="false">IF(OR($AS29="High",$AT29="High"),"High",IF(OR($AS29="Medium",$AT29="Medium"),"Medium","Low"))</f>
        <v>High</v>
      </c>
      <c r="AV29" s="15" t="str">
        <f aca="false">IF($Z29="Yes","High",$AU29)</f>
        <v>High</v>
      </c>
    </row>
    <row r="30" customFormat="false" ht="15" hidden="false" customHeight="false" outlineLevel="0" collapsed="false">
      <c r="A30" s="7" t="str">
        <f aca="false">Customers!$A30</f>
        <v>NG-10282</v>
      </c>
      <c r="B30" s="7" t="str">
        <f aca="false">Customers!$B30</f>
        <v>Personal</v>
      </c>
      <c r="C30" s="8" t="n">
        <f aca="false">INDEX(Mapping!$C$2:$C$99,MATCH(C$1&amp;"|"&amp;Customers!C30,Mapping!$D$2:$D$99,0))</f>
        <v>1</v>
      </c>
      <c r="D30" s="8" t="n">
        <f aca="false">INDEX(Mapping!$C$2:$C$99,MATCH(D$1&amp;"|"&amp;Customers!D30,Mapping!$D$2:$D$99,0))</f>
        <v>1</v>
      </c>
      <c r="E30" s="8" t="n">
        <f aca="false">INDEX(Mapping!$C$2:$C$99,MATCH(E$1&amp;"|"&amp;Customers!E30,Mapping!$D$2:$D$99,0))</f>
        <v>1</v>
      </c>
      <c r="F30" s="8" t="n">
        <f aca="false">INDEX(Mapping!$C$2:$C$99,MATCH(F$1&amp;"|"&amp;Customers!F30,Mapping!$D$2:$D$99,0))</f>
        <v>1</v>
      </c>
      <c r="G30" s="8" t="n">
        <f aca="false">INDEX(Mapping!$C$2:$C$99,MATCH(G$1&amp;"|"&amp;Customers!G30,Mapping!$D$2:$D$99,0))</f>
        <v>1</v>
      </c>
      <c r="H30" s="8" t="n">
        <f aca="false">INDEX(Mapping!$C$2:$C$99,MATCH(H$1&amp;"|"&amp;Customers!H30,Mapping!$D$2:$D$99,0))</f>
        <v>1</v>
      </c>
      <c r="I30" s="8" t="n">
        <f aca="false">INDEX(Mapping!$C$2:$C$99,MATCH(I$1&amp;"|"&amp;Customers!I30,Mapping!$D$2:$D$99,0))</f>
        <v>1</v>
      </c>
      <c r="J30" s="8" t="n">
        <f aca="false">INDEX(Mapping!$C$2:$C$99,MATCH(J$1&amp;"|"&amp;Customers!J30,Mapping!$D$2:$D$99,0))</f>
        <v>1</v>
      </c>
      <c r="K30" s="8" t="n">
        <f aca="false">INDEX(Mapping!$C$2:$C$99,MATCH(K$1&amp;"|"&amp;Customers!K30,Mapping!$D$2:$D$99,0))</f>
        <v>2</v>
      </c>
      <c r="L30" s="8" t="n">
        <f aca="false">INDEX(Mapping!$C$2:$C$99,MATCH(L$1&amp;"|"&amp;Customers!L30,Mapping!$D$2:$D$99,0))</f>
        <v>2</v>
      </c>
      <c r="M30" s="8" t="n">
        <f aca="false">INDEX(Mapping!$C$2:$C$99,MATCH(M$1&amp;"|"&amp;Customers!M30,Mapping!$D$2:$D$99,0))</f>
        <v>2</v>
      </c>
      <c r="N30" s="8" t="n">
        <f aca="false">INDEX(Mapping!$C$2:$C$99,MATCH(N$1&amp;"|"&amp;Customers!N30,Mapping!$D$2:$D$99,0))</f>
        <v>1</v>
      </c>
      <c r="O30" s="8" t="n">
        <f aca="false">INDEX(Mapping!$C$2:$C$99,MATCH(O$1&amp;"|"&amp;Customers!O30,Mapping!$D$2:$D$99,0))</f>
        <v>4</v>
      </c>
      <c r="P30" s="8" t="n">
        <f aca="false">INDEX(Mapping!$C$2:$C$99,MATCH(P$1&amp;"|"&amp;Customers!P30,Mapping!$D$2:$D$99,0))</f>
        <v>3</v>
      </c>
      <c r="Q30" s="8" t="n">
        <f aca="false">INDEX(Mapping!$C$2:$C$99,MATCH(Q$1&amp;"|"&amp;Customers!Q30,Mapping!$D$2:$D$99,0))</f>
        <v>1</v>
      </c>
      <c r="R30" s="8" t="n">
        <f aca="false">INDEX(Mapping!$C$2:$C$99,MATCH(R$1&amp;"|"&amp;Customers!R30,Mapping!$D$2:$D$99,0))</f>
        <v>1</v>
      </c>
      <c r="S30" s="8" t="n">
        <f aca="false">INDEX(Mapping!$C$2:$C$99,MATCH(S$1&amp;"|"&amp;Customers!S30,Mapping!$D$2:$D$99,0))</f>
        <v>3</v>
      </c>
      <c r="T30" s="8" t="n">
        <f aca="false">INDEX(Mapping!$C$2:$C$99,MATCH(T$1&amp;"|"&amp;Customers!T30,Mapping!$D$2:$D$99,0))</f>
        <v>1</v>
      </c>
      <c r="U30" s="8" t="n">
        <f aca="false">INDEX(Mapping!$C$2:$C$99,MATCH(U$1&amp;"|"&amp;Customers!U30,Mapping!$D$2:$D$99,0))</f>
        <v>1</v>
      </c>
      <c r="V30" s="8" t="n">
        <f aca="false">INDEX(Mapping!$C$2:$C$99,MATCH(V$1&amp;"|"&amp;Customers!V30,Mapping!$D$2:$D$99,0))</f>
        <v>1</v>
      </c>
      <c r="W30" s="17" t="n">
        <f aca="false">SUMPRODUCT($C30:$V30,Weights!$C$27:$V$27)</f>
        <v>1.465</v>
      </c>
      <c r="X30" s="18" t="n">
        <f aca="false">ROUND($W30,2)</f>
        <v>1.47</v>
      </c>
      <c r="Y30" s="8" t="str">
        <f aca="false">IF($X30&lt;=2,"Low",IF($X30&lt;=3.49,"Medium","High"))</f>
        <v>Low</v>
      </c>
      <c r="Z30" s="8" t="str">
        <f aca="false">IF(OR($F30&gt;=3,$E30=5,$D30=5,$C30=5,$G30=5,$H30=5,$I30=5,$J30=5,Customers!$W30="Yes"),"Yes","No")</f>
        <v>No</v>
      </c>
      <c r="AA30" s="15" t="str">
        <f aca="false">IF($Z30="Yes","High",$Y30)</f>
        <v>Low</v>
      </c>
      <c r="AB30" s="18" t="n">
        <f aca="false">SUMPRODUCT($C30:$G30,Weights!$C$28:$G$28)</f>
        <v>1</v>
      </c>
      <c r="AC30" s="18" t="n">
        <f aca="false">SUMPRODUCT($H30:$J30,Weights!$H$28:$J$28)</f>
        <v>1</v>
      </c>
      <c r="AD30" s="18" t="n">
        <f aca="false">SUMPRODUCT($K30:$N30,Weights!$K$28:$N$28)</f>
        <v>1.85</v>
      </c>
      <c r="AE30" s="18" t="n">
        <f aca="false">SUMPRODUCT($O30:$Q30,Weights!$O$28:$Q$28)</f>
        <v>3.05</v>
      </c>
      <c r="AF30" s="18" t="n">
        <f aca="false">SUMPRODUCT($R30:$V30,Weights!$R$28:$V$28)</f>
        <v>1.6</v>
      </c>
      <c r="AH30" s="18" t="n">
        <f aca="false">SUMPRODUCT($AB30:$AF30,Validation!$D$7:$H$7)</f>
        <v>1.53142857142905</v>
      </c>
      <c r="AI30" s="18" t="n">
        <f aca="false">SUMPRODUCT($AB30:$AF30,Validation!$D$8:$H$8)</f>
        <v>1.39857142857095</v>
      </c>
      <c r="AJ30" s="18" t="n">
        <f aca="false">SUMPRODUCT($AB30:$AF30,Validation!$D$9:$H$9)</f>
        <v>1.5269999999996</v>
      </c>
      <c r="AK30" s="18" t="n">
        <f aca="false">SUMPRODUCT($AB30:$AF30,Validation!$D$10:$H$10)</f>
        <v>1.4030000000004</v>
      </c>
      <c r="AL30" s="18" t="n">
        <f aca="false">SUMPRODUCT($AB30:$AF30,Validation!$D$11:$H$11)</f>
        <v>1.416875</v>
      </c>
      <c r="AM30" s="18" t="n">
        <f aca="false">SUMPRODUCT($AB30:$AF30,Validation!$D$12:$H$12)</f>
        <v>1.513125</v>
      </c>
      <c r="AN30" s="18" t="n">
        <f aca="false">SUMPRODUCT($AB30:$AF30,Validation!$D$13:$H$13)</f>
        <v>1.2888888888889</v>
      </c>
      <c r="AO30" s="18" t="n">
        <f aca="false">SUMPRODUCT($AB30:$AF30,Validation!$D$14:$H$14)</f>
        <v>1.6411111111111</v>
      </c>
      <c r="AP30" s="18" t="n">
        <f aca="false">SUMPRODUCT($AB30:$AF30,Validation!$D$15:$H$15)</f>
        <v>1.44911764705835</v>
      </c>
      <c r="AQ30" s="18" t="n">
        <f aca="false">SUMPRODUCT($AB30:$AF30,Validation!$D$16:$H$16)</f>
        <v>1.48088235294165</v>
      </c>
      <c r="AR30" s="8" t="n">
        <f aca="false">COUNTIF($C30:$V30,"&gt;=4")</f>
        <v>1</v>
      </c>
      <c r="AS30" s="8" t="str">
        <f aca="false">IF($X30&lt;=1.6,"Low",IF($X30&lt;=2.2,"Medium","High"))</f>
        <v>Low</v>
      </c>
      <c r="AT30" s="8" t="str">
        <f aca="false">IF($AR30=0,"Low",IF($AR30&lt;3,"Medium","High"))</f>
        <v>Medium</v>
      </c>
      <c r="AU30" s="8" t="str">
        <f aca="false">IF(OR($AS30="High",$AT30="High"),"High",IF(OR($AS30="Medium",$AT30="Medium"),"Medium","Low"))</f>
        <v>Medium</v>
      </c>
      <c r="AV30" s="15" t="str">
        <f aca="false">IF($Z30="Yes","High",$AU30)</f>
        <v>Medium</v>
      </c>
    </row>
    <row r="31" customFormat="false" ht="15" hidden="false" customHeight="false" outlineLevel="0" collapsed="false">
      <c r="A31" s="7" t="str">
        <f aca="false">Customers!$A31</f>
        <v>NG-10172</v>
      </c>
      <c r="B31" s="7" t="str">
        <f aca="false">Customers!$B31</f>
        <v>Personal</v>
      </c>
      <c r="C31" s="8" t="n">
        <f aca="false">INDEX(Mapping!$C$2:$C$99,MATCH(C$1&amp;"|"&amp;Customers!C31,Mapping!$D$2:$D$99,0))</f>
        <v>1</v>
      </c>
      <c r="D31" s="8" t="n">
        <f aca="false">INDEX(Mapping!$C$2:$C$99,MATCH(D$1&amp;"|"&amp;Customers!D31,Mapping!$D$2:$D$99,0))</f>
        <v>1</v>
      </c>
      <c r="E31" s="8" t="n">
        <f aca="false">INDEX(Mapping!$C$2:$C$99,MATCH(E$1&amp;"|"&amp;Customers!E31,Mapping!$D$2:$D$99,0))</f>
        <v>1</v>
      </c>
      <c r="F31" s="8" t="n">
        <f aca="false">INDEX(Mapping!$C$2:$C$99,MATCH(F$1&amp;"|"&amp;Customers!F31,Mapping!$D$2:$D$99,0))</f>
        <v>1</v>
      </c>
      <c r="G31" s="8" t="n">
        <f aca="false">INDEX(Mapping!$C$2:$C$99,MATCH(G$1&amp;"|"&amp;Customers!G31,Mapping!$D$2:$D$99,0))</f>
        <v>1</v>
      </c>
      <c r="H31" s="8" t="n">
        <f aca="false">INDEX(Mapping!$C$2:$C$99,MATCH(H$1&amp;"|"&amp;Customers!H31,Mapping!$D$2:$D$99,0))</f>
        <v>1</v>
      </c>
      <c r="I31" s="8" t="n">
        <f aca="false">INDEX(Mapping!$C$2:$C$99,MATCH(I$1&amp;"|"&amp;Customers!I31,Mapping!$D$2:$D$99,0))</f>
        <v>1</v>
      </c>
      <c r="J31" s="8" t="n">
        <f aca="false">INDEX(Mapping!$C$2:$C$99,MATCH(J$1&amp;"|"&amp;Customers!J31,Mapping!$D$2:$D$99,0))</f>
        <v>1</v>
      </c>
      <c r="K31" s="8" t="n">
        <f aca="false">INDEX(Mapping!$C$2:$C$99,MATCH(K$1&amp;"|"&amp;Customers!K31,Mapping!$D$2:$D$99,0))</f>
        <v>1</v>
      </c>
      <c r="L31" s="8" t="n">
        <f aca="false">INDEX(Mapping!$C$2:$C$99,MATCH(L$1&amp;"|"&amp;Customers!L31,Mapping!$D$2:$D$99,0))</f>
        <v>3</v>
      </c>
      <c r="M31" s="8" t="n">
        <f aca="false">INDEX(Mapping!$C$2:$C$99,MATCH(M$1&amp;"|"&amp;Customers!M31,Mapping!$D$2:$D$99,0))</f>
        <v>1</v>
      </c>
      <c r="N31" s="8" t="n">
        <f aca="false">INDEX(Mapping!$C$2:$C$99,MATCH(N$1&amp;"|"&amp;Customers!N31,Mapping!$D$2:$D$99,0))</f>
        <v>1</v>
      </c>
      <c r="O31" s="8" t="n">
        <f aca="false">INDEX(Mapping!$C$2:$C$99,MATCH(O$1&amp;"|"&amp;Customers!O31,Mapping!$D$2:$D$99,0))</f>
        <v>3</v>
      </c>
      <c r="P31" s="8" t="n">
        <f aca="false">INDEX(Mapping!$C$2:$C$99,MATCH(P$1&amp;"|"&amp;Customers!P31,Mapping!$D$2:$D$99,0))</f>
        <v>3</v>
      </c>
      <c r="Q31" s="8" t="n">
        <f aca="false">INDEX(Mapping!$C$2:$C$99,MATCH(Q$1&amp;"|"&amp;Customers!Q31,Mapping!$D$2:$D$99,0))</f>
        <v>1</v>
      </c>
      <c r="R31" s="8" t="n">
        <f aca="false">INDEX(Mapping!$C$2:$C$99,MATCH(R$1&amp;"|"&amp;Customers!R31,Mapping!$D$2:$D$99,0))</f>
        <v>2</v>
      </c>
      <c r="S31" s="8" t="n">
        <f aca="false">INDEX(Mapping!$C$2:$C$99,MATCH(S$1&amp;"|"&amp;Customers!S31,Mapping!$D$2:$D$99,0))</f>
        <v>2</v>
      </c>
      <c r="T31" s="8" t="n">
        <f aca="false">INDEX(Mapping!$C$2:$C$99,MATCH(T$1&amp;"|"&amp;Customers!T31,Mapping!$D$2:$D$99,0))</f>
        <v>3</v>
      </c>
      <c r="U31" s="8" t="n">
        <f aca="false">INDEX(Mapping!$C$2:$C$99,MATCH(U$1&amp;"|"&amp;Customers!U31,Mapping!$D$2:$D$99,0))</f>
        <v>1</v>
      </c>
      <c r="V31" s="8" t="n">
        <f aca="false">INDEX(Mapping!$C$2:$C$99,MATCH(V$1&amp;"|"&amp;Customers!V31,Mapping!$D$2:$D$99,0))</f>
        <v>1</v>
      </c>
      <c r="W31" s="17" t="n">
        <f aca="false">SUMPRODUCT($C31:$V31,Weights!$C$27:$V$27)</f>
        <v>1.4025</v>
      </c>
      <c r="X31" s="18" t="n">
        <f aca="false">ROUND($W31,2)</f>
        <v>1.4</v>
      </c>
      <c r="Y31" s="8" t="str">
        <f aca="false">IF($X31&lt;=2,"Low",IF($X31&lt;=3.49,"Medium","High"))</f>
        <v>Low</v>
      </c>
      <c r="Z31" s="8" t="str">
        <f aca="false">IF(OR($F31&gt;=3,$E31=5,$D31=5,$C31=5,$G31=5,$H31=5,$I31=5,$J31=5,Customers!$W31="Yes"),"Yes","No")</f>
        <v>No</v>
      </c>
      <c r="AA31" s="15" t="str">
        <f aca="false">IF($Z31="Yes","High",$Y31)</f>
        <v>Low</v>
      </c>
      <c r="AB31" s="18" t="n">
        <f aca="false">SUMPRODUCT($C31:$G31,Weights!$C$28:$G$28)</f>
        <v>1</v>
      </c>
      <c r="AC31" s="18" t="n">
        <f aca="false">SUMPRODUCT($H31:$J31,Weights!$H$28:$J$28)</f>
        <v>1</v>
      </c>
      <c r="AD31" s="18" t="n">
        <f aca="false">SUMPRODUCT($K31:$N31,Weights!$K$28:$N$28)</f>
        <v>1.5</v>
      </c>
      <c r="AE31" s="18" t="n">
        <f aca="false">SUMPRODUCT($O31:$Q31,Weights!$O$28:$Q$28)</f>
        <v>2.6</v>
      </c>
      <c r="AF31" s="18" t="n">
        <f aca="false">SUMPRODUCT($R31:$V31,Weights!$R$28:$V$28)</f>
        <v>1.95</v>
      </c>
      <c r="AH31" s="18" t="n">
        <f aca="false">SUMPRODUCT($AB31:$AF31,Validation!$D$7:$H$7)</f>
        <v>1.46000000000065</v>
      </c>
      <c r="AI31" s="18" t="n">
        <f aca="false">SUMPRODUCT($AB31:$AF31,Validation!$D$8:$H$8)</f>
        <v>1.34499999999935</v>
      </c>
      <c r="AJ31" s="18" t="n">
        <f aca="false">SUMPRODUCT($AB31:$AF31,Validation!$D$9:$H$9)</f>
        <v>1.4561666666663</v>
      </c>
      <c r="AK31" s="18" t="n">
        <f aca="false">SUMPRODUCT($AB31:$AF31,Validation!$D$10:$H$10)</f>
        <v>1.3488333333337</v>
      </c>
      <c r="AL31" s="18" t="n">
        <f aca="false">SUMPRODUCT($AB31:$AF31,Validation!$D$11:$H$11)</f>
        <v>1.3903125</v>
      </c>
      <c r="AM31" s="18" t="n">
        <f aca="false">SUMPRODUCT($AB31:$AF31,Validation!$D$12:$H$12)</f>
        <v>1.4146875</v>
      </c>
      <c r="AN31" s="18" t="n">
        <f aca="false">SUMPRODUCT($AB31:$AF31,Validation!$D$13:$H$13)</f>
        <v>1.26944444444465</v>
      </c>
      <c r="AO31" s="18" t="n">
        <f aca="false">SUMPRODUCT($AB31:$AF31,Validation!$D$14:$H$14)</f>
        <v>1.53555555555535</v>
      </c>
      <c r="AP31" s="18" t="n">
        <f aca="false">SUMPRODUCT($AB31:$AF31,Validation!$D$15:$H$15)</f>
        <v>1.3380882352937</v>
      </c>
      <c r="AQ31" s="18" t="n">
        <f aca="false">SUMPRODUCT($AB31:$AF31,Validation!$D$16:$H$16)</f>
        <v>1.4669117647063</v>
      </c>
      <c r="AR31" s="8" t="n">
        <f aca="false">COUNTIF($C31:$V31,"&gt;=4")</f>
        <v>0</v>
      </c>
      <c r="AS31" s="8" t="str">
        <f aca="false">IF($X31&lt;=1.6,"Low",IF($X31&lt;=2.2,"Medium","High"))</f>
        <v>Low</v>
      </c>
      <c r="AT31" s="8" t="str">
        <f aca="false">IF($AR31=0,"Low",IF($AR31&lt;3,"Medium","High"))</f>
        <v>Low</v>
      </c>
      <c r="AU31" s="8" t="str">
        <f aca="false">IF(OR($AS31="High",$AT31="High"),"High",IF(OR($AS31="Medium",$AT31="Medium"),"Medium","Low"))</f>
        <v>Low</v>
      </c>
      <c r="AV31" s="15" t="str">
        <f aca="false">IF($Z31="Yes","High",$AU31)</f>
        <v>Low</v>
      </c>
    </row>
    <row r="32" customFormat="false" ht="15" hidden="false" customHeight="false" outlineLevel="0" collapsed="false">
      <c r="A32" s="7" t="str">
        <f aca="false">Customers!$A32</f>
        <v>NG-10143</v>
      </c>
      <c r="B32" s="7" t="str">
        <f aca="false">Customers!$B32</f>
        <v>Personal</v>
      </c>
      <c r="C32" s="8" t="n">
        <f aca="false">INDEX(Mapping!$C$2:$C$99,MATCH(C$1&amp;"|"&amp;Customers!C32,Mapping!$D$2:$D$99,0))</f>
        <v>1</v>
      </c>
      <c r="D32" s="8" t="n">
        <f aca="false">INDEX(Mapping!$C$2:$C$99,MATCH(D$1&amp;"|"&amp;Customers!D32,Mapping!$D$2:$D$99,0))</f>
        <v>1</v>
      </c>
      <c r="E32" s="8" t="n">
        <f aca="false">INDEX(Mapping!$C$2:$C$99,MATCH(E$1&amp;"|"&amp;Customers!E32,Mapping!$D$2:$D$99,0))</f>
        <v>1</v>
      </c>
      <c r="F32" s="8" t="n">
        <f aca="false">INDEX(Mapping!$C$2:$C$99,MATCH(F$1&amp;"|"&amp;Customers!F32,Mapping!$D$2:$D$99,0))</f>
        <v>1</v>
      </c>
      <c r="G32" s="8" t="n">
        <f aca="false">INDEX(Mapping!$C$2:$C$99,MATCH(G$1&amp;"|"&amp;Customers!G32,Mapping!$D$2:$D$99,0))</f>
        <v>1</v>
      </c>
      <c r="H32" s="8" t="n">
        <f aca="false">INDEX(Mapping!$C$2:$C$99,MATCH(H$1&amp;"|"&amp;Customers!H32,Mapping!$D$2:$D$99,0))</f>
        <v>1</v>
      </c>
      <c r="I32" s="8" t="n">
        <f aca="false">INDEX(Mapping!$C$2:$C$99,MATCH(I$1&amp;"|"&amp;Customers!I32,Mapping!$D$2:$D$99,0))</f>
        <v>1</v>
      </c>
      <c r="J32" s="8" t="n">
        <f aca="false">INDEX(Mapping!$C$2:$C$99,MATCH(J$1&amp;"|"&amp;Customers!J32,Mapping!$D$2:$D$99,0))</f>
        <v>1</v>
      </c>
      <c r="K32" s="8" t="n">
        <f aca="false">INDEX(Mapping!$C$2:$C$99,MATCH(K$1&amp;"|"&amp;Customers!K32,Mapping!$D$2:$D$99,0))</f>
        <v>2</v>
      </c>
      <c r="L32" s="8" t="n">
        <f aca="false">INDEX(Mapping!$C$2:$C$99,MATCH(L$1&amp;"|"&amp;Customers!L32,Mapping!$D$2:$D$99,0))</f>
        <v>3</v>
      </c>
      <c r="M32" s="8" t="n">
        <f aca="false">INDEX(Mapping!$C$2:$C$99,MATCH(M$1&amp;"|"&amp;Customers!M32,Mapping!$D$2:$D$99,0))</f>
        <v>2</v>
      </c>
      <c r="N32" s="8" t="n">
        <f aca="false">INDEX(Mapping!$C$2:$C$99,MATCH(N$1&amp;"|"&amp;Customers!N32,Mapping!$D$2:$D$99,0))</f>
        <v>1</v>
      </c>
      <c r="O32" s="8" t="n">
        <f aca="false">INDEX(Mapping!$C$2:$C$99,MATCH(O$1&amp;"|"&amp;Customers!O32,Mapping!$D$2:$D$99,0))</f>
        <v>3</v>
      </c>
      <c r="P32" s="8" t="n">
        <f aca="false">INDEX(Mapping!$C$2:$C$99,MATCH(P$1&amp;"|"&amp;Customers!P32,Mapping!$D$2:$D$99,0))</f>
        <v>3</v>
      </c>
      <c r="Q32" s="8" t="n">
        <f aca="false">INDEX(Mapping!$C$2:$C$99,MATCH(Q$1&amp;"|"&amp;Customers!Q32,Mapping!$D$2:$D$99,0))</f>
        <v>2</v>
      </c>
      <c r="R32" s="8" t="n">
        <f aca="false">INDEX(Mapping!$C$2:$C$99,MATCH(R$1&amp;"|"&amp;Customers!R32,Mapping!$D$2:$D$99,0))</f>
        <v>1</v>
      </c>
      <c r="S32" s="8" t="n">
        <f aca="false">INDEX(Mapping!$C$2:$C$99,MATCH(S$1&amp;"|"&amp;Customers!S32,Mapping!$D$2:$D$99,0))</f>
        <v>1</v>
      </c>
      <c r="T32" s="8" t="n">
        <f aca="false">INDEX(Mapping!$C$2:$C$99,MATCH(T$1&amp;"|"&amp;Customers!T32,Mapping!$D$2:$D$99,0))</f>
        <v>1</v>
      </c>
      <c r="U32" s="8" t="n">
        <f aca="false">INDEX(Mapping!$C$2:$C$99,MATCH(U$1&amp;"|"&amp;Customers!U32,Mapping!$D$2:$D$99,0))</f>
        <v>1</v>
      </c>
      <c r="V32" s="8" t="n">
        <f aca="false">INDEX(Mapping!$C$2:$C$99,MATCH(V$1&amp;"|"&amp;Customers!V32,Mapping!$D$2:$D$99,0))</f>
        <v>1</v>
      </c>
      <c r="W32" s="17" t="n">
        <f aca="false">SUMPRODUCT($C32:$V32,Weights!$C$27:$V$27)</f>
        <v>1.4</v>
      </c>
      <c r="X32" s="18" t="n">
        <f aca="false">ROUND($W32,2)</f>
        <v>1.4</v>
      </c>
      <c r="Y32" s="8" t="str">
        <f aca="false">IF($X32&lt;=2,"Low",IF($X32&lt;=3.49,"Medium","High"))</f>
        <v>Low</v>
      </c>
      <c r="Z32" s="8" t="str">
        <f aca="false">IF(OR($F32&gt;=3,$E32=5,$D32=5,$C32=5,$G32=5,$H32=5,$I32=5,$J32=5,Customers!$W32="Yes"),"Yes","No")</f>
        <v>No</v>
      </c>
      <c r="AA32" s="15" t="str">
        <f aca="false">IF($Z32="Yes","High",$Y32)</f>
        <v>Low</v>
      </c>
      <c r="AB32" s="18" t="n">
        <f aca="false">SUMPRODUCT($C32:$G32,Weights!$C$28:$G$28)</f>
        <v>1</v>
      </c>
      <c r="AC32" s="18" t="n">
        <f aca="false">SUMPRODUCT($H32:$J32,Weights!$H$28:$J$28)</f>
        <v>1</v>
      </c>
      <c r="AD32" s="18" t="n">
        <f aca="false">SUMPRODUCT($K32:$N32,Weights!$K$28:$N$28)</f>
        <v>2.1</v>
      </c>
      <c r="AE32" s="18" t="n">
        <f aca="false">SUMPRODUCT($O32:$Q32,Weights!$O$28:$Q$28)</f>
        <v>2.8</v>
      </c>
      <c r="AF32" s="18" t="n">
        <f aca="false">SUMPRODUCT($R32:$V32,Weights!$R$28:$V$28)</f>
        <v>1</v>
      </c>
      <c r="AH32" s="18" t="n">
        <f aca="false">SUMPRODUCT($AB32:$AF32,Validation!$D$7:$H$7)</f>
        <v>1.4571428571429</v>
      </c>
      <c r="AI32" s="18" t="n">
        <f aca="false">SUMPRODUCT($AB32:$AF32,Validation!$D$8:$H$8)</f>
        <v>1.3428571428571</v>
      </c>
      <c r="AJ32" s="18" t="n">
        <f aca="false">SUMPRODUCT($AB32:$AF32,Validation!$D$9:$H$9)</f>
        <v>1.4533333333331</v>
      </c>
      <c r="AK32" s="18" t="n">
        <f aca="false">SUMPRODUCT($AB32:$AF32,Validation!$D$10:$H$10)</f>
        <v>1.3466666666669</v>
      </c>
      <c r="AL32" s="18" t="n">
        <f aca="false">SUMPRODUCT($AB32:$AF32,Validation!$D$11:$H$11)</f>
        <v>1.3125</v>
      </c>
      <c r="AM32" s="18" t="n">
        <f aca="false">SUMPRODUCT($AB32:$AF32,Validation!$D$12:$H$12)</f>
        <v>1.4875</v>
      </c>
      <c r="AN32" s="18" t="n">
        <f aca="false">SUMPRODUCT($AB32:$AF32,Validation!$D$13:$H$13)</f>
        <v>1.2444444444442</v>
      </c>
      <c r="AO32" s="18" t="n">
        <f aca="false">SUMPRODUCT($AB32:$AF32,Validation!$D$14:$H$14)</f>
        <v>1.5555555555558</v>
      </c>
      <c r="AP32" s="18" t="n">
        <f aca="false">SUMPRODUCT($AB32:$AF32,Validation!$D$15:$H$15)</f>
        <v>1.4470588235291</v>
      </c>
      <c r="AQ32" s="18" t="n">
        <f aca="false">SUMPRODUCT($AB32:$AF32,Validation!$D$16:$H$16)</f>
        <v>1.3529411764709</v>
      </c>
      <c r="AR32" s="8" t="n">
        <f aca="false">COUNTIF($C32:$V32,"&gt;=4")</f>
        <v>0</v>
      </c>
      <c r="AS32" s="8" t="str">
        <f aca="false">IF($X32&lt;=1.6,"Low",IF($X32&lt;=2.2,"Medium","High"))</f>
        <v>Low</v>
      </c>
      <c r="AT32" s="8" t="str">
        <f aca="false">IF($AR32=0,"Low",IF($AR32&lt;3,"Medium","High"))</f>
        <v>Low</v>
      </c>
      <c r="AU32" s="8" t="str">
        <f aca="false">IF(OR($AS32="High",$AT32="High"),"High",IF(OR($AS32="Medium",$AT32="Medium"),"Medium","Low"))</f>
        <v>Low</v>
      </c>
      <c r="AV32" s="15" t="str">
        <f aca="false">IF($Z32="Yes","High",$AU32)</f>
        <v>Low</v>
      </c>
    </row>
    <row r="33" customFormat="false" ht="15" hidden="false" customHeight="false" outlineLevel="0" collapsed="false">
      <c r="A33" s="7" t="str">
        <f aca="false">Customers!$A33</f>
        <v>NG-10391</v>
      </c>
      <c r="B33" s="7" t="str">
        <f aca="false">Customers!$B33</f>
        <v>Limited company</v>
      </c>
      <c r="C33" s="8" t="n">
        <f aca="false">INDEX(Mapping!$C$2:$C$99,MATCH(C$1&amp;"|"&amp;Customers!C33,Mapping!$D$2:$D$99,0))</f>
        <v>3</v>
      </c>
      <c r="D33" s="8" t="n">
        <f aca="false">INDEX(Mapping!$C$2:$C$99,MATCH(D$1&amp;"|"&amp;Customers!D33,Mapping!$D$2:$D$99,0))</f>
        <v>2</v>
      </c>
      <c r="E33" s="8" t="n">
        <f aca="false">INDEX(Mapping!$C$2:$C$99,MATCH(E$1&amp;"|"&amp;Customers!E33,Mapping!$D$2:$D$99,0))</f>
        <v>3</v>
      </c>
      <c r="F33" s="8" t="n">
        <f aca="false">INDEX(Mapping!$C$2:$C$99,MATCH(F$1&amp;"|"&amp;Customers!F33,Mapping!$D$2:$D$99,0))</f>
        <v>1</v>
      </c>
      <c r="G33" s="8" t="n">
        <f aca="false">INDEX(Mapping!$C$2:$C$99,MATCH(G$1&amp;"|"&amp;Customers!G33,Mapping!$D$2:$D$99,0))</f>
        <v>1</v>
      </c>
      <c r="H33" s="8" t="n">
        <f aca="false">INDEX(Mapping!$C$2:$C$99,MATCH(H$1&amp;"|"&amp;Customers!H33,Mapping!$D$2:$D$99,0))</f>
        <v>1</v>
      </c>
      <c r="I33" s="8" t="n">
        <f aca="false">INDEX(Mapping!$C$2:$C$99,MATCH(I$1&amp;"|"&amp;Customers!I33,Mapping!$D$2:$D$99,0))</f>
        <v>1</v>
      </c>
      <c r="J33" s="8" t="n">
        <f aca="false">INDEX(Mapping!$C$2:$C$99,MATCH(J$1&amp;"|"&amp;Customers!J33,Mapping!$D$2:$D$99,0))</f>
        <v>1</v>
      </c>
      <c r="K33" s="8" t="n">
        <f aca="false">INDEX(Mapping!$C$2:$C$99,MATCH(K$1&amp;"|"&amp;Customers!K33,Mapping!$D$2:$D$99,0))</f>
        <v>5</v>
      </c>
      <c r="L33" s="8" t="n">
        <f aca="false">INDEX(Mapping!$C$2:$C$99,MATCH(L$1&amp;"|"&amp;Customers!L33,Mapping!$D$2:$D$99,0))</f>
        <v>5</v>
      </c>
      <c r="M33" s="8" t="n">
        <f aca="false">INDEX(Mapping!$C$2:$C$99,MATCH(M$1&amp;"|"&amp;Customers!M33,Mapping!$D$2:$D$99,0))</f>
        <v>1</v>
      </c>
      <c r="N33" s="8" t="n">
        <f aca="false">INDEX(Mapping!$C$2:$C$99,MATCH(N$1&amp;"|"&amp;Customers!N33,Mapping!$D$2:$D$99,0))</f>
        <v>3</v>
      </c>
      <c r="O33" s="8" t="n">
        <f aca="false">INDEX(Mapping!$C$2:$C$99,MATCH(O$1&amp;"|"&amp;Customers!O33,Mapping!$D$2:$D$99,0))</f>
        <v>2</v>
      </c>
      <c r="P33" s="8" t="n">
        <f aca="false">INDEX(Mapping!$C$2:$C$99,MATCH(P$1&amp;"|"&amp;Customers!P33,Mapping!$D$2:$D$99,0))</f>
        <v>4</v>
      </c>
      <c r="Q33" s="8" t="n">
        <f aca="false">INDEX(Mapping!$C$2:$C$99,MATCH(Q$1&amp;"|"&amp;Customers!Q33,Mapping!$D$2:$D$99,0))</f>
        <v>2</v>
      </c>
      <c r="R33" s="8" t="n">
        <f aca="false">INDEX(Mapping!$C$2:$C$99,MATCH(R$1&amp;"|"&amp;Customers!R33,Mapping!$D$2:$D$99,0))</f>
        <v>3</v>
      </c>
      <c r="S33" s="8" t="n">
        <f aca="false">INDEX(Mapping!$C$2:$C$99,MATCH(S$1&amp;"|"&amp;Customers!S33,Mapping!$D$2:$D$99,0))</f>
        <v>4</v>
      </c>
      <c r="T33" s="8" t="n">
        <f aca="false">INDEX(Mapping!$C$2:$C$99,MATCH(T$1&amp;"|"&amp;Customers!T33,Mapping!$D$2:$D$99,0))</f>
        <v>4</v>
      </c>
      <c r="U33" s="8" t="n">
        <f aca="false">INDEX(Mapping!$C$2:$C$99,MATCH(U$1&amp;"|"&amp;Customers!U33,Mapping!$D$2:$D$99,0))</f>
        <v>3</v>
      </c>
      <c r="V33" s="8" t="n">
        <f aca="false">INDEX(Mapping!$C$2:$C$99,MATCH(V$1&amp;"|"&amp;Customers!V33,Mapping!$D$2:$D$99,0))</f>
        <v>1</v>
      </c>
      <c r="W33" s="17" t="n">
        <f aca="false">SUMPRODUCT($C33:$V33,Weights!$C$27:$V$27)</f>
        <v>2.385</v>
      </c>
      <c r="X33" s="18" t="n">
        <f aca="false">ROUND($W33,2)</f>
        <v>2.39</v>
      </c>
      <c r="Y33" s="8" t="str">
        <f aca="false">IF($X33&lt;=2,"Low",IF($X33&lt;=3.49,"Medium","High"))</f>
        <v>Medium</v>
      </c>
      <c r="Z33" s="8" t="str">
        <f aca="false">IF(OR($F33&gt;=3,$E33=5,$D33=5,$C33=5,$G33=5,$H33=5,$I33=5,$J33=5,Customers!$W33="Yes"),"Yes","No")</f>
        <v>No</v>
      </c>
      <c r="AA33" s="15" t="str">
        <f aca="false">IF($Z33="Yes","High",$Y33)</f>
        <v>Medium</v>
      </c>
      <c r="AB33" s="18" t="n">
        <f aca="false">SUMPRODUCT($C33:$G33,Weights!$C$28:$G$28)</f>
        <v>2.1</v>
      </c>
      <c r="AC33" s="18" t="n">
        <f aca="false">SUMPRODUCT($H33:$J33,Weights!$H$28:$J$28)</f>
        <v>1</v>
      </c>
      <c r="AD33" s="18" t="n">
        <f aca="false">SUMPRODUCT($K33:$N33,Weights!$K$28:$N$28)</f>
        <v>3.7</v>
      </c>
      <c r="AE33" s="18" t="n">
        <f aca="false">SUMPRODUCT($O33:$Q33,Weights!$O$28:$Q$28)</f>
        <v>2.7</v>
      </c>
      <c r="AF33" s="18" t="n">
        <f aca="false">SUMPRODUCT($R33:$V33,Weights!$R$28:$V$28)</f>
        <v>3.3</v>
      </c>
      <c r="AH33" s="18" t="n">
        <f aca="false">SUMPRODUCT($AB33:$AF33,Validation!$D$7:$H$7)</f>
        <v>2.4257142857146</v>
      </c>
      <c r="AI33" s="18" t="n">
        <f aca="false">SUMPRODUCT($AB33:$AF33,Validation!$D$8:$H$8)</f>
        <v>2.3442857142854</v>
      </c>
      <c r="AJ33" s="18" t="n">
        <f aca="false">SUMPRODUCT($AB33:$AF33,Validation!$D$9:$H$9)</f>
        <v>2.569666666667</v>
      </c>
      <c r="AK33" s="18" t="n">
        <f aca="false">SUMPRODUCT($AB33:$AF33,Validation!$D$10:$H$10)</f>
        <v>2.200333333333</v>
      </c>
      <c r="AL33" s="18" t="n">
        <f aca="false">SUMPRODUCT($AB33:$AF33,Validation!$D$11:$H$11)</f>
        <v>2.220625</v>
      </c>
      <c r="AM33" s="18" t="n">
        <f aca="false">SUMPRODUCT($AB33:$AF33,Validation!$D$12:$H$12)</f>
        <v>2.549375</v>
      </c>
      <c r="AN33" s="18" t="n">
        <f aca="false">SUMPRODUCT($AB33:$AF33,Validation!$D$13:$H$13)</f>
        <v>2.3499999999998</v>
      </c>
      <c r="AO33" s="18" t="n">
        <f aca="false">SUMPRODUCT($AB33:$AF33,Validation!$D$14:$H$14)</f>
        <v>2.4200000000002</v>
      </c>
      <c r="AP33" s="18" t="n">
        <f aca="false">SUMPRODUCT($AB33:$AF33,Validation!$D$15:$H$15)</f>
        <v>2.2773529411766</v>
      </c>
      <c r="AQ33" s="18" t="n">
        <f aca="false">SUMPRODUCT($AB33:$AF33,Validation!$D$16:$H$16)</f>
        <v>2.4926470588234</v>
      </c>
      <c r="AR33" s="8" t="n">
        <f aca="false">COUNTIF($C33:$V33,"&gt;=4")</f>
        <v>5</v>
      </c>
      <c r="AS33" s="8" t="str">
        <f aca="false">IF($X33&lt;=1.6,"Low",IF($X33&lt;=2.2,"Medium","High"))</f>
        <v>High</v>
      </c>
      <c r="AT33" s="8" t="str">
        <f aca="false">IF($AR33=0,"Low",IF($AR33&lt;3,"Medium","High"))</f>
        <v>High</v>
      </c>
      <c r="AU33" s="8" t="str">
        <f aca="false">IF(OR($AS33="High",$AT33="High"),"High",IF(OR($AS33="Medium",$AT33="Medium"),"Medium","Low"))</f>
        <v>High</v>
      </c>
      <c r="AV33" s="15" t="str">
        <f aca="false">IF($Z33="Yes","High",$AU33)</f>
        <v>High</v>
      </c>
    </row>
    <row r="34" customFormat="false" ht="15" hidden="false" customHeight="false" outlineLevel="0" collapsed="false">
      <c r="A34" s="7" t="str">
        <f aca="false">Customers!$A34</f>
        <v>NG-10400</v>
      </c>
      <c r="B34" s="7" t="str">
        <f aca="false">Customers!$B34</f>
        <v>Limited company</v>
      </c>
      <c r="C34" s="8" t="n">
        <f aca="false">INDEX(Mapping!$C$2:$C$99,MATCH(C$1&amp;"|"&amp;Customers!C34,Mapping!$D$2:$D$99,0))</f>
        <v>4</v>
      </c>
      <c r="D34" s="8" t="n">
        <f aca="false">INDEX(Mapping!$C$2:$C$99,MATCH(D$1&amp;"|"&amp;Customers!D34,Mapping!$D$2:$D$99,0))</f>
        <v>2</v>
      </c>
      <c r="E34" s="8" t="n">
        <f aca="false">INDEX(Mapping!$C$2:$C$99,MATCH(E$1&amp;"|"&amp;Customers!E34,Mapping!$D$2:$D$99,0))</f>
        <v>2</v>
      </c>
      <c r="F34" s="8" t="n">
        <f aca="false">INDEX(Mapping!$C$2:$C$99,MATCH(F$1&amp;"|"&amp;Customers!F34,Mapping!$D$2:$D$99,0))</f>
        <v>1</v>
      </c>
      <c r="G34" s="8" t="n">
        <f aca="false">INDEX(Mapping!$C$2:$C$99,MATCH(G$1&amp;"|"&amp;Customers!G34,Mapping!$D$2:$D$99,0))</f>
        <v>1</v>
      </c>
      <c r="H34" s="8" t="n">
        <f aca="false">INDEX(Mapping!$C$2:$C$99,MATCH(H$1&amp;"|"&amp;Customers!H34,Mapping!$D$2:$D$99,0))</f>
        <v>1</v>
      </c>
      <c r="I34" s="8" t="n">
        <f aca="false">INDEX(Mapping!$C$2:$C$99,MATCH(I$1&amp;"|"&amp;Customers!I34,Mapping!$D$2:$D$99,0))</f>
        <v>2</v>
      </c>
      <c r="J34" s="8" t="n">
        <f aca="false">INDEX(Mapping!$C$2:$C$99,MATCH(J$1&amp;"|"&amp;Customers!J34,Mapping!$D$2:$D$99,0))</f>
        <v>1</v>
      </c>
      <c r="K34" s="8" t="n">
        <f aca="false">INDEX(Mapping!$C$2:$C$99,MATCH(K$1&amp;"|"&amp;Customers!K34,Mapping!$D$2:$D$99,0))</f>
        <v>5</v>
      </c>
      <c r="L34" s="8" t="n">
        <f aca="false">INDEX(Mapping!$C$2:$C$99,MATCH(L$1&amp;"|"&amp;Customers!L34,Mapping!$D$2:$D$99,0))</f>
        <v>5</v>
      </c>
      <c r="M34" s="8" t="n">
        <f aca="false">INDEX(Mapping!$C$2:$C$99,MATCH(M$1&amp;"|"&amp;Customers!M34,Mapping!$D$2:$D$99,0))</f>
        <v>2</v>
      </c>
      <c r="N34" s="8" t="n">
        <f aca="false">INDEX(Mapping!$C$2:$C$99,MATCH(N$1&amp;"|"&amp;Customers!N34,Mapping!$D$2:$D$99,0))</f>
        <v>1</v>
      </c>
      <c r="O34" s="8" t="n">
        <f aca="false">INDEX(Mapping!$C$2:$C$99,MATCH(O$1&amp;"|"&amp;Customers!O34,Mapping!$D$2:$D$99,0))</f>
        <v>5</v>
      </c>
      <c r="P34" s="8" t="n">
        <f aca="false">INDEX(Mapping!$C$2:$C$99,MATCH(P$1&amp;"|"&amp;Customers!P34,Mapping!$D$2:$D$99,0))</f>
        <v>2</v>
      </c>
      <c r="Q34" s="8" t="n">
        <f aca="false">INDEX(Mapping!$C$2:$C$99,MATCH(Q$1&amp;"|"&amp;Customers!Q34,Mapping!$D$2:$D$99,0))</f>
        <v>3</v>
      </c>
      <c r="R34" s="8" t="n">
        <f aca="false">INDEX(Mapping!$C$2:$C$99,MATCH(R$1&amp;"|"&amp;Customers!R34,Mapping!$D$2:$D$99,0))</f>
        <v>2</v>
      </c>
      <c r="S34" s="8" t="n">
        <f aca="false">INDEX(Mapping!$C$2:$C$99,MATCH(S$1&amp;"|"&amp;Customers!S34,Mapping!$D$2:$D$99,0))</f>
        <v>4</v>
      </c>
      <c r="T34" s="8" t="n">
        <f aca="false">INDEX(Mapping!$C$2:$C$99,MATCH(T$1&amp;"|"&amp;Customers!T34,Mapping!$D$2:$D$99,0))</f>
        <v>1</v>
      </c>
      <c r="U34" s="8" t="n">
        <f aca="false">INDEX(Mapping!$C$2:$C$99,MATCH(U$1&amp;"|"&amp;Customers!U34,Mapping!$D$2:$D$99,0))</f>
        <v>4</v>
      </c>
      <c r="V34" s="8" t="n">
        <f aca="false">INDEX(Mapping!$C$2:$C$99,MATCH(V$1&amp;"|"&amp;Customers!V34,Mapping!$D$2:$D$99,0))</f>
        <v>1</v>
      </c>
      <c r="W34" s="17" t="n">
        <f aca="false">SUMPRODUCT($C34:$V34,Weights!$C$27:$V$27)</f>
        <v>2.39</v>
      </c>
      <c r="X34" s="18" t="n">
        <f aca="false">ROUND($W34,2)</f>
        <v>2.39</v>
      </c>
      <c r="Y34" s="8" t="str">
        <f aca="false">IF($X34&lt;=2,"Low",IF($X34&lt;=3.49,"Medium","High"))</f>
        <v>Medium</v>
      </c>
      <c r="Z34" s="8" t="str">
        <f aca="false">IF(OR($F34&gt;=3,$E34=5,$D34=5,$C34=5,$G34=5,$H34=5,$I34=5,$J34=5,Customers!$W34="Yes"),"Yes","No")</f>
        <v>Yes</v>
      </c>
      <c r="AA34" s="15" t="str">
        <f aca="false">IF($Z34="Yes","High",$Y34)</f>
        <v>High</v>
      </c>
      <c r="AB34" s="18" t="n">
        <f aca="false">SUMPRODUCT($C34:$G34,Weights!$C$28:$G$28)</f>
        <v>2.05</v>
      </c>
      <c r="AC34" s="18" t="n">
        <f aca="false">SUMPRODUCT($H34:$J34,Weights!$H$28:$J$28)</f>
        <v>1.2</v>
      </c>
      <c r="AD34" s="18" t="n">
        <f aca="false">SUMPRODUCT($K34:$N34,Weights!$K$28:$N$28)</f>
        <v>3.65</v>
      </c>
      <c r="AE34" s="18" t="n">
        <f aca="false">SUMPRODUCT($O34:$Q34,Weights!$O$28:$Q$28)</f>
        <v>3.55</v>
      </c>
      <c r="AF34" s="18" t="n">
        <f aca="false">SUMPRODUCT($R34:$V34,Weights!$R$28:$V$28)</f>
        <v>2.6</v>
      </c>
      <c r="AH34" s="18" t="n">
        <f aca="false">SUMPRODUCT($AB34:$AF34,Validation!$D$7:$H$7)</f>
        <v>2.43857142857165</v>
      </c>
      <c r="AI34" s="18" t="n">
        <f aca="false">SUMPRODUCT($AB34:$AF34,Validation!$D$8:$H$8)</f>
        <v>2.34142857142835</v>
      </c>
      <c r="AJ34" s="18" t="n">
        <f aca="false">SUMPRODUCT($AB34:$AF34,Validation!$D$9:$H$9)</f>
        <v>2.5486666666667</v>
      </c>
      <c r="AK34" s="18" t="n">
        <f aca="false">SUMPRODUCT($AB34:$AF34,Validation!$D$10:$H$10)</f>
        <v>2.2313333333333</v>
      </c>
      <c r="AL34" s="18" t="n">
        <f aca="false">SUMPRODUCT($AB34:$AF34,Validation!$D$11:$H$11)</f>
        <v>2.2325</v>
      </c>
      <c r="AM34" s="18" t="n">
        <f aca="false">SUMPRODUCT($AB34:$AF34,Validation!$D$12:$H$12)</f>
        <v>2.5475</v>
      </c>
      <c r="AN34" s="18" t="n">
        <f aca="false">SUMPRODUCT($AB34:$AF34,Validation!$D$13:$H$13)</f>
        <v>2.26111111111075</v>
      </c>
      <c r="AO34" s="18" t="n">
        <f aca="false">SUMPRODUCT($AB34:$AF34,Validation!$D$14:$H$14)</f>
        <v>2.51888888888925</v>
      </c>
      <c r="AP34" s="18" t="n">
        <f aca="false">SUMPRODUCT($AB34:$AF34,Validation!$D$15:$H$15)</f>
        <v>2.3652941176469</v>
      </c>
      <c r="AQ34" s="18" t="n">
        <f aca="false">SUMPRODUCT($AB34:$AF34,Validation!$D$16:$H$16)</f>
        <v>2.4147058823531</v>
      </c>
      <c r="AR34" s="8" t="n">
        <f aca="false">COUNTIF($C34:$V34,"&gt;=4")</f>
        <v>6</v>
      </c>
      <c r="AS34" s="8" t="str">
        <f aca="false">IF($X34&lt;=1.6,"Low",IF($X34&lt;=2.2,"Medium","High"))</f>
        <v>High</v>
      </c>
      <c r="AT34" s="8" t="str">
        <f aca="false">IF($AR34=0,"Low",IF($AR34&lt;3,"Medium","High"))</f>
        <v>High</v>
      </c>
      <c r="AU34" s="8" t="str">
        <f aca="false">IF(OR($AS34="High",$AT34="High"),"High",IF(OR($AS34="Medium",$AT34="Medium"),"Medium","Low"))</f>
        <v>High</v>
      </c>
      <c r="AV34" s="15" t="str">
        <f aca="false">IF($Z34="Yes","High",$AU34)</f>
        <v>High</v>
      </c>
    </row>
    <row r="35" customFormat="false" ht="15" hidden="false" customHeight="false" outlineLevel="0" collapsed="false">
      <c r="A35" s="7" t="str">
        <f aca="false">Customers!$A35</f>
        <v>NG-10365</v>
      </c>
      <c r="B35" s="7" t="str">
        <f aca="false">Customers!$B35</f>
        <v>Limited company</v>
      </c>
      <c r="C35" s="8" t="n">
        <f aca="false">INDEX(Mapping!$C$2:$C$99,MATCH(C$1&amp;"|"&amp;Customers!C35,Mapping!$D$2:$D$99,0))</f>
        <v>5</v>
      </c>
      <c r="D35" s="8" t="n">
        <f aca="false">INDEX(Mapping!$C$2:$C$99,MATCH(D$1&amp;"|"&amp;Customers!D35,Mapping!$D$2:$D$99,0))</f>
        <v>2</v>
      </c>
      <c r="E35" s="8" t="n">
        <f aca="false">INDEX(Mapping!$C$2:$C$99,MATCH(E$1&amp;"|"&amp;Customers!E35,Mapping!$D$2:$D$99,0))</f>
        <v>3</v>
      </c>
      <c r="F35" s="8" t="n">
        <f aca="false">INDEX(Mapping!$C$2:$C$99,MATCH(F$1&amp;"|"&amp;Customers!F35,Mapping!$D$2:$D$99,0))</f>
        <v>1</v>
      </c>
      <c r="G35" s="8" t="n">
        <f aca="false">INDEX(Mapping!$C$2:$C$99,MATCH(G$1&amp;"|"&amp;Customers!G35,Mapping!$D$2:$D$99,0))</f>
        <v>1</v>
      </c>
      <c r="H35" s="8" t="n">
        <f aca="false">INDEX(Mapping!$C$2:$C$99,MATCH(H$1&amp;"|"&amp;Customers!H35,Mapping!$D$2:$D$99,0))</f>
        <v>1</v>
      </c>
      <c r="I35" s="8" t="n">
        <f aca="false">INDEX(Mapping!$C$2:$C$99,MATCH(I$1&amp;"|"&amp;Customers!I35,Mapping!$D$2:$D$99,0))</f>
        <v>1</v>
      </c>
      <c r="J35" s="8" t="n">
        <f aca="false">INDEX(Mapping!$C$2:$C$99,MATCH(J$1&amp;"|"&amp;Customers!J35,Mapping!$D$2:$D$99,0))</f>
        <v>1</v>
      </c>
      <c r="K35" s="8" t="n">
        <f aca="false">INDEX(Mapping!$C$2:$C$99,MATCH(K$1&amp;"|"&amp;Customers!K35,Mapping!$D$2:$D$99,0))</f>
        <v>4</v>
      </c>
      <c r="L35" s="8" t="n">
        <f aca="false">INDEX(Mapping!$C$2:$C$99,MATCH(L$1&amp;"|"&amp;Customers!L35,Mapping!$D$2:$D$99,0))</f>
        <v>2</v>
      </c>
      <c r="M35" s="8" t="n">
        <f aca="false">INDEX(Mapping!$C$2:$C$99,MATCH(M$1&amp;"|"&amp;Customers!M35,Mapping!$D$2:$D$99,0))</f>
        <v>2</v>
      </c>
      <c r="N35" s="8" t="n">
        <f aca="false">INDEX(Mapping!$C$2:$C$99,MATCH(N$1&amp;"|"&amp;Customers!N35,Mapping!$D$2:$D$99,0))</f>
        <v>1</v>
      </c>
      <c r="O35" s="8" t="n">
        <f aca="false">INDEX(Mapping!$C$2:$C$99,MATCH(O$1&amp;"|"&amp;Customers!O35,Mapping!$D$2:$D$99,0))</f>
        <v>4</v>
      </c>
      <c r="P35" s="8" t="n">
        <f aca="false">INDEX(Mapping!$C$2:$C$99,MATCH(P$1&amp;"|"&amp;Customers!P35,Mapping!$D$2:$D$99,0))</f>
        <v>2</v>
      </c>
      <c r="Q35" s="8" t="n">
        <f aca="false">INDEX(Mapping!$C$2:$C$99,MATCH(Q$1&amp;"|"&amp;Customers!Q35,Mapping!$D$2:$D$99,0))</f>
        <v>1</v>
      </c>
      <c r="R35" s="8" t="n">
        <f aca="false">INDEX(Mapping!$C$2:$C$99,MATCH(R$1&amp;"|"&amp;Customers!R35,Mapping!$D$2:$D$99,0))</f>
        <v>1</v>
      </c>
      <c r="S35" s="8" t="n">
        <f aca="false">INDEX(Mapping!$C$2:$C$99,MATCH(S$1&amp;"|"&amp;Customers!S35,Mapping!$D$2:$D$99,0))</f>
        <v>3</v>
      </c>
      <c r="T35" s="8" t="n">
        <f aca="false">INDEX(Mapping!$C$2:$C$99,MATCH(T$1&amp;"|"&amp;Customers!T35,Mapping!$D$2:$D$99,0))</f>
        <v>4</v>
      </c>
      <c r="U35" s="8" t="n">
        <f aca="false">INDEX(Mapping!$C$2:$C$99,MATCH(U$1&amp;"|"&amp;Customers!U35,Mapping!$D$2:$D$99,0))</f>
        <v>3</v>
      </c>
      <c r="V35" s="8" t="n">
        <f aca="false">INDEX(Mapping!$C$2:$C$99,MATCH(V$1&amp;"|"&amp;Customers!V35,Mapping!$D$2:$D$99,0))</f>
        <v>1</v>
      </c>
      <c r="W35" s="17" t="n">
        <f aca="false">SUMPRODUCT($C35:$V35,Weights!$C$27:$V$27)</f>
        <v>2.155</v>
      </c>
      <c r="X35" s="18" t="n">
        <f aca="false">ROUND($W35,2)</f>
        <v>2.16</v>
      </c>
      <c r="Y35" s="8" t="str">
        <f aca="false">IF($X35&lt;=2,"Low",IF($X35&lt;=3.49,"Medium","High"))</f>
        <v>Medium</v>
      </c>
      <c r="Z35" s="8" t="str">
        <f aca="false">IF(OR($F35&gt;=3,$E35=5,$D35=5,$C35=5,$G35=5,$H35=5,$I35=5,$J35=5,Customers!$W35="Yes"),"Yes","No")</f>
        <v>Yes</v>
      </c>
      <c r="AA35" s="15" t="str">
        <f aca="false">IF($Z35="Yes","High",$Y35)</f>
        <v>High</v>
      </c>
      <c r="AB35" s="18" t="n">
        <f aca="false">SUMPRODUCT($C35:$G35,Weights!$C$28:$G$28)</f>
        <v>2.5</v>
      </c>
      <c r="AC35" s="18" t="n">
        <f aca="false">SUMPRODUCT($H35:$J35,Weights!$H$28:$J$28)</f>
        <v>1</v>
      </c>
      <c r="AD35" s="18" t="n">
        <f aca="false">SUMPRODUCT($K35:$N35,Weights!$K$28:$N$28)</f>
        <v>2.55</v>
      </c>
      <c r="AE35" s="18" t="n">
        <f aca="false">SUMPRODUCT($O35:$Q35,Weights!$O$28:$Q$28)</f>
        <v>2.7</v>
      </c>
      <c r="AF35" s="18" t="n">
        <f aca="false">SUMPRODUCT($R35:$V35,Weights!$R$28:$V$28)</f>
        <v>2.5</v>
      </c>
      <c r="AH35" s="18" t="n">
        <f aca="false">SUMPRODUCT($AB35:$AF35,Validation!$D$7:$H$7)</f>
        <v>2.10571428571475</v>
      </c>
      <c r="AI35" s="18" t="n">
        <f aca="false">SUMPRODUCT($AB35:$AF35,Validation!$D$8:$H$8)</f>
        <v>2.20428571428525</v>
      </c>
      <c r="AJ35" s="18" t="n">
        <f aca="false">SUMPRODUCT($AB35:$AF35,Validation!$D$9:$H$9)</f>
        <v>2.30899999999995</v>
      </c>
      <c r="AK35" s="18" t="n">
        <f aca="false">SUMPRODUCT($AB35:$AF35,Validation!$D$10:$H$10)</f>
        <v>2.00100000000005</v>
      </c>
      <c r="AL35" s="18" t="n">
        <f aca="false">SUMPRODUCT($AB35:$AF35,Validation!$D$11:$H$11)</f>
        <v>2.105625</v>
      </c>
      <c r="AM35" s="18" t="n">
        <f aca="false">SUMPRODUCT($AB35:$AF35,Validation!$D$12:$H$12)</f>
        <v>2.204375</v>
      </c>
      <c r="AN35" s="18" t="n">
        <f aca="false">SUMPRODUCT($AB35:$AF35,Validation!$D$13:$H$13)</f>
        <v>2.0944444444441</v>
      </c>
      <c r="AO35" s="18" t="n">
        <f aca="false">SUMPRODUCT($AB35:$AF35,Validation!$D$14:$H$14)</f>
        <v>2.2155555555559</v>
      </c>
      <c r="AP35" s="18" t="n">
        <f aca="false">SUMPRODUCT($AB35:$AF35,Validation!$D$15:$H$15)</f>
        <v>2.11441176470565</v>
      </c>
      <c r="AQ35" s="18" t="n">
        <f aca="false">SUMPRODUCT($AB35:$AF35,Validation!$D$16:$H$16)</f>
        <v>2.19558823529435</v>
      </c>
      <c r="AR35" s="8" t="n">
        <f aca="false">COUNTIF($C35:$V35,"&gt;=4")</f>
        <v>4</v>
      </c>
      <c r="AS35" s="8" t="str">
        <f aca="false">IF($X35&lt;=1.6,"Low",IF($X35&lt;=2.2,"Medium","High"))</f>
        <v>Medium</v>
      </c>
      <c r="AT35" s="8" t="str">
        <f aca="false">IF($AR35=0,"Low",IF($AR35&lt;3,"Medium","High"))</f>
        <v>High</v>
      </c>
      <c r="AU35" s="8" t="str">
        <f aca="false">IF(OR($AS35="High",$AT35="High"),"High",IF(OR($AS35="Medium",$AT35="Medium"),"Medium","Low"))</f>
        <v>High</v>
      </c>
      <c r="AV35" s="15" t="str">
        <f aca="false">IF($Z35="Yes","High",$AU35)</f>
        <v>High</v>
      </c>
    </row>
    <row r="36" customFormat="false" ht="15" hidden="false" customHeight="false" outlineLevel="0" collapsed="false">
      <c r="A36" s="7" t="str">
        <f aca="false">Customers!$A36</f>
        <v>NG-10149</v>
      </c>
      <c r="B36" s="7" t="str">
        <f aca="false">Customers!$B36</f>
        <v>Personal</v>
      </c>
      <c r="C36" s="8" t="n">
        <f aca="false">INDEX(Mapping!$C$2:$C$99,MATCH(C$1&amp;"|"&amp;Customers!C36,Mapping!$D$2:$D$99,0))</f>
        <v>1</v>
      </c>
      <c r="D36" s="8" t="n">
        <f aca="false">INDEX(Mapping!$C$2:$C$99,MATCH(D$1&amp;"|"&amp;Customers!D36,Mapping!$D$2:$D$99,0))</f>
        <v>1</v>
      </c>
      <c r="E36" s="8" t="n">
        <f aca="false">INDEX(Mapping!$C$2:$C$99,MATCH(E$1&amp;"|"&amp;Customers!E36,Mapping!$D$2:$D$99,0))</f>
        <v>1</v>
      </c>
      <c r="F36" s="8" t="n">
        <f aca="false">INDEX(Mapping!$C$2:$C$99,MATCH(F$1&amp;"|"&amp;Customers!F36,Mapping!$D$2:$D$99,0))</f>
        <v>1</v>
      </c>
      <c r="G36" s="8" t="n">
        <f aca="false">INDEX(Mapping!$C$2:$C$99,MATCH(G$1&amp;"|"&amp;Customers!G36,Mapping!$D$2:$D$99,0))</f>
        <v>1</v>
      </c>
      <c r="H36" s="8" t="n">
        <f aca="false">INDEX(Mapping!$C$2:$C$99,MATCH(H$1&amp;"|"&amp;Customers!H36,Mapping!$D$2:$D$99,0))</f>
        <v>1</v>
      </c>
      <c r="I36" s="8" t="n">
        <f aca="false">INDEX(Mapping!$C$2:$C$99,MATCH(I$1&amp;"|"&amp;Customers!I36,Mapping!$D$2:$D$99,0))</f>
        <v>1</v>
      </c>
      <c r="J36" s="8" t="n">
        <f aca="false">INDEX(Mapping!$C$2:$C$99,MATCH(J$1&amp;"|"&amp;Customers!J36,Mapping!$D$2:$D$99,0))</f>
        <v>1</v>
      </c>
      <c r="K36" s="8" t="n">
        <f aca="false">INDEX(Mapping!$C$2:$C$99,MATCH(K$1&amp;"|"&amp;Customers!K36,Mapping!$D$2:$D$99,0))</f>
        <v>1</v>
      </c>
      <c r="L36" s="8" t="n">
        <f aca="false">INDEX(Mapping!$C$2:$C$99,MATCH(L$1&amp;"|"&amp;Customers!L36,Mapping!$D$2:$D$99,0))</f>
        <v>3</v>
      </c>
      <c r="M36" s="8" t="n">
        <f aca="false">INDEX(Mapping!$C$2:$C$99,MATCH(M$1&amp;"|"&amp;Customers!M36,Mapping!$D$2:$D$99,0))</f>
        <v>1</v>
      </c>
      <c r="N36" s="8" t="n">
        <f aca="false">INDEX(Mapping!$C$2:$C$99,MATCH(N$1&amp;"|"&amp;Customers!N36,Mapping!$D$2:$D$99,0))</f>
        <v>1</v>
      </c>
      <c r="O36" s="8" t="n">
        <f aca="false">INDEX(Mapping!$C$2:$C$99,MATCH(O$1&amp;"|"&amp;Customers!O36,Mapping!$D$2:$D$99,0))</f>
        <v>3</v>
      </c>
      <c r="P36" s="8" t="n">
        <f aca="false">INDEX(Mapping!$C$2:$C$99,MATCH(P$1&amp;"|"&amp;Customers!P36,Mapping!$D$2:$D$99,0))</f>
        <v>4</v>
      </c>
      <c r="Q36" s="8" t="n">
        <f aca="false">INDEX(Mapping!$C$2:$C$99,MATCH(Q$1&amp;"|"&amp;Customers!Q36,Mapping!$D$2:$D$99,0))</f>
        <v>1</v>
      </c>
      <c r="R36" s="8" t="n">
        <f aca="false">INDEX(Mapping!$C$2:$C$99,MATCH(R$1&amp;"|"&amp;Customers!R36,Mapping!$D$2:$D$99,0))</f>
        <v>2</v>
      </c>
      <c r="S36" s="8" t="n">
        <f aca="false">INDEX(Mapping!$C$2:$C$99,MATCH(S$1&amp;"|"&amp;Customers!S36,Mapping!$D$2:$D$99,0))</f>
        <v>1</v>
      </c>
      <c r="T36" s="8" t="n">
        <f aca="false">INDEX(Mapping!$C$2:$C$99,MATCH(T$1&amp;"|"&amp;Customers!T36,Mapping!$D$2:$D$99,0))</f>
        <v>1</v>
      </c>
      <c r="U36" s="8" t="n">
        <f aca="false">INDEX(Mapping!$C$2:$C$99,MATCH(U$1&amp;"|"&amp;Customers!U36,Mapping!$D$2:$D$99,0))</f>
        <v>2</v>
      </c>
      <c r="V36" s="8" t="n">
        <f aca="false">INDEX(Mapping!$C$2:$C$99,MATCH(V$1&amp;"|"&amp;Customers!V36,Mapping!$D$2:$D$99,0))</f>
        <v>1</v>
      </c>
      <c r="W36" s="17" t="n">
        <f aca="false">SUMPRODUCT($C36:$V36,Weights!$C$27:$V$27)</f>
        <v>1.355</v>
      </c>
      <c r="X36" s="18" t="n">
        <f aca="false">ROUND($W36,2)</f>
        <v>1.36</v>
      </c>
      <c r="Y36" s="8" t="str">
        <f aca="false">IF($X36&lt;=2,"Low",IF($X36&lt;=3.49,"Medium","High"))</f>
        <v>Low</v>
      </c>
      <c r="Z36" s="8" t="str">
        <f aca="false">IF(OR($F36&gt;=3,$E36=5,$D36=5,$C36=5,$G36=5,$H36=5,$I36=5,$J36=5,Customers!$W36="Yes"),"Yes","No")</f>
        <v>No</v>
      </c>
      <c r="AA36" s="15" t="str">
        <f aca="false">IF($Z36="Yes","High",$Y36)</f>
        <v>Low</v>
      </c>
      <c r="AB36" s="18" t="n">
        <f aca="false">SUMPRODUCT($C36:$G36,Weights!$C$28:$G$28)</f>
        <v>1</v>
      </c>
      <c r="AC36" s="18" t="n">
        <f aca="false">SUMPRODUCT($H36:$J36,Weights!$H$28:$J$28)</f>
        <v>1</v>
      </c>
      <c r="AD36" s="18" t="n">
        <f aca="false">SUMPRODUCT($K36:$N36,Weights!$K$28:$N$28)</f>
        <v>1.5</v>
      </c>
      <c r="AE36" s="18" t="n">
        <f aca="false">SUMPRODUCT($O36:$Q36,Weights!$O$28:$Q$28)</f>
        <v>2.95</v>
      </c>
      <c r="AF36" s="18" t="n">
        <f aca="false">SUMPRODUCT($R36:$V36,Weights!$R$28:$V$28)</f>
        <v>1.4</v>
      </c>
      <c r="AH36" s="18" t="n">
        <f aca="false">SUMPRODUCT($AB36:$AF36,Validation!$D$7:$H$7)</f>
        <v>1.4057142857148</v>
      </c>
      <c r="AI36" s="18" t="n">
        <f aca="false">SUMPRODUCT($AB36:$AF36,Validation!$D$8:$H$8)</f>
        <v>1.3042857142852</v>
      </c>
      <c r="AJ36" s="18" t="n">
        <f aca="false">SUMPRODUCT($AB36:$AF36,Validation!$D$9:$H$9)</f>
        <v>1.40233333333285</v>
      </c>
      <c r="AK36" s="18" t="n">
        <f aca="false">SUMPRODUCT($AB36:$AF36,Validation!$D$10:$H$10)</f>
        <v>1.30766666666715</v>
      </c>
      <c r="AL36" s="18" t="n">
        <f aca="false">SUMPRODUCT($AB36:$AF36,Validation!$D$11:$H$11)</f>
        <v>1.336875</v>
      </c>
      <c r="AM36" s="18" t="n">
        <f aca="false">SUMPRODUCT($AB36:$AF36,Validation!$D$12:$H$12)</f>
        <v>1.373125</v>
      </c>
      <c r="AN36" s="18" t="n">
        <f aca="false">SUMPRODUCT($AB36:$AF36,Validation!$D$13:$H$13)</f>
        <v>1.1777777777778</v>
      </c>
      <c r="AO36" s="18" t="n">
        <f aca="false">SUMPRODUCT($AB36:$AF36,Validation!$D$14:$H$14)</f>
        <v>1.5322222222222</v>
      </c>
      <c r="AP36" s="18" t="n">
        <f aca="false">SUMPRODUCT($AB36:$AF36,Validation!$D$15:$H$15)</f>
        <v>1.3497058823524</v>
      </c>
      <c r="AQ36" s="18" t="n">
        <f aca="false">SUMPRODUCT($AB36:$AF36,Validation!$D$16:$H$16)</f>
        <v>1.3602941176476</v>
      </c>
      <c r="AR36" s="8" t="n">
        <f aca="false">COUNTIF($C36:$V36,"&gt;=4")</f>
        <v>1</v>
      </c>
      <c r="AS36" s="8" t="str">
        <f aca="false">IF($X36&lt;=1.6,"Low",IF($X36&lt;=2.2,"Medium","High"))</f>
        <v>Low</v>
      </c>
      <c r="AT36" s="8" t="str">
        <f aca="false">IF($AR36=0,"Low",IF($AR36&lt;3,"Medium","High"))</f>
        <v>Medium</v>
      </c>
      <c r="AU36" s="8" t="str">
        <f aca="false">IF(OR($AS36="High",$AT36="High"),"High",IF(OR($AS36="Medium",$AT36="Medium"),"Medium","Low"))</f>
        <v>Medium</v>
      </c>
      <c r="AV36" s="15" t="str">
        <f aca="false">IF($Z36="Yes","High",$AU36)</f>
        <v>Medium</v>
      </c>
    </row>
    <row r="37" customFormat="false" ht="15" hidden="false" customHeight="false" outlineLevel="0" collapsed="false">
      <c r="A37" s="7" t="str">
        <f aca="false">Customers!$A37</f>
        <v>NG-10383</v>
      </c>
      <c r="B37" s="7" t="str">
        <f aca="false">Customers!$B37</f>
        <v>Limited company</v>
      </c>
      <c r="C37" s="8" t="n">
        <f aca="false">INDEX(Mapping!$C$2:$C$99,MATCH(C$1&amp;"|"&amp;Customers!C37,Mapping!$D$2:$D$99,0))</f>
        <v>5</v>
      </c>
      <c r="D37" s="8" t="n">
        <f aca="false">INDEX(Mapping!$C$2:$C$99,MATCH(D$1&amp;"|"&amp;Customers!D37,Mapping!$D$2:$D$99,0))</f>
        <v>2</v>
      </c>
      <c r="E37" s="8" t="n">
        <f aca="false">INDEX(Mapping!$C$2:$C$99,MATCH(E$1&amp;"|"&amp;Customers!E37,Mapping!$D$2:$D$99,0))</f>
        <v>2</v>
      </c>
      <c r="F37" s="8" t="n">
        <f aca="false">INDEX(Mapping!$C$2:$C$99,MATCH(F$1&amp;"|"&amp;Customers!F37,Mapping!$D$2:$D$99,0))</f>
        <v>1</v>
      </c>
      <c r="G37" s="8" t="n">
        <f aca="false">INDEX(Mapping!$C$2:$C$99,MATCH(G$1&amp;"|"&amp;Customers!G37,Mapping!$D$2:$D$99,0))</f>
        <v>1</v>
      </c>
      <c r="H37" s="8" t="n">
        <f aca="false">INDEX(Mapping!$C$2:$C$99,MATCH(H$1&amp;"|"&amp;Customers!H37,Mapping!$D$2:$D$99,0))</f>
        <v>1</v>
      </c>
      <c r="I37" s="8" t="n">
        <f aca="false">INDEX(Mapping!$C$2:$C$99,MATCH(I$1&amp;"|"&amp;Customers!I37,Mapping!$D$2:$D$99,0))</f>
        <v>1</v>
      </c>
      <c r="J37" s="8" t="n">
        <f aca="false">INDEX(Mapping!$C$2:$C$99,MATCH(J$1&amp;"|"&amp;Customers!J37,Mapping!$D$2:$D$99,0))</f>
        <v>3</v>
      </c>
      <c r="K37" s="8" t="n">
        <f aca="false">INDEX(Mapping!$C$2:$C$99,MATCH(K$1&amp;"|"&amp;Customers!K37,Mapping!$D$2:$D$99,0))</f>
        <v>4</v>
      </c>
      <c r="L37" s="8" t="n">
        <f aca="false">INDEX(Mapping!$C$2:$C$99,MATCH(L$1&amp;"|"&amp;Customers!L37,Mapping!$D$2:$D$99,0))</f>
        <v>4</v>
      </c>
      <c r="M37" s="8" t="n">
        <f aca="false">INDEX(Mapping!$C$2:$C$99,MATCH(M$1&amp;"|"&amp;Customers!M37,Mapping!$D$2:$D$99,0))</f>
        <v>3</v>
      </c>
      <c r="N37" s="8" t="n">
        <f aca="false">INDEX(Mapping!$C$2:$C$99,MATCH(N$1&amp;"|"&amp;Customers!N37,Mapping!$D$2:$D$99,0))</f>
        <v>4</v>
      </c>
      <c r="O37" s="8" t="n">
        <f aca="false">INDEX(Mapping!$C$2:$C$99,MATCH(O$1&amp;"|"&amp;Customers!O37,Mapping!$D$2:$D$99,0))</f>
        <v>3</v>
      </c>
      <c r="P37" s="8" t="n">
        <f aca="false">INDEX(Mapping!$C$2:$C$99,MATCH(P$1&amp;"|"&amp;Customers!P37,Mapping!$D$2:$D$99,0))</f>
        <v>4</v>
      </c>
      <c r="Q37" s="8" t="n">
        <f aca="false">INDEX(Mapping!$C$2:$C$99,MATCH(Q$1&amp;"|"&amp;Customers!Q37,Mapping!$D$2:$D$99,0))</f>
        <v>1</v>
      </c>
      <c r="R37" s="8" t="n">
        <f aca="false">INDEX(Mapping!$C$2:$C$99,MATCH(R$1&amp;"|"&amp;Customers!R37,Mapping!$D$2:$D$99,0))</f>
        <v>2</v>
      </c>
      <c r="S37" s="8" t="n">
        <f aca="false">INDEX(Mapping!$C$2:$C$99,MATCH(S$1&amp;"|"&amp;Customers!S37,Mapping!$D$2:$D$99,0))</f>
        <v>2</v>
      </c>
      <c r="T37" s="8" t="n">
        <f aca="false">INDEX(Mapping!$C$2:$C$99,MATCH(T$1&amp;"|"&amp;Customers!T37,Mapping!$D$2:$D$99,0))</f>
        <v>3</v>
      </c>
      <c r="U37" s="8" t="n">
        <f aca="false">INDEX(Mapping!$C$2:$C$99,MATCH(U$1&amp;"|"&amp;Customers!U37,Mapping!$D$2:$D$99,0))</f>
        <v>3</v>
      </c>
      <c r="V37" s="8" t="n">
        <f aca="false">INDEX(Mapping!$C$2:$C$99,MATCH(V$1&amp;"|"&amp;Customers!V37,Mapping!$D$2:$D$99,0))</f>
        <v>3</v>
      </c>
      <c r="W37" s="17" t="n">
        <f aca="false">SUMPRODUCT($C37:$V37,Weights!$C$27:$V$27)</f>
        <v>2.5375</v>
      </c>
      <c r="X37" s="18" t="n">
        <f aca="false">ROUND($W37,2)</f>
        <v>2.54</v>
      </c>
      <c r="Y37" s="8" t="str">
        <f aca="false">IF($X37&lt;=2,"Low",IF($X37&lt;=3.49,"Medium","High"))</f>
        <v>Medium</v>
      </c>
      <c r="Z37" s="8" t="str">
        <f aca="false">IF(OR($F37&gt;=3,$E37=5,$D37=5,$C37=5,$G37=5,$H37=5,$I37=5,$J37=5,Customers!$W37="Yes"),"Yes","No")</f>
        <v>Yes</v>
      </c>
      <c r="AA37" s="15" t="str">
        <f aca="false">IF($Z37="Yes","High",$Y37)</f>
        <v>High</v>
      </c>
      <c r="AB37" s="18" t="n">
        <f aca="false">SUMPRODUCT($C37:$G37,Weights!$C$28:$G$28)</f>
        <v>2.25</v>
      </c>
      <c r="AC37" s="18" t="n">
        <f aca="false">SUMPRODUCT($H37:$J37,Weights!$H$28:$J$28)</f>
        <v>1.8</v>
      </c>
      <c r="AD37" s="18" t="n">
        <f aca="false">SUMPRODUCT($K37:$N37,Weights!$K$28:$N$28)</f>
        <v>3.75</v>
      </c>
      <c r="AE37" s="18" t="n">
        <f aca="false">SUMPRODUCT($O37:$Q37,Weights!$O$28:$Q$28)</f>
        <v>2.95</v>
      </c>
      <c r="AF37" s="18" t="n">
        <f aca="false">SUMPRODUCT($R37:$V37,Weights!$R$28:$V$28)</f>
        <v>2.45</v>
      </c>
      <c r="AH37" s="18" t="n">
        <f aca="false">SUMPRODUCT($AB37:$AF37,Validation!$D$7:$H$7)</f>
        <v>2.5785714285712</v>
      </c>
      <c r="AI37" s="18" t="n">
        <f aca="false">SUMPRODUCT($AB37:$AF37,Validation!$D$8:$H$8)</f>
        <v>2.4964285714288</v>
      </c>
      <c r="AJ37" s="18" t="n">
        <f aca="false">SUMPRODUCT($AB37:$AF37,Validation!$D$9:$H$9)</f>
        <v>2.6358333333336</v>
      </c>
      <c r="AK37" s="18" t="n">
        <f aca="false">SUMPRODUCT($AB37:$AF37,Validation!$D$10:$H$10)</f>
        <v>2.4391666666664</v>
      </c>
      <c r="AL37" s="18" t="n">
        <f aca="false">SUMPRODUCT($AB37:$AF37,Validation!$D$11:$H$11)</f>
        <v>2.3859375</v>
      </c>
      <c r="AM37" s="18" t="n">
        <f aca="false">SUMPRODUCT($AB37:$AF37,Validation!$D$12:$H$12)</f>
        <v>2.6890625</v>
      </c>
      <c r="AN37" s="18" t="n">
        <f aca="false">SUMPRODUCT($AB37:$AF37,Validation!$D$13:$H$13)</f>
        <v>2.4916666666663</v>
      </c>
      <c r="AO37" s="18" t="n">
        <f aca="false">SUMPRODUCT($AB37:$AF37,Validation!$D$14:$H$14)</f>
        <v>2.5833333333337</v>
      </c>
      <c r="AP37" s="18" t="n">
        <f aca="false">SUMPRODUCT($AB37:$AF37,Validation!$D$15:$H$15)</f>
        <v>2.5477941176472</v>
      </c>
      <c r="AQ37" s="18" t="n">
        <f aca="false">SUMPRODUCT($AB37:$AF37,Validation!$D$16:$H$16)</f>
        <v>2.5272058823528</v>
      </c>
      <c r="AR37" s="8" t="n">
        <f aca="false">COUNTIF($C37:$V37,"&gt;=4")</f>
        <v>5</v>
      </c>
      <c r="AS37" s="8" t="str">
        <f aca="false">IF($X37&lt;=1.6,"Low",IF($X37&lt;=2.2,"Medium","High"))</f>
        <v>High</v>
      </c>
      <c r="AT37" s="8" t="str">
        <f aca="false">IF($AR37=0,"Low",IF($AR37&lt;3,"Medium","High"))</f>
        <v>High</v>
      </c>
      <c r="AU37" s="8" t="str">
        <f aca="false">IF(OR($AS37="High",$AT37="High"),"High",IF(OR($AS37="Medium",$AT37="Medium"),"Medium","Low"))</f>
        <v>High</v>
      </c>
      <c r="AV37" s="15" t="str">
        <f aca="false">IF($Z37="Yes","High",$AU37)</f>
        <v>High</v>
      </c>
    </row>
    <row r="38" customFormat="false" ht="15" hidden="false" customHeight="false" outlineLevel="0" collapsed="false">
      <c r="A38" s="7" t="str">
        <f aca="false">Customers!$A38</f>
        <v>NG-10250</v>
      </c>
      <c r="B38" s="7" t="str">
        <f aca="false">Customers!$B38</f>
        <v>Personal</v>
      </c>
      <c r="C38" s="8" t="n">
        <f aca="false">INDEX(Mapping!$C$2:$C$99,MATCH(C$1&amp;"|"&amp;Customers!C38,Mapping!$D$2:$D$99,0))</f>
        <v>1</v>
      </c>
      <c r="D38" s="8" t="n">
        <f aca="false">INDEX(Mapping!$C$2:$C$99,MATCH(D$1&amp;"|"&amp;Customers!D38,Mapping!$D$2:$D$99,0))</f>
        <v>1</v>
      </c>
      <c r="E38" s="8" t="n">
        <f aca="false">INDEX(Mapping!$C$2:$C$99,MATCH(E$1&amp;"|"&amp;Customers!E38,Mapping!$D$2:$D$99,0))</f>
        <v>1</v>
      </c>
      <c r="F38" s="8" t="n">
        <f aca="false">INDEX(Mapping!$C$2:$C$99,MATCH(F$1&amp;"|"&amp;Customers!F38,Mapping!$D$2:$D$99,0))</f>
        <v>1</v>
      </c>
      <c r="G38" s="8" t="n">
        <f aca="false">INDEX(Mapping!$C$2:$C$99,MATCH(G$1&amp;"|"&amp;Customers!G38,Mapping!$D$2:$D$99,0))</f>
        <v>1</v>
      </c>
      <c r="H38" s="8" t="n">
        <f aca="false">INDEX(Mapping!$C$2:$C$99,MATCH(H$1&amp;"|"&amp;Customers!H38,Mapping!$D$2:$D$99,0))</f>
        <v>1</v>
      </c>
      <c r="I38" s="8" t="n">
        <f aca="false">INDEX(Mapping!$C$2:$C$99,MATCH(I$1&amp;"|"&amp;Customers!I38,Mapping!$D$2:$D$99,0))</f>
        <v>1</v>
      </c>
      <c r="J38" s="8" t="n">
        <f aca="false">INDEX(Mapping!$C$2:$C$99,MATCH(J$1&amp;"|"&amp;Customers!J38,Mapping!$D$2:$D$99,0))</f>
        <v>2</v>
      </c>
      <c r="K38" s="8" t="n">
        <f aca="false">INDEX(Mapping!$C$2:$C$99,MATCH(K$1&amp;"|"&amp;Customers!K38,Mapping!$D$2:$D$99,0))</f>
        <v>3</v>
      </c>
      <c r="L38" s="8" t="n">
        <f aca="false">INDEX(Mapping!$C$2:$C$99,MATCH(L$1&amp;"|"&amp;Customers!L38,Mapping!$D$2:$D$99,0))</f>
        <v>1</v>
      </c>
      <c r="M38" s="8" t="n">
        <f aca="false">INDEX(Mapping!$C$2:$C$99,MATCH(M$1&amp;"|"&amp;Customers!M38,Mapping!$D$2:$D$99,0))</f>
        <v>2</v>
      </c>
      <c r="N38" s="8" t="n">
        <f aca="false">INDEX(Mapping!$C$2:$C$99,MATCH(N$1&amp;"|"&amp;Customers!N38,Mapping!$D$2:$D$99,0))</f>
        <v>1</v>
      </c>
      <c r="O38" s="8" t="n">
        <f aca="false">INDEX(Mapping!$C$2:$C$99,MATCH(O$1&amp;"|"&amp;Customers!O38,Mapping!$D$2:$D$99,0))</f>
        <v>4</v>
      </c>
      <c r="P38" s="8" t="n">
        <f aca="false">INDEX(Mapping!$C$2:$C$99,MATCH(P$1&amp;"|"&amp;Customers!P38,Mapping!$D$2:$D$99,0))</f>
        <v>3</v>
      </c>
      <c r="Q38" s="8" t="n">
        <f aca="false">INDEX(Mapping!$C$2:$C$99,MATCH(Q$1&amp;"|"&amp;Customers!Q38,Mapping!$D$2:$D$99,0))</f>
        <v>1</v>
      </c>
      <c r="R38" s="8" t="n">
        <f aca="false">INDEX(Mapping!$C$2:$C$99,MATCH(R$1&amp;"|"&amp;Customers!R38,Mapping!$D$2:$D$99,0))</f>
        <v>1</v>
      </c>
      <c r="S38" s="8" t="n">
        <f aca="false">INDEX(Mapping!$C$2:$C$99,MATCH(S$1&amp;"|"&amp;Customers!S38,Mapping!$D$2:$D$99,0))</f>
        <v>2</v>
      </c>
      <c r="T38" s="8" t="n">
        <f aca="false">INDEX(Mapping!$C$2:$C$99,MATCH(T$1&amp;"|"&amp;Customers!T38,Mapping!$D$2:$D$99,0))</f>
        <v>1</v>
      </c>
      <c r="U38" s="8" t="n">
        <f aca="false">INDEX(Mapping!$C$2:$C$99,MATCH(U$1&amp;"|"&amp;Customers!U38,Mapping!$D$2:$D$99,0))</f>
        <v>1</v>
      </c>
      <c r="V38" s="8" t="n">
        <f aca="false">INDEX(Mapping!$C$2:$C$99,MATCH(V$1&amp;"|"&amp;Customers!V38,Mapping!$D$2:$D$99,0))</f>
        <v>1</v>
      </c>
      <c r="W38" s="17" t="n">
        <f aca="false">SUMPRODUCT($C38:$V38,Weights!$C$27:$V$27)</f>
        <v>1.54</v>
      </c>
      <c r="X38" s="18" t="n">
        <f aca="false">ROUND($W38,2)</f>
        <v>1.54</v>
      </c>
      <c r="Y38" s="8" t="str">
        <f aca="false">IF($X38&lt;=2,"Low",IF($X38&lt;=3.49,"Medium","High"))</f>
        <v>Low</v>
      </c>
      <c r="Z38" s="8" t="str">
        <f aca="false">IF(OR($F38&gt;=3,$E38=5,$D38=5,$C38=5,$G38=5,$H38=5,$I38=5,$J38=5,Customers!$W38="Yes"),"Yes","No")</f>
        <v>No</v>
      </c>
      <c r="AA38" s="15" t="str">
        <f aca="false">IF($Z38="Yes","High",$Y38)</f>
        <v>Low</v>
      </c>
      <c r="AB38" s="18" t="n">
        <f aca="false">SUMPRODUCT($C38:$G38,Weights!$C$28:$G$28)</f>
        <v>1</v>
      </c>
      <c r="AC38" s="18" t="n">
        <f aca="false">SUMPRODUCT($H38:$J38,Weights!$H$28:$J$28)</f>
        <v>1.4</v>
      </c>
      <c r="AD38" s="18" t="n">
        <f aca="false">SUMPRODUCT($K38:$N38,Weights!$K$28:$N$28)</f>
        <v>1.95</v>
      </c>
      <c r="AE38" s="18" t="n">
        <f aca="false">SUMPRODUCT($O38:$Q38,Weights!$O$28:$Q$28)</f>
        <v>3.05</v>
      </c>
      <c r="AF38" s="18" t="n">
        <f aca="false">SUMPRODUCT($R38:$V38,Weights!$R$28:$V$28)</f>
        <v>1.3</v>
      </c>
      <c r="AH38" s="18" t="n">
        <f aca="false">SUMPRODUCT($AB38:$AF38,Validation!$D$7:$H$7)</f>
        <v>1.61714285714305</v>
      </c>
      <c r="AI38" s="18" t="n">
        <f aca="false">SUMPRODUCT($AB38:$AF38,Validation!$D$8:$H$8)</f>
        <v>1.46285714285695</v>
      </c>
      <c r="AJ38" s="18" t="n">
        <f aca="false">SUMPRODUCT($AB38:$AF38,Validation!$D$9:$H$9)</f>
        <v>1.5586666666663</v>
      </c>
      <c r="AK38" s="18" t="n">
        <f aca="false">SUMPRODUCT($AB38:$AF38,Validation!$D$10:$H$10)</f>
        <v>1.5213333333337</v>
      </c>
      <c r="AL38" s="18" t="n">
        <f aca="false">SUMPRODUCT($AB38:$AF38,Validation!$D$11:$H$11)</f>
        <v>1.48875</v>
      </c>
      <c r="AM38" s="18" t="n">
        <f aca="false">SUMPRODUCT($AB38:$AF38,Validation!$D$12:$H$12)</f>
        <v>1.59125</v>
      </c>
      <c r="AN38" s="18" t="n">
        <f aca="false">SUMPRODUCT($AB38:$AF38,Validation!$D$13:$H$13)</f>
        <v>1.3722222222222</v>
      </c>
      <c r="AO38" s="18" t="n">
        <f aca="false">SUMPRODUCT($AB38:$AF38,Validation!$D$14:$H$14)</f>
        <v>1.7077777777778</v>
      </c>
      <c r="AP38" s="18" t="n">
        <f aca="false">SUMPRODUCT($AB38:$AF38,Validation!$D$15:$H$15)</f>
        <v>1.56823529411725</v>
      </c>
      <c r="AQ38" s="18" t="n">
        <f aca="false">SUMPRODUCT($AB38:$AF38,Validation!$D$16:$H$16)</f>
        <v>1.51176470588275</v>
      </c>
      <c r="AR38" s="8" t="n">
        <f aca="false">COUNTIF($C38:$V38,"&gt;=4")</f>
        <v>1</v>
      </c>
      <c r="AS38" s="8" t="str">
        <f aca="false">IF($X38&lt;=1.6,"Low",IF($X38&lt;=2.2,"Medium","High"))</f>
        <v>Low</v>
      </c>
      <c r="AT38" s="8" t="str">
        <f aca="false">IF($AR38=0,"Low",IF($AR38&lt;3,"Medium","High"))</f>
        <v>Medium</v>
      </c>
      <c r="AU38" s="8" t="str">
        <f aca="false">IF(OR($AS38="High",$AT38="High"),"High",IF(OR($AS38="Medium",$AT38="Medium"),"Medium","Low"))</f>
        <v>Medium</v>
      </c>
      <c r="AV38" s="15" t="str">
        <f aca="false">IF($Z38="Yes","High",$AU38)</f>
        <v>Medium</v>
      </c>
    </row>
    <row r="39" customFormat="false" ht="15" hidden="false" customHeight="false" outlineLevel="0" collapsed="false">
      <c r="A39" s="7" t="str">
        <f aca="false">Customers!$A39</f>
        <v>NG-10121</v>
      </c>
      <c r="B39" s="7" t="str">
        <f aca="false">Customers!$B39</f>
        <v>Personal</v>
      </c>
      <c r="C39" s="8" t="n">
        <f aca="false">INDEX(Mapping!$C$2:$C$99,MATCH(C$1&amp;"|"&amp;Customers!C39,Mapping!$D$2:$D$99,0))</f>
        <v>2</v>
      </c>
      <c r="D39" s="8" t="n">
        <f aca="false">INDEX(Mapping!$C$2:$C$99,MATCH(D$1&amp;"|"&amp;Customers!D39,Mapping!$D$2:$D$99,0))</f>
        <v>1</v>
      </c>
      <c r="E39" s="8" t="n">
        <f aca="false">INDEX(Mapping!$C$2:$C$99,MATCH(E$1&amp;"|"&amp;Customers!E39,Mapping!$D$2:$D$99,0))</f>
        <v>3</v>
      </c>
      <c r="F39" s="8" t="n">
        <f aca="false">INDEX(Mapping!$C$2:$C$99,MATCH(F$1&amp;"|"&amp;Customers!F39,Mapping!$D$2:$D$99,0))</f>
        <v>1</v>
      </c>
      <c r="G39" s="8" t="n">
        <f aca="false">INDEX(Mapping!$C$2:$C$99,MATCH(G$1&amp;"|"&amp;Customers!G39,Mapping!$D$2:$D$99,0))</f>
        <v>1</v>
      </c>
      <c r="H39" s="8" t="n">
        <f aca="false">INDEX(Mapping!$C$2:$C$99,MATCH(H$1&amp;"|"&amp;Customers!H39,Mapping!$D$2:$D$99,0))</f>
        <v>1</v>
      </c>
      <c r="I39" s="8" t="n">
        <f aca="false">INDEX(Mapping!$C$2:$C$99,MATCH(I$1&amp;"|"&amp;Customers!I39,Mapping!$D$2:$D$99,0))</f>
        <v>1</v>
      </c>
      <c r="J39" s="8" t="n">
        <f aca="false">INDEX(Mapping!$C$2:$C$99,MATCH(J$1&amp;"|"&amp;Customers!J39,Mapping!$D$2:$D$99,0))</f>
        <v>2</v>
      </c>
      <c r="K39" s="8" t="n">
        <f aca="false">INDEX(Mapping!$C$2:$C$99,MATCH(K$1&amp;"|"&amp;Customers!K39,Mapping!$D$2:$D$99,0))</f>
        <v>3</v>
      </c>
      <c r="L39" s="8" t="n">
        <f aca="false">INDEX(Mapping!$C$2:$C$99,MATCH(L$1&amp;"|"&amp;Customers!L39,Mapping!$D$2:$D$99,0))</f>
        <v>2</v>
      </c>
      <c r="M39" s="8" t="n">
        <f aca="false">INDEX(Mapping!$C$2:$C$99,MATCH(M$1&amp;"|"&amp;Customers!M39,Mapping!$D$2:$D$99,0))</f>
        <v>2</v>
      </c>
      <c r="N39" s="8" t="n">
        <f aca="false">INDEX(Mapping!$C$2:$C$99,MATCH(N$1&amp;"|"&amp;Customers!N39,Mapping!$D$2:$D$99,0))</f>
        <v>1</v>
      </c>
      <c r="O39" s="8" t="n">
        <f aca="false">INDEX(Mapping!$C$2:$C$99,MATCH(O$1&amp;"|"&amp;Customers!O39,Mapping!$D$2:$D$99,0))</f>
        <v>3</v>
      </c>
      <c r="P39" s="8" t="n">
        <f aca="false">INDEX(Mapping!$C$2:$C$99,MATCH(P$1&amp;"|"&amp;Customers!P39,Mapping!$D$2:$D$99,0))</f>
        <v>4</v>
      </c>
      <c r="Q39" s="8" t="n">
        <f aca="false">INDEX(Mapping!$C$2:$C$99,MATCH(Q$1&amp;"|"&amp;Customers!Q39,Mapping!$D$2:$D$99,0))</f>
        <v>1</v>
      </c>
      <c r="R39" s="8" t="n">
        <f aca="false">INDEX(Mapping!$C$2:$C$99,MATCH(R$1&amp;"|"&amp;Customers!R39,Mapping!$D$2:$D$99,0))</f>
        <v>1</v>
      </c>
      <c r="S39" s="8" t="n">
        <f aca="false">INDEX(Mapping!$C$2:$C$99,MATCH(S$1&amp;"|"&amp;Customers!S39,Mapping!$D$2:$D$99,0))</f>
        <v>2</v>
      </c>
      <c r="T39" s="8" t="n">
        <f aca="false">INDEX(Mapping!$C$2:$C$99,MATCH(T$1&amp;"|"&amp;Customers!T39,Mapping!$D$2:$D$99,0))</f>
        <v>2</v>
      </c>
      <c r="U39" s="8" t="n">
        <f aca="false">INDEX(Mapping!$C$2:$C$99,MATCH(U$1&amp;"|"&amp;Customers!U39,Mapping!$D$2:$D$99,0))</f>
        <v>1</v>
      </c>
      <c r="V39" s="8" t="n">
        <f aca="false">INDEX(Mapping!$C$2:$C$99,MATCH(V$1&amp;"|"&amp;Customers!V39,Mapping!$D$2:$D$99,0))</f>
        <v>1</v>
      </c>
      <c r="W39" s="17" t="n">
        <f aca="false">SUMPRODUCT($C39:$V39,Weights!$C$27:$V$27)</f>
        <v>1.82</v>
      </c>
      <c r="X39" s="18" t="n">
        <f aca="false">ROUND($W39,2)</f>
        <v>1.82</v>
      </c>
      <c r="Y39" s="8" t="str">
        <f aca="false">IF($X39&lt;=2,"Low",IF($X39&lt;=3.49,"Medium","High"))</f>
        <v>Low</v>
      </c>
      <c r="Z39" s="8" t="str">
        <f aca="false">IF(OR($F39&gt;=3,$E39=5,$D39=5,$C39=5,$G39=5,$H39=5,$I39=5,$J39=5,Customers!$W39="Yes"),"Yes","No")</f>
        <v>No</v>
      </c>
      <c r="AA39" s="15" t="str">
        <f aca="false">IF($Z39="Yes","High",$Y39)</f>
        <v>Low</v>
      </c>
      <c r="AB39" s="18" t="n">
        <f aca="false">SUMPRODUCT($C39:$G39,Weights!$C$28:$G$28)</f>
        <v>1.7</v>
      </c>
      <c r="AC39" s="18" t="n">
        <f aca="false">SUMPRODUCT($H39:$J39,Weights!$H$28:$J$28)</f>
        <v>1.4</v>
      </c>
      <c r="AD39" s="18" t="n">
        <f aca="false">SUMPRODUCT($K39:$N39,Weights!$K$28:$N$28)</f>
        <v>2.2</v>
      </c>
      <c r="AE39" s="18" t="n">
        <f aca="false">SUMPRODUCT($O39:$Q39,Weights!$O$28:$Q$28)</f>
        <v>2.95</v>
      </c>
      <c r="AF39" s="18" t="n">
        <f aca="false">SUMPRODUCT($R39:$V39,Weights!$R$28:$V$28)</f>
        <v>1.5</v>
      </c>
      <c r="AH39" s="18" t="n">
        <f aca="false">SUMPRODUCT($AB39:$AF39,Validation!$D$7:$H$7)</f>
        <v>1.837142857143</v>
      </c>
      <c r="AI39" s="18" t="n">
        <f aca="false">SUMPRODUCT($AB39:$AF39,Validation!$D$8:$H$8)</f>
        <v>1.802857142857</v>
      </c>
      <c r="AJ39" s="18" t="n">
        <f aca="false">SUMPRODUCT($AB39:$AF39,Validation!$D$9:$H$9)</f>
        <v>1.87599999999975</v>
      </c>
      <c r="AK39" s="18" t="n">
        <f aca="false">SUMPRODUCT($AB39:$AF39,Validation!$D$10:$H$10)</f>
        <v>1.76400000000025</v>
      </c>
      <c r="AL39" s="18" t="n">
        <f aca="false">SUMPRODUCT($AB39:$AF39,Validation!$D$11:$H$11)</f>
        <v>1.7725</v>
      </c>
      <c r="AM39" s="18" t="n">
        <f aca="false">SUMPRODUCT($AB39:$AF39,Validation!$D$12:$H$12)</f>
        <v>1.8675</v>
      </c>
      <c r="AN39" s="18" t="n">
        <f aca="false">SUMPRODUCT($AB39:$AF39,Validation!$D$13:$H$13)</f>
        <v>1.6944444444442</v>
      </c>
      <c r="AO39" s="18" t="n">
        <f aca="false">SUMPRODUCT($AB39:$AF39,Validation!$D$14:$H$14)</f>
        <v>1.9455555555558</v>
      </c>
      <c r="AP39" s="18" t="n">
        <f aca="false">SUMPRODUCT($AB39:$AF39,Validation!$D$15:$H$15)</f>
        <v>1.8576470588232</v>
      </c>
      <c r="AQ39" s="18" t="n">
        <f aca="false">SUMPRODUCT($AB39:$AF39,Validation!$D$16:$H$16)</f>
        <v>1.7823529411768</v>
      </c>
      <c r="AR39" s="8" t="n">
        <f aca="false">COUNTIF($C39:$V39,"&gt;=4")</f>
        <v>1</v>
      </c>
      <c r="AS39" s="8" t="str">
        <f aca="false">IF($X39&lt;=1.6,"Low",IF($X39&lt;=2.2,"Medium","High"))</f>
        <v>Medium</v>
      </c>
      <c r="AT39" s="8" t="str">
        <f aca="false">IF($AR39=0,"Low",IF($AR39&lt;3,"Medium","High"))</f>
        <v>Medium</v>
      </c>
      <c r="AU39" s="8" t="str">
        <f aca="false">IF(OR($AS39="High",$AT39="High"),"High",IF(OR($AS39="Medium",$AT39="Medium"),"Medium","Low"))</f>
        <v>Medium</v>
      </c>
      <c r="AV39" s="15" t="str">
        <f aca="false">IF($Z39="Yes","High",$AU39)</f>
        <v>Medium</v>
      </c>
    </row>
    <row r="40" customFormat="false" ht="15" hidden="false" customHeight="false" outlineLevel="0" collapsed="false">
      <c r="A40" s="7" t="str">
        <f aca="false">Customers!$A40</f>
        <v>NG-10369</v>
      </c>
      <c r="B40" s="7" t="str">
        <f aca="false">Customers!$B40</f>
        <v>Limited company</v>
      </c>
      <c r="C40" s="8" t="n">
        <f aca="false">INDEX(Mapping!$C$2:$C$99,MATCH(C$1&amp;"|"&amp;Customers!C40,Mapping!$D$2:$D$99,0))</f>
        <v>3</v>
      </c>
      <c r="D40" s="8" t="n">
        <f aca="false">INDEX(Mapping!$C$2:$C$99,MATCH(D$1&amp;"|"&amp;Customers!D40,Mapping!$D$2:$D$99,0))</f>
        <v>2</v>
      </c>
      <c r="E40" s="8" t="n">
        <f aca="false">INDEX(Mapping!$C$2:$C$99,MATCH(E$1&amp;"|"&amp;Customers!E40,Mapping!$D$2:$D$99,0))</f>
        <v>5</v>
      </c>
      <c r="F40" s="8" t="n">
        <f aca="false">INDEX(Mapping!$C$2:$C$99,MATCH(F$1&amp;"|"&amp;Customers!F40,Mapping!$D$2:$D$99,0))</f>
        <v>1</v>
      </c>
      <c r="G40" s="8" t="n">
        <f aca="false">INDEX(Mapping!$C$2:$C$99,MATCH(G$1&amp;"|"&amp;Customers!G40,Mapping!$D$2:$D$99,0))</f>
        <v>1</v>
      </c>
      <c r="H40" s="8" t="n">
        <f aca="false">INDEX(Mapping!$C$2:$C$99,MATCH(H$1&amp;"|"&amp;Customers!H40,Mapping!$D$2:$D$99,0))</f>
        <v>1</v>
      </c>
      <c r="I40" s="8" t="n">
        <f aca="false">INDEX(Mapping!$C$2:$C$99,MATCH(I$1&amp;"|"&amp;Customers!I40,Mapping!$D$2:$D$99,0))</f>
        <v>1</v>
      </c>
      <c r="J40" s="8" t="n">
        <f aca="false">INDEX(Mapping!$C$2:$C$99,MATCH(J$1&amp;"|"&amp;Customers!J40,Mapping!$D$2:$D$99,0))</f>
        <v>1</v>
      </c>
      <c r="K40" s="8" t="n">
        <f aca="false">INDEX(Mapping!$C$2:$C$99,MATCH(K$1&amp;"|"&amp;Customers!K40,Mapping!$D$2:$D$99,0))</f>
        <v>5</v>
      </c>
      <c r="L40" s="8" t="n">
        <f aca="false">INDEX(Mapping!$C$2:$C$99,MATCH(L$1&amp;"|"&amp;Customers!L40,Mapping!$D$2:$D$99,0))</f>
        <v>5</v>
      </c>
      <c r="M40" s="8" t="n">
        <f aca="false">INDEX(Mapping!$C$2:$C$99,MATCH(M$1&amp;"|"&amp;Customers!M40,Mapping!$D$2:$D$99,0))</f>
        <v>4</v>
      </c>
      <c r="N40" s="8" t="n">
        <f aca="false">INDEX(Mapping!$C$2:$C$99,MATCH(N$1&amp;"|"&amp;Customers!N40,Mapping!$D$2:$D$99,0))</f>
        <v>2</v>
      </c>
      <c r="O40" s="8" t="n">
        <f aca="false">INDEX(Mapping!$C$2:$C$99,MATCH(O$1&amp;"|"&amp;Customers!O40,Mapping!$D$2:$D$99,0))</f>
        <v>5</v>
      </c>
      <c r="P40" s="8" t="n">
        <f aca="false">INDEX(Mapping!$C$2:$C$99,MATCH(P$1&amp;"|"&amp;Customers!P40,Mapping!$D$2:$D$99,0))</f>
        <v>3</v>
      </c>
      <c r="Q40" s="8" t="n">
        <f aca="false">INDEX(Mapping!$C$2:$C$99,MATCH(Q$1&amp;"|"&amp;Customers!Q40,Mapping!$D$2:$D$99,0))</f>
        <v>4</v>
      </c>
      <c r="R40" s="8" t="n">
        <f aca="false">INDEX(Mapping!$C$2:$C$99,MATCH(R$1&amp;"|"&amp;Customers!R40,Mapping!$D$2:$D$99,0))</f>
        <v>3</v>
      </c>
      <c r="S40" s="8" t="n">
        <f aca="false">INDEX(Mapping!$C$2:$C$99,MATCH(S$1&amp;"|"&amp;Customers!S40,Mapping!$D$2:$D$99,0))</f>
        <v>1</v>
      </c>
      <c r="T40" s="8" t="n">
        <f aca="false">INDEX(Mapping!$C$2:$C$99,MATCH(T$1&amp;"|"&amp;Customers!T40,Mapping!$D$2:$D$99,0))</f>
        <v>1</v>
      </c>
      <c r="U40" s="8" t="n">
        <f aca="false">INDEX(Mapping!$C$2:$C$99,MATCH(U$1&amp;"|"&amp;Customers!U40,Mapping!$D$2:$D$99,0))</f>
        <v>3</v>
      </c>
      <c r="V40" s="8" t="n">
        <f aca="false">INDEX(Mapping!$C$2:$C$99,MATCH(V$1&amp;"|"&amp;Customers!V40,Mapping!$D$2:$D$99,0))</f>
        <v>1</v>
      </c>
      <c r="W40" s="17" t="n">
        <f aca="false">SUMPRODUCT($C40:$V40,Weights!$C$27:$V$27)</f>
        <v>2.57</v>
      </c>
      <c r="X40" s="18" t="n">
        <f aca="false">ROUND($W40,2)</f>
        <v>2.57</v>
      </c>
      <c r="Y40" s="8" t="str">
        <f aca="false">IF($X40&lt;=2,"Low",IF($X40&lt;=3.49,"Medium","High"))</f>
        <v>Medium</v>
      </c>
      <c r="Z40" s="8" t="str">
        <f aca="false">IF(OR($F40&gt;=3,$E40=5,$D40=5,$C40=5,$G40=5,$H40=5,$I40=5,$J40=5,Customers!$W40="Yes"),"Yes","No")</f>
        <v>Yes</v>
      </c>
      <c r="AA40" s="15" t="str">
        <f aca="false">IF($Z40="Yes","High",$Y40)</f>
        <v>High</v>
      </c>
      <c r="AB40" s="18" t="n">
        <f aca="false">SUMPRODUCT($C40:$G40,Weights!$C$28:$G$28)</f>
        <v>2.6</v>
      </c>
      <c r="AC40" s="18" t="n">
        <f aca="false">SUMPRODUCT($H40:$J40,Weights!$H$28:$J$28)</f>
        <v>1</v>
      </c>
      <c r="AD40" s="18" t="n">
        <f aca="false">SUMPRODUCT($K40:$N40,Weights!$K$28:$N$28)</f>
        <v>4.3</v>
      </c>
      <c r="AE40" s="18" t="n">
        <f aca="false">SUMPRODUCT($O40:$Q40,Weights!$O$28:$Q$28)</f>
        <v>4.1</v>
      </c>
      <c r="AF40" s="18" t="n">
        <f aca="false">SUMPRODUCT($R40:$V40,Weights!$R$28:$V$28)</f>
        <v>1.8</v>
      </c>
      <c r="AH40" s="18" t="n">
        <f aca="false">SUMPRODUCT($AB40:$AF40,Validation!$D$7:$H$7)</f>
        <v>2.5657142857141</v>
      </c>
      <c r="AI40" s="18" t="n">
        <f aca="false">SUMPRODUCT($AB40:$AF40,Validation!$D$8:$H$8)</f>
        <v>2.5742857142859</v>
      </c>
      <c r="AJ40" s="18" t="n">
        <f aca="false">SUMPRODUCT($AB40:$AF40,Validation!$D$9:$H$9)</f>
        <v>2.7793333333334</v>
      </c>
      <c r="AK40" s="18" t="n">
        <f aca="false">SUMPRODUCT($AB40:$AF40,Validation!$D$10:$H$10)</f>
        <v>2.3606666666666</v>
      </c>
      <c r="AL40" s="18" t="n">
        <f aca="false">SUMPRODUCT($AB40:$AF40,Validation!$D$11:$H$11)</f>
        <v>2.35375</v>
      </c>
      <c r="AM40" s="18" t="n">
        <f aca="false">SUMPRODUCT($AB40:$AF40,Validation!$D$12:$H$12)</f>
        <v>2.78625</v>
      </c>
      <c r="AN40" s="18" t="n">
        <f aca="false">SUMPRODUCT($AB40:$AF40,Validation!$D$13:$H$13)</f>
        <v>2.399999999999</v>
      </c>
      <c r="AO40" s="18" t="n">
        <f aca="false">SUMPRODUCT($AB40:$AF40,Validation!$D$14:$H$14)</f>
        <v>2.740000000001</v>
      </c>
      <c r="AP40" s="18" t="n">
        <f aca="false">SUMPRODUCT($AB40:$AF40,Validation!$D$15:$H$15)</f>
        <v>2.6605882352939</v>
      </c>
      <c r="AQ40" s="18" t="n">
        <f aca="false">SUMPRODUCT($AB40:$AF40,Validation!$D$16:$H$16)</f>
        <v>2.4794117647061</v>
      </c>
      <c r="AR40" s="8" t="n">
        <f aca="false">COUNTIF($C40:$V40,"&gt;=4")</f>
        <v>6</v>
      </c>
      <c r="AS40" s="8" t="str">
        <f aca="false">IF($X40&lt;=1.6,"Low",IF($X40&lt;=2.2,"Medium","High"))</f>
        <v>High</v>
      </c>
      <c r="AT40" s="8" t="str">
        <f aca="false">IF($AR40=0,"Low",IF($AR40&lt;3,"Medium","High"))</f>
        <v>High</v>
      </c>
      <c r="AU40" s="8" t="str">
        <f aca="false">IF(OR($AS40="High",$AT40="High"),"High",IF(OR($AS40="Medium",$AT40="Medium"),"Medium","Low"))</f>
        <v>High</v>
      </c>
      <c r="AV40" s="15" t="str">
        <f aca="false">IF($Z40="Yes","High",$AU40)</f>
        <v>High</v>
      </c>
    </row>
    <row r="41" customFormat="false" ht="15" hidden="false" customHeight="false" outlineLevel="0" collapsed="false">
      <c r="A41" s="7" t="str">
        <f aca="false">Customers!$A41</f>
        <v>NG-10338</v>
      </c>
      <c r="B41" s="7" t="str">
        <f aca="false">Customers!$B41</f>
        <v>Sole trader</v>
      </c>
      <c r="C41" s="8" t="n">
        <f aca="false">INDEX(Mapping!$C$2:$C$99,MATCH(C$1&amp;"|"&amp;Customers!C41,Mapping!$D$2:$D$99,0))</f>
        <v>2</v>
      </c>
      <c r="D41" s="8" t="n">
        <f aca="false">INDEX(Mapping!$C$2:$C$99,MATCH(D$1&amp;"|"&amp;Customers!D41,Mapping!$D$2:$D$99,0))</f>
        <v>1</v>
      </c>
      <c r="E41" s="8" t="n">
        <f aca="false">INDEX(Mapping!$C$2:$C$99,MATCH(E$1&amp;"|"&amp;Customers!E41,Mapping!$D$2:$D$99,0))</f>
        <v>3</v>
      </c>
      <c r="F41" s="8" t="n">
        <f aca="false">INDEX(Mapping!$C$2:$C$99,MATCH(F$1&amp;"|"&amp;Customers!F41,Mapping!$D$2:$D$99,0))</f>
        <v>1</v>
      </c>
      <c r="G41" s="8" t="n">
        <f aca="false">INDEX(Mapping!$C$2:$C$99,MATCH(G$1&amp;"|"&amp;Customers!G41,Mapping!$D$2:$D$99,0))</f>
        <v>1</v>
      </c>
      <c r="H41" s="8" t="n">
        <f aca="false">INDEX(Mapping!$C$2:$C$99,MATCH(H$1&amp;"|"&amp;Customers!H41,Mapping!$D$2:$D$99,0))</f>
        <v>1</v>
      </c>
      <c r="I41" s="8" t="n">
        <f aca="false">INDEX(Mapping!$C$2:$C$99,MATCH(I$1&amp;"|"&amp;Customers!I41,Mapping!$D$2:$D$99,0))</f>
        <v>1</v>
      </c>
      <c r="J41" s="8" t="n">
        <f aca="false">INDEX(Mapping!$C$2:$C$99,MATCH(J$1&amp;"|"&amp;Customers!J41,Mapping!$D$2:$D$99,0))</f>
        <v>2</v>
      </c>
      <c r="K41" s="8" t="n">
        <f aca="false">INDEX(Mapping!$C$2:$C$99,MATCH(K$1&amp;"|"&amp;Customers!K41,Mapping!$D$2:$D$99,0))</f>
        <v>4</v>
      </c>
      <c r="L41" s="8" t="n">
        <f aca="false">INDEX(Mapping!$C$2:$C$99,MATCH(L$1&amp;"|"&amp;Customers!L41,Mapping!$D$2:$D$99,0))</f>
        <v>4</v>
      </c>
      <c r="M41" s="8" t="n">
        <f aca="false">INDEX(Mapping!$C$2:$C$99,MATCH(M$1&amp;"|"&amp;Customers!M41,Mapping!$D$2:$D$99,0))</f>
        <v>1</v>
      </c>
      <c r="N41" s="8" t="n">
        <f aca="false">INDEX(Mapping!$C$2:$C$99,MATCH(N$1&amp;"|"&amp;Customers!N41,Mapping!$D$2:$D$99,0))</f>
        <v>2</v>
      </c>
      <c r="O41" s="8" t="n">
        <f aca="false">INDEX(Mapping!$C$2:$C$99,MATCH(O$1&amp;"|"&amp;Customers!O41,Mapping!$D$2:$D$99,0))</f>
        <v>3</v>
      </c>
      <c r="P41" s="8" t="n">
        <f aca="false">INDEX(Mapping!$C$2:$C$99,MATCH(P$1&amp;"|"&amp;Customers!P41,Mapping!$D$2:$D$99,0))</f>
        <v>5</v>
      </c>
      <c r="Q41" s="8" t="n">
        <f aca="false">INDEX(Mapping!$C$2:$C$99,MATCH(Q$1&amp;"|"&amp;Customers!Q41,Mapping!$D$2:$D$99,0))</f>
        <v>1</v>
      </c>
      <c r="R41" s="8" t="n">
        <f aca="false">INDEX(Mapping!$C$2:$C$99,MATCH(R$1&amp;"|"&amp;Customers!R41,Mapping!$D$2:$D$99,0))</f>
        <v>2</v>
      </c>
      <c r="S41" s="8" t="n">
        <f aca="false">INDEX(Mapping!$C$2:$C$99,MATCH(S$1&amp;"|"&amp;Customers!S41,Mapping!$D$2:$D$99,0))</f>
        <v>3</v>
      </c>
      <c r="T41" s="8" t="n">
        <f aca="false">INDEX(Mapping!$C$2:$C$99,MATCH(T$1&amp;"|"&amp;Customers!T41,Mapping!$D$2:$D$99,0))</f>
        <v>2</v>
      </c>
      <c r="U41" s="8" t="n">
        <f aca="false">INDEX(Mapping!$C$2:$C$99,MATCH(U$1&amp;"|"&amp;Customers!U41,Mapping!$D$2:$D$99,0))</f>
        <v>3</v>
      </c>
      <c r="V41" s="8" t="n">
        <f aca="false">INDEX(Mapping!$C$2:$C$99,MATCH(V$1&amp;"|"&amp;Customers!V41,Mapping!$D$2:$D$99,0))</f>
        <v>1</v>
      </c>
      <c r="W41" s="17" t="n">
        <f aca="false">SUMPRODUCT($C41:$V41,Weights!$C$27:$V$27)</f>
        <v>2.1325</v>
      </c>
      <c r="X41" s="18" t="n">
        <f aca="false">ROUND($W41,2)</f>
        <v>2.13</v>
      </c>
      <c r="Y41" s="8" t="str">
        <f aca="false">IF($X41&lt;=2,"Low",IF($X41&lt;=3.49,"Medium","High"))</f>
        <v>Medium</v>
      </c>
      <c r="Z41" s="8" t="str">
        <f aca="false">IF(OR($F41&gt;=3,$E41=5,$D41=5,$C41=5,$G41=5,$H41=5,$I41=5,$J41=5,Customers!$W41="Yes"),"Yes","No")</f>
        <v>No</v>
      </c>
      <c r="AA41" s="15" t="str">
        <f aca="false">IF($Z41="Yes","High",$Y41)</f>
        <v>Medium</v>
      </c>
      <c r="AB41" s="18" t="n">
        <f aca="false">SUMPRODUCT($C41:$G41,Weights!$C$28:$G$28)</f>
        <v>1.7</v>
      </c>
      <c r="AC41" s="18" t="n">
        <f aca="false">SUMPRODUCT($H41:$J41,Weights!$H$28:$J$28)</f>
        <v>1.4</v>
      </c>
      <c r="AD41" s="18" t="n">
        <f aca="false">SUMPRODUCT($K41:$N41,Weights!$K$28:$N$28)</f>
        <v>2.95</v>
      </c>
      <c r="AE41" s="18" t="n">
        <f aca="false">SUMPRODUCT($O41:$Q41,Weights!$O$28:$Q$28)</f>
        <v>3.3</v>
      </c>
      <c r="AF41" s="18" t="n">
        <f aca="false">SUMPRODUCT($R41:$V41,Weights!$R$28:$V$28)</f>
        <v>2.35</v>
      </c>
      <c r="AH41" s="18" t="n">
        <f aca="false">SUMPRODUCT($AB41:$AF41,Validation!$D$7:$H$7)</f>
        <v>2.194285714286</v>
      </c>
      <c r="AI41" s="18" t="n">
        <f aca="false">SUMPRODUCT($AB41:$AF41,Validation!$D$8:$H$8)</f>
        <v>2.070714285714</v>
      </c>
      <c r="AJ41" s="18" t="n">
        <f aca="false">SUMPRODUCT($AB41:$AF41,Validation!$D$9:$H$9)</f>
        <v>2.23016666666655</v>
      </c>
      <c r="AK41" s="18" t="n">
        <f aca="false">SUMPRODUCT($AB41:$AF41,Validation!$D$10:$H$10)</f>
        <v>2.03483333333345</v>
      </c>
      <c r="AL41" s="18" t="n">
        <f aca="false">SUMPRODUCT($AB41:$AF41,Validation!$D$11:$H$11)</f>
        <v>2.0303125</v>
      </c>
      <c r="AM41" s="18" t="n">
        <f aca="false">SUMPRODUCT($AB41:$AF41,Validation!$D$12:$H$12)</f>
        <v>2.2346875</v>
      </c>
      <c r="AN41" s="18" t="n">
        <f aca="false">SUMPRODUCT($AB41:$AF41,Validation!$D$13:$H$13)</f>
        <v>2.00277777777765</v>
      </c>
      <c r="AO41" s="18" t="n">
        <f aca="false">SUMPRODUCT($AB41:$AF41,Validation!$D$14:$H$14)</f>
        <v>2.26222222222235</v>
      </c>
      <c r="AP41" s="18" t="n">
        <f aca="false">SUMPRODUCT($AB41:$AF41,Validation!$D$15:$H$15)</f>
        <v>2.10691176470565</v>
      </c>
      <c r="AQ41" s="18" t="n">
        <f aca="false">SUMPRODUCT($AB41:$AF41,Validation!$D$16:$H$16)</f>
        <v>2.15808823529435</v>
      </c>
      <c r="AR41" s="8" t="n">
        <f aca="false">COUNTIF($C41:$V41,"&gt;=4")</f>
        <v>3</v>
      </c>
      <c r="AS41" s="8" t="str">
        <f aca="false">IF($X41&lt;=1.6,"Low",IF($X41&lt;=2.2,"Medium","High"))</f>
        <v>Medium</v>
      </c>
      <c r="AT41" s="8" t="str">
        <f aca="false">IF($AR41=0,"Low",IF($AR41&lt;3,"Medium","High"))</f>
        <v>High</v>
      </c>
      <c r="AU41" s="8" t="str">
        <f aca="false">IF(OR($AS41="High",$AT41="High"),"High",IF(OR($AS41="Medium",$AT41="Medium"),"Medium","Low"))</f>
        <v>High</v>
      </c>
      <c r="AV41" s="15" t="str">
        <f aca="false">IF($Z41="Yes","High",$AU41)</f>
        <v>High</v>
      </c>
    </row>
    <row r="42" customFormat="false" ht="15" hidden="false" customHeight="false" outlineLevel="0" collapsed="false">
      <c r="A42" s="7" t="str">
        <f aca="false">Customers!$A42</f>
        <v>NG-10313</v>
      </c>
      <c r="B42" s="7" t="str">
        <f aca="false">Customers!$B42</f>
        <v>Sole trader</v>
      </c>
      <c r="C42" s="8" t="n">
        <f aca="false">INDEX(Mapping!$C$2:$C$99,MATCH(C$1&amp;"|"&amp;Customers!C42,Mapping!$D$2:$D$99,0))</f>
        <v>2</v>
      </c>
      <c r="D42" s="8" t="n">
        <f aca="false">INDEX(Mapping!$C$2:$C$99,MATCH(D$1&amp;"|"&amp;Customers!D42,Mapping!$D$2:$D$99,0))</f>
        <v>1</v>
      </c>
      <c r="E42" s="8" t="n">
        <f aca="false">INDEX(Mapping!$C$2:$C$99,MATCH(E$1&amp;"|"&amp;Customers!E42,Mapping!$D$2:$D$99,0))</f>
        <v>3</v>
      </c>
      <c r="F42" s="8" t="n">
        <f aca="false">INDEX(Mapping!$C$2:$C$99,MATCH(F$1&amp;"|"&amp;Customers!F42,Mapping!$D$2:$D$99,0))</f>
        <v>1</v>
      </c>
      <c r="G42" s="8" t="n">
        <f aca="false">INDEX(Mapping!$C$2:$C$99,MATCH(G$1&amp;"|"&amp;Customers!G42,Mapping!$D$2:$D$99,0))</f>
        <v>2</v>
      </c>
      <c r="H42" s="8" t="n">
        <f aca="false">INDEX(Mapping!$C$2:$C$99,MATCH(H$1&amp;"|"&amp;Customers!H42,Mapping!$D$2:$D$99,0))</f>
        <v>1</v>
      </c>
      <c r="I42" s="8" t="n">
        <f aca="false">INDEX(Mapping!$C$2:$C$99,MATCH(I$1&amp;"|"&amp;Customers!I42,Mapping!$D$2:$D$99,0))</f>
        <v>1</v>
      </c>
      <c r="J42" s="8" t="n">
        <f aca="false">INDEX(Mapping!$C$2:$C$99,MATCH(J$1&amp;"|"&amp;Customers!J42,Mapping!$D$2:$D$99,0))</f>
        <v>1</v>
      </c>
      <c r="K42" s="8" t="n">
        <f aca="false">INDEX(Mapping!$C$2:$C$99,MATCH(K$1&amp;"|"&amp;Customers!K42,Mapping!$D$2:$D$99,0))</f>
        <v>4</v>
      </c>
      <c r="L42" s="8" t="n">
        <f aca="false">INDEX(Mapping!$C$2:$C$99,MATCH(L$1&amp;"|"&amp;Customers!L42,Mapping!$D$2:$D$99,0))</f>
        <v>5</v>
      </c>
      <c r="M42" s="8" t="n">
        <f aca="false">INDEX(Mapping!$C$2:$C$99,MATCH(M$1&amp;"|"&amp;Customers!M42,Mapping!$D$2:$D$99,0))</f>
        <v>2</v>
      </c>
      <c r="N42" s="8" t="n">
        <f aca="false">INDEX(Mapping!$C$2:$C$99,MATCH(N$1&amp;"|"&amp;Customers!N42,Mapping!$D$2:$D$99,0))</f>
        <v>1</v>
      </c>
      <c r="O42" s="8" t="n">
        <f aca="false">INDEX(Mapping!$C$2:$C$99,MATCH(O$1&amp;"|"&amp;Customers!O42,Mapping!$D$2:$D$99,0))</f>
        <v>3</v>
      </c>
      <c r="P42" s="8" t="n">
        <f aca="false">INDEX(Mapping!$C$2:$C$99,MATCH(P$1&amp;"|"&amp;Customers!P42,Mapping!$D$2:$D$99,0))</f>
        <v>3</v>
      </c>
      <c r="Q42" s="8" t="n">
        <f aca="false">INDEX(Mapping!$C$2:$C$99,MATCH(Q$1&amp;"|"&amp;Customers!Q42,Mapping!$D$2:$D$99,0))</f>
        <v>1</v>
      </c>
      <c r="R42" s="8" t="n">
        <f aca="false">INDEX(Mapping!$C$2:$C$99,MATCH(R$1&amp;"|"&amp;Customers!R42,Mapping!$D$2:$D$99,0))</f>
        <v>2</v>
      </c>
      <c r="S42" s="8" t="n">
        <f aca="false">INDEX(Mapping!$C$2:$C$99,MATCH(S$1&amp;"|"&amp;Customers!S42,Mapping!$D$2:$D$99,0))</f>
        <v>4</v>
      </c>
      <c r="T42" s="8" t="n">
        <f aca="false">INDEX(Mapping!$C$2:$C$99,MATCH(T$1&amp;"|"&amp;Customers!T42,Mapping!$D$2:$D$99,0))</f>
        <v>3</v>
      </c>
      <c r="U42" s="8" t="n">
        <f aca="false">INDEX(Mapping!$C$2:$C$99,MATCH(U$1&amp;"|"&amp;Customers!U42,Mapping!$D$2:$D$99,0))</f>
        <v>3</v>
      </c>
      <c r="V42" s="8" t="n">
        <f aca="false">INDEX(Mapping!$C$2:$C$99,MATCH(V$1&amp;"|"&amp;Customers!V42,Mapping!$D$2:$D$99,0))</f>
        <v>1</v>
      </c>
      <c r="W42" s="17" t="n">
        <f aca="false">SUMPRODUCT($C42:$V42,Weights!$C$27:$V$27)</f>
        <v>2.1525</v>
      </c>
      <c r="X42" s="18" t="n">
        <f aca="false">ROUND($W42,2)</f>
        <v>2.15</v>
      </c>
      <c r="Y42" s="8" t="str">
        <f aca="false">IF($X42&lt;=2,"Low",IF($X42&lt;=3.49,"Medium","High"))</f>
        <v>Medium</v>
      </c>
      <c r="Z42" s="8" t="str">
        <f aca="false">IF(OR($F42&gt;=3,$E42=5,$D42=5,$C42=5,$G42=5,$H42=5,$I42=5,$J42=5,Customers!$W42="Yes"),"Yes","No")</f>
        <v>No</v>
      </c>
      <c r="AA42" s="15" t="str">
        <f aca="false">IF($Z42="Yes","High",$Y42)</f>
        <v>Medium</v>
      </c>
      <c r="AB42" s="18" t="n">
        <f aca="false">SUMPRODUCT($C42:$G42,Weights!$C$28:$G$28)</f>
        <v>1.85</v>
      </c>
      <c r="AC42" s="18" t="n">
        <f aca="false">SUMPRODUCT($H42:$J42,Weights!$H$28:$J$28)</f>
        <v>1</v>
      </c>
      <c r="AD42" s="18" t="n">
        <f aca="false">SUMPRODUCT($K42:$N42,Weights!$K$28:$N$28)</f>
        <v>3.3</v>
      </c>
      <c r="AE42" s="18" t="n">
        <f aca="false">SUMPRODUCT($O42:$Q42,Weights!$O$28:$Q$28)</f>
        <v>2.6</v>
      </c>
      <c r="AF42" s="18" t="n">
        <f aca="false">SUMPRODUCT($R42:$V42,Weights!$R$28:$V$28)</f>
        <v>2.85</v>
      </c>
      <c r="AH42" s="18" t="n">
        <f aca="false">SUMPRODUCT($AB42:$AF42,Validation!$D$7:$H$7)</f>
        <v>2.19571428571455</v>
      </c>
      <c r="AI42" s="18" t="n">
        <f aca="false">SUMPRODUCT($AB42:$AF42,Validation!$D$8:$H$8)</f>
        <v>2.10928571428545</v>
      </c>
      <c r="AJ42" s="18" t="n">
        <f aca="false">SUMPRODUCT($AB42:$AF42,Validation!$D$9:$H$9)</f>
        <v>2.3061666666669</v>
      </c>
      <c r="AK42" s="18" t="n">
        <f aca="false">SUMPRODUCT($AB42:$AF42,Validation!$D$10:$H$10)</f>
        <v>1.9988333333331</v>
      </c>
      <c r="AL42" s="18" t="n">
        <f aca="false">SUMPRODUCT($AB42:$AF42,Validation!$D$11:$H$11)</f>
        <v>2.0090625</v>
      </c>
      <c r="AM42" s="18" t="n">
        <f aca="false">SUMPRODUCT($AB42:$AF42,Validation!$D$12:$H$12)</f>
        <v>2.2959375</v>
      </c>
      <c r="AN42" s="18" t="n">
        <f aca="false">SUMPRODUCT($AB42:$AF42,Validation!$D$13:$H$13)</f>
        <v>2.1027777777776</v>
      </c>
      <c r="AO42" s="18" t="n">
        <f aca="false">SUMPRODUCT($AB42:$AF42,Validation!$D$14:$H$14)</f>
        <v>2.2022222222224</v>
      </c>
      <c r="AP42" s="18" t="n">
        <f aca="false">SUMPRODUCT($AB42:$AF42,Validation!$D$15:$H$15)</f>
        <v>2.07044117647065</v>
      </c>
      <c r="AQ42" s="18" t="n">
        <f aca="false">SUMPRODUCT($AB42:$AF42,Validation!$D$16:$H$16)</f>
        <v>2.23455882352935</v>
      </c>
      <c r="AR42" s="8" t="n">
        <f aca="false">COUNTIF($C42:$V42,"&gt;=4")</f>
        <v>3</v>
      </c>
      <c r="AS42" s="8" t="str">
        <f aca="false">IF($X42&lt;=1.6,"Low",IF($X42&lt;=2.2,"Medium","High"))</f>
        <v>Medium</v>
      </c>
      <c r="AT42" s="8" t="str">
        <f aca="false">IF($AR42=0,"Low",IF($AR42&lt;3,"Medium","High"))</f>
        <v>High</v>
      </c>
      <c r="AU42" s="8" t="str">
        <f aca="false">IF(OR($AS42="High",$AT42="High"),"High",IF(OR($AS42="Medium",$AT42="Medium"),"Medium","Low"))</f>
        <v>High</v>
      </c>
      <c r="AV42" s="15" t="str">
        <f aca="false">IF($Z42="Yes","High",$AU42)</f>
        <v>High</v>
      </c>
    </row>
    <row r="43" customFormat="false" ht="15" hidden="false" customHeight="false" outlineLevel="0" collapsed="false">
      <c r="A43" s="7" t="str">
        <f aca="false">Customers!$A43</f>
        <v>NG-10230</v>
      </c>
      <c r="B43" s="7" t="str">
        <f aca="false">Customers!$B43</f>
        <v>Personal</v>
      </c>
      <c r="C43" s="8" t="n">
        <f aca="false">INDEX(Mapping!$C$2:$C$99,MATCH(C$1&amp;"|"&amp;Customers!C43,Mapping!$D$2:$D$99,0))</f>
        <v>2</v>
      </c>
      <c r="D43" s="8" t="n">
        <f aca="false">INDEX(Mapping!$C$2:$C$99,MATCH(D$1&amp;"|"&amp;Customers!D43,Mapping!$D$2:$D$99,0))</f>
        <v>1</v>
      </c>
      <c r="E43" s="8" t="n">
        <f aca="false">INDEX(Mapping!$C$2:$C$99,MATCH(E$1&amp;"|"&amp;Customers!E43,Mapping!$D$2:$D$99,0))</f>
        <v>1</v>
      </c>
      <c r="F43" s="8" t="n">
        <f aca="false">INDEX(Mapping!$C$2:$C$99,MATCH(F$1&amp;"|"&amp;Customers!F43,Mapping!$D$2:$D$99,0))</f>
        <v>1</v>
      </c>
      <c r="G43" s="8" t="n">
        <f aca="false">INDEX(Mapping!$C$2:$C$99,MATCH(G$1&amp;"|"&amp;Customers!G43,Mapping!$D$2:$D$99,0))</f>
        <v>1</v>
      </c>
      <c r="H43" s="8" t="n">
        <f aca="false">INDEX(Mapping!$C$2:$C$99,MATCH(H$1&amp;"|"&amp;Customers!H43,Mapping!$D$2:$D$99,0))</f>
        <v>1</v>
      </c>
      <c r="I43" s="8" t="n">
        <f aca="false">INDEX(Mapping!$C$2:$C$99,MATCH(I$1&amp;"|"&amp;Customers!I43,Mapping!$D$2:$D$99,0))</f>
        <v>1</v>
      </c>
      <c r="J43" s="8" t="n">
        <f aca="false">INDEX(Mapping!$C$2:$C$99,MATCH(J$1&amp;"|"&amp;Customers!J43,Mapping!$D$2:$D$99,0))</f>
        <v>2</v>
      </c>
      <c r="K43" s="8" t="n">
        <f aca="false">INDEX(Mapping!$C$2:$C$99,MATCH(K$1&amp;"|"&amp;Customers!K43,Mapping!$D$2:$D$99,0))</f>
        <v>2</v>
      </c>
      <c r="L43" s="8" t="n">
        <f aca="false">INDEX(Mapping!$C$2:$C$99,MATCH(L$1&amp;"|"&amp;Customers!L43,Mapping!$D$2:$D$99,0))</f>
        <v>3</v>
      </c>
      <c r="M43" s="8" t="n">
        <f aca="false">INDEX(Mapping!$C$2:$C$99,MATCH(M$1&amp;"|"&amp;Customers!M43,Mapping!$D$2:$D$99,0))</f>
        <v>2</v>
      </c>
      <c r="N43" s="8" t="n">
        <f aca="false">INDEX(Mapping!$C$2:$C$99,MATCH(N$1&amp;"|"&amp;Customers!N43,Mapping!$D$2:$D$99,0))</f>
        <v>3</v>
      </c>
      <c r="O43" s="8" t="n">
        <f aca="false">INDEX(Mapping!$C$2:$C$99,MATCH(O$1&amp;"|"&amp;Customers!O43,Mapping!$D$2:$D$99,0))</f>
        <v>3</v>
      </c>
      <c r="P43" s="8" t="n">
        <f aca="false">INDEX(Mapping!$C$2:$C$99,MATCH(P$1&amp;"|"&amp;Customers!P43,Mapping!$D$2:$D$99,0))</f>
        <v>3</v>
      </c>
      <c r="Q43" s="8" t="n">
        <f aca="false">INDEX(Mapping!$C$2:$C$99,MATCH(Q$1&amp;"|"&amp;Customers!Q43,Mapping!$D$2:$D$99,0))</f>
        <v>1</v>
      </c>
      <c r="R43" s="8" t="n">
        <f aca="false">INDEX(Mapping!$C$2:$C$99,MATCH(R$1&amp;"|"&amp;Customers!R43,Mapping!$D$2:$D$99,0))</f>
        <v>3</v>
      </c>
      <c r="S43" s="8" t="n">
        <f aca="false">INDEX(Mapping!$C$2:$C$99,MATCH(S$1&amp;"|"&amp;Customers!S43,Mapping!$D$2:$D$99,0))</f>
        <v>2</v>
      </c>
      <c r="T43" s="8" t="n">
        <f aca="false">INDEX(Mapping!$C$2:$C$99,MATCH(T$1&amp;"|"&amp;Customers!T43,Mapping!$D$2:$D$99,0))</f>
        <v>1</v>
      </c>
      <c r="U43" s="8" t="n">
        <f aca="false">INDEX(Mapping!$C$2:$C$99,MATCH(U$1&amp;"|"&amp;Customers!U43,Mapping!$D$2:$D$99,0))</f>
        <v>1</v>
      </c>
      <c r="V43" s="8" t="n">
        <f aca="false">INDEX(Mapping!$C$2:$C$99,MATCH(V$1&amp;"|"&amp;Customers!V43,Mapping!$D$2:$D$99,0))</f>
        <v>1</v>
      </c>
      <c r="W43" s="17" t="n">
        <f aca="false">SUMPRODUCT($C43:$V43,Weights!$C$27:$V$27)</f>
        <v>1.72</v>
      </c>
      <c r="X43" s="18" t="n">
        <f aca="false">ROUND($W43,2)</f>
        <v>1.72</v>
      </c>
      <c r="Y43" s="8" t="str">
        <f aca="false">IF($X43&lt;=2,"Low",IF($X43&lt;=3.49,"Medium","High"))</f>
        <v>Low</v>
      </c>
      <c r="Z43" s="8" t="str">
        <f aca="false">IF(OR($F43&gt;=3,$E43=5,$D43=5,$C43=5,$G43=5,$H43=5,$I43=5,$J43=5,Customers!$W43="Yes"),"Yes","No")</f>
        <v>No</v>
      </c>
      <c r="AA43" s="15" t="str">
        <f aca="false">IF($Z43="Yes","High",$Y43)</f>
        <v>Low</v>
      </c>
      <c r="AB43" s="18" t="n">
        <f aca="false">SUMPRODUCT($C43:$G43,Weights!$C$28:$G$28)</f>
        <v>1.2</v>
      </c>
      <c r="AC43" s="18" t="n">
        <f aca="false">SUMPRODUCT($H43:$J43,Weights!$H$28:$J$28)</f>
        <v>1.4</v>
      </c>
      <c r="AD43" s="18" t="n">
        <f aca="false">SUMPRODUCT($K43:$N43,Weights!$K$28:$N$28)</f>
        <v>2.4</v>
      </c>
      <c r="AE43" s="18" t="n">
        <f aca="false">SUMPRODUCT($O43:$Q43,Weights!$O$28:$Q$28)</f>
        <v>2.6</v>
      </c>
      <c r="AF43" s="18" t="n">
        <f aca="false">SUMPRODUCT($R43:$V43,Weights!$R$28:$V$28)</f>
        <v>1.8</v>
      </c>
      <c r="AH43" s="18" t="n">
        <f aca="false">SUMPRODUCT($AB43:$AF43,Validation!$D$7:$H$7)</f>
        <v>1.7942857142858</v>
      </c>
      <c r="AI43" s="18" t="n">
        <f aca="false">SUMPRODUCT($AB43:$AF43,Validation!$D$8:$H$8)</f>
        <v>1.6457142857142</v>
      </c>
      <c r="AJ43" s="18" t="n">
        <f aca="false">SUMPRODUCT($AB43:$AF43,Validation!$D$9:$H$9)</f>
        <v>1.7626666666666</v>
      </c>
      <c r="AK43" s="18" t="n">
        <f aca="false">SUMPRODUCT($AB43:$AF43,Validation!$D$10:$H$10)</f>
        <v>1.6773333333334</v>
      </c>
      <c r="AL43" s="18" t="n">
        <f aca="false">SUMPRODUCT($AB43:$AF43,Validation!$D$11:$H$11)</f>
        <v>1.635</v>
      </c>
      <c r="AM43" s="18" t="n">
        <f aca="false">SUMPRODUCT($AB43:$AF43,Validation!$D$12:$H$12)</f>
        <v>1.805</v>
      </c>
      <c r="AN43" s="18" t="n">
        <f aca="false">SUMPRODUCT($AB43:$AF43,Validation!$D$13:$H$13)</f>
        <v>1.6222222222222</v>
      </c>
      <c r="AO43" s="18" t="n">
        <f aca="false">SUMPRODUCT($AB43:$AF43,Validation!$D$14:$H$14)</f>
        <v>1.8177777777778</v>
      </c>
      <c r="AP43" s="18" t="n">
        <f aca="false">SUMPRODUCT($AB43:$AF43,Validation!$D$15:$H$15)</f>
        <v>1.710588235294</v>
      </c>
      <c r="AQ43" s="18" t="n">
        <f aca="false">SUMPRODUCT($AB43:$AF43,Validation!$D$16:$H$16)</f>
        <v>1.729411764706</v>
      </c>
      <c r="AR43" s="8" t="n">
        <f aca="false">COUNTIF($C43:$V43,"&gt;=4")</f>
        <v>0</v>
      </c>
      <c r="AS43" s="8" t="str">
        <f aca="false">IF($X43&lt;=1.6,"Low",IF($X43&lt;=2.2,"Medium","High"))</f>
        <v>Medium</v>
      </c>
      <c r="AT43" s="8" t="str">
        <f aca="false">IF($AR43=0,"Low",IF($AR43&lt;3,"Medium","High"))</f>
        <v>Low</v>
      </c>
      <c r="AU43" s="8" t="str">
        <f aca="false">IF(OR($AS43="High",$AT43="High"),"High",IF(OR($AS43="Medium",$AT43="Medium"),"Medium","Low"))</f>
        <v>Medium</v>
      </c>
      <c r="AV43" s="15" t="str">
        <f aca="false">IF($Z43="Yes","High",$AU43)</f>
        <v>Medium</v>
      </c>
    </row>
    <row r="44" customFormat="false" ht="15" hidden="false" customHeight="false" outlineLevel="0" collapsed="false">
      <c r="A44" s="7" t="str">
        <f aca="false">Customers!$A44</f>
        <v>NG-10091</v>
      </c>
      <c r="B44" s="7" t="str">
        <f aca="false">Customers!$B44</f>
        <v>Personal</v>
      </c>
      <c r="C44" s="8" t="n">
        <f aca="false">INDEX(Mapping!$C$2:$C$99,MATCH(C$1&amp;"|"&amp;Customers!C44,Mapping!$D$2:$D$99,0))</f>
        <v>1</v>
      </c>
      <c r="D44" s="8" t="n">
        <f aca="false">INDEX(Mapping!$C$2:$C$99,MATCH(D$1&amp;"|"&amp;Customers!D44,Mapping!$D$2:$D$99,0))</f>
        <v>1</v>
      </c>
      <c r="E44" s="8" t="n">
        <f aca="false">INDEX(Mapping!$C$2:$C$99,MATCH(E$1&amp;"|"&amp;Customers!E44,Mapping!$D$2:$D$99,0))</f>
        <v>2</v>
      </c>
      <c r="F44" s="8" t="n">
        <f aca="false">INDEX(Mapping!$C$2:$C$99,MATCH(F$1&amp;"|"&amp;Customers!F44,Mapping!$D$2:$D$99,0))</f>
        <v>1</v>
      </c>
      <c r="G44" s="8" t="n">
        <f aca="false">INDEX(Mapping!$C$2:$C$99,MATCH(G$1&amp;"|"&amp;Customers!G44,Mapping!$D$2:$D$99,0))</f>
        <v>1</v>
      </c>
      <c r="H44" s="8" t="n">
        <f aca="false">INDEX(Mapping!$C$2:$C$99,MATCH(H$1&amp;"|"&amp;Customers!H44,Mapping!$D$2:$D$99,0))</f>
        <v>1</v>
      </c>
      <c r="I44" s="8" t="n">
        <f aca="false">INDEX(Mapping!$C$2:$C$99,MATCH(I$1&amp;"|"&amp;Customers!I44,Mapping!$D$2:$D$99,0))</f>
        <v>1</v>
      </c>
      <c r="J44" s="8" t="n">
        <f aca="false">INDEX(Mapping!$C$2:$C$99,MATCH(J$1&amp;"|"&amp;Customers!J44,Mapping!$D$2:$D$99,0))</f>
        <v>2</v>
      </c>
      <c r="K44" s="8" t="n">
        <f aca="false">INDEX(Mapping!$C$2:$C$99,MATCH(K$1&amp;"|"&amp;Customers!K44,Mapping!$D$2:$D$99,0))</f>
        <v>3</v>
      </c>
      <c r="L44" s="8" t="n">
        <f aca="false">INDEX(Mapping!$C$2:$C$99,MATCH(L$1&amp;"|"&amp;Customers!L44,Mapping!$D$2:$D$99,0))</f>
        <v>1</v>
      </c>
      <c r="M44" s="8" t="n">
        <f aca="false">INDEX(Mapping!$C$2:$C$99,MATCH(M$1&amp;"|"&amp;Customers!M44,Mapping!$D$2:$D$99,0))</f>
        <v>2</v>
      </c>
      <c r="N44" s="8" t="n">
        <f aca="false">INDEX(Mapping!$C$2:$C$99,MATCH(N$1&amp;"|"&amp;Customers!N44,Mapping!$D$2:$D$99,0))</f>
        <v>1</v>
      </c>
      <c r="O44" s="8" t="n">
        <f aca="false">INDEX(Mapping!$C$2:$C$99,MATCH(O$1&amp;"|"&amp;Customers!O44,Mapping!$D$2:$D$99,0))</f>
        <v>3</v>
      </c>
      <c r="P44" s="8" t="n">
        <f aca="false">INDEX(Mapping!$C$2:$C$99,MATCH(P$1&amp;"|"&amp;Customers!P44,Mapping!$D$2:$D$99,0))</f>
        <v>3</v>
      </c>
      <c r="Q44" s="8" t="n">
        <f aca="false">INDEX(Mapping!$C$2:$C$99,MATCH(Q$1&amp;"|"&amp;Customers!Q44,Mapping!$D$2:$D$99,0))</f>
        <v>1</v>
      </c>
      <c r="R44" s="8" t="n">
        <f aca="false">INDEX(Mapping!$C$2:$C$99,MATCH(R$1&amp;"|"&amp;Customers!R44,Mapping!$D$2:$D$99,0))</f>
        <v>3</v>
      </c>
      <c r="S44" s="8" t="n">
        <f aca="false">INDEX(Mapping!$C$2:$C$99,MATCH(S$1&amp;"|"&amp;Customers!S44,Mapping!$D$2:$D$99,0))</f>
        <v>1</v>
      </c>
      <c r="T44" s="8" t="n">
        <f aca="false">INDEX(Mapping!$C$2:$C$99,MATCH(T$1&amp;"|"&amp;Customers!T44,Mapping!$D$2:$D$99,0))</f>
        <v>1</v>
      </c>
      <c r="U44" s="8" t="n">
        <f aca="false">INDEX(Mapping!$C$2:$C$99,MATCH(U$1&amp;"|"&amp;Customers!U44,Mapping!$D$2:$D$99,0))</f>
        <v>1</v>
      </c>
      <c r="V44" s="8" t="n">
        <f aca="false">INDEX(Mapping!$C$2:$C$99,MATCH(V$1&amp;"|"&amp;Customers!V44,Mapping!$D$2:$D$99,0))</f>
        <v>1</v>
      </c>
      <c r="W44" s="17" t="n">
        <f aca="false">SUMPRODUCT($C44:$V44,Weights!$C$27:$V$27)</f>
        <v>1.6</v>
      </c>
      <c r="X44" s="18" t="n">
        <f aca="false">ROUND($W44,2)</f>
        <v>1.6</v>
      </c>
      <c r="Y44" s="8" t="str">
        <f aca="false">IF($X44&lt;=2,"Low",IF($X44&lt;=3.49,"Medium","High"))</f>
        <v>Low</v>
      </c>
      <c r="Z44" s="8" t="str">
        <f aca="false">IF(OR($F44&gt;=3,$E44=5,$D44=5,$C44=5,$G44=5,$H44=5,$I44=5,$J44=5,Customers!$W44="Yes"),"Yes","No")</f>
        <v>No</v>
      </c>
      <c r="AA44" s="15" t="str">
        <f aca="false">IF($Z44="Yes","High",$Y44)</f>
        <v>Low</v>
      </c>
      <c r="AB44" s="18" t="n">
        <f aca="false">SUMPRODUCT($C44:$G44,Weights!$C$28:$G$28)</f>
        <v>1.25</v>
      </c>
      <c r="AC44" s="18" t="n">
        <f aca="false">SUMPRODUCT($H44:$J44,Weights!$H$28:$J$28)</f>
        <v>1.4</v>
      </c>
      <c r="AD44" s="18" t="n">
        <f aca="false">SUMPRODUCT($K44:$N44,Weights!$K$28:$N$28)</f>
        <v>1.95</v>
      </c>
      <c r="AE44" s="18" t="n">
        <f aca="false">SUMPRODUCT($O44:$Q44,Weights!$O$28:$Q$28)</f>
        <v>2.6</v>
      </c>
      <c r="AF44" s="18" t="n">
        <f aca="false">SUMPRODUCT($R44:$V44,Weights!$R$28:$V$28)</f>
        <v>1.5</v>
      </c>
      <c r="AH44" s="18" t="n">
        <f aca="false">SUMPRODUCT($AB44:$AF44,Validation!$D$7:$H$7)</f>
        <v>1.65000000000015</v>
      </c>
      <c r="AI44" s="18" t="n">
        <f aca="false">SUMPRODUCT($AB44:$AF44,Validation!$D$8:$H$8)</f>
        <v>1.54999999999985</v>
      </c>
      <c r="AJ44" s="18" t="n">
        <f aca="false">SUMPRODUCT($AB44:$AF44,Validation!$D$9:$H$9)</f>
        <v>1.62666666666645</v>
      </c>
      <c r="AK44" s="18" t="n">
        <f aca="false">SUMPRODUCT($AB44:$AF44,Validation!$D$10:$H$10)</f>
        <v>1.57333333333355</v>
      </c>
      <c r="AL44" s="18" t="n">
        <f aca="false">SUMPRODUCT($AB44:$AF44,Validation!$D$11:$H$11)</f>
        <v>1.55625</v>
      </c>
      <c r="AM44" s="18" t="n">
        <f aca="false">SUMPRODUCT($AB44:$AF44,Validation!$D$12:$H$12)</f>
        <v>1.64375</v>
      </c>
      <c r="AN44" s="18" t="n">
        <f aca="false">SUMPRODUCT($AB44:$AF44,Validation!$D$13:$H$13)</f>
        <v>1.48888888888885</v>
      </c>
      <c r="AO44" s="18" t="n">
        <f aca="false">SUMPRODUCT($AB44:$AF44,Validation!$D$14:$H$14)</f>
        <v>1.71111111111115</v>
      </c>
      <c r="AP44" s="18" t="n">
        <f aca="false">SUMPRODUCT($AB44:$AF44,Validation!$D$15:$H$15)</f>
        <v>1.6117647058821</v>
      </c>
      <c r="AQ44" s="18" t="n">
        <f aca="false">SUMPRODUCT($AB44:$AF44,Validation!$D$16:$H$16)</f>
        <v>1.5882352941179</v>
      </c>
      <c r="AR44" s="8" t="n">
        <f aca="false">COUNTIF($C44:$V44,"&gt;=4")</f>
        <v>0</v>
      </c>
      <c r="AS44" s="8" t="str">
        <f aca="false">IF($X44&lt;=1.6,"Low",IF($X44&lt;=2.2,"Medium","High"))</f>
        <v>Low</v>
      </c>
      <c r="AT44" s="8" t="str">
        <f aca="false">IF($AR44=0,"Low",IF($AR44&lt;3,"Medium","High"))</f>
        <v>Low</v>
      </c>
      <c r="AU44" s="8" t="str">
        <f aca="false">IF(OR($AS44="High",$AT44="High"),"High",IF(OR($AS44="Medium",$AT44="Medium"),"Medium","Low"))</f>
        <v>Low</v>
      </c>
      <c r="AV44" s="15" t="str">
        <f aca="false">IF($Z44="Yes","High",$AU44)</f>
        <v>Low</v>
      </c>
    </row>
    <row r="45" customFormat="false" ht="15" hidden="false" customHeight="false" outlineLevel="0" collapsed="false">
      <c r="A45" s="7" t="str">
        <f aca="false">Customers!$A45</f>
        <v>NG-10032</v>
      </c>
      <c r="B45" s="7" t="str">
        <f aca="false">Customers!$B45</f>
        <v>Personal</v>
      </c>
      <c r="C45" s="8" t="n">
        <f aca="false">INDEX(Mapping!$C$2:$C$99,MATCH(C$1&amp;"|"&amp;Customers!C45,Mapping!$D$2:$D$99,0))</f>
        <v>1</v>
      </c>
      <c r="D45" s="8" t="n">
        <f aca="false">INDEX(Mapping!$C$2:$C$99,MATCH(D$1&amp;"|"&amp;Customers!D45,Mapping!$D$2:$D$99,0))</f>
        <v>1</v>
      </c>
      <c r="E45" s="8" t="n">
        <f aca="false">INDEX(Mapping!$C$2:$C$99,MATCH(E$1&amp;"|"&amp;Customers!E45,Mapping!$D$2:$D$99,0))</f>
        <v>1</v>
      </c>
      <c r="F45" s="8" t="n">
        <f aca="false">INDEX(Mapping!$C$2:$C$99,MATCH(F$1&amp;"|"&amp;Customers!F45,Mapping!$D$2:$D$99,0))</f>
        <v>1</v>
      </c>
      <c r="G45" s="8" t="n">
        <f aca="false">INDEX(Mapping!$C$2:$C$99,MATCH(G$1&amp;"|"&amp;Customers!G45,Mapping!$D$2:$D$99,0))</f>
        <v>1</v>
      </c>
      <c r="H45" s="8" t="n">
        <f aca="false">INDEX(Mapping!$C$2:$C$99,MATCH(H$1&amp;"|"&amp;Customers!H45,Mapping!$D$2:$D$99,0))</f>
        <v>1</v>
      </c>
      <c r="I45" s="8" t="n">
        <f aca="false">INDEX(Mapping!$C$2:$C$99,MATCH(I$1&amp;"|"&amp;Customers!I45,Mapping!$D$2:$D$99,0))</f>
        <v>1</v>
      </c>
      <c r="J45" s="8" t="n">
        <f aca="false">INDEX(Mapping!$C$2:$C$99,MATCH(J$1&amp;"|"&amp;Customers!J45,Mapping!$D$2:$D$99,0))</f>
        <v>1</v>
      </c>
      <c r="K45" s="8" t="n">
        <f aca="false">INDEX(Mapping!$C$2:$C$99,MATCH(K$1&amp;"|"&amp;Customers!K45,Mapping!$D$2:$D$99,0))</f>
        <v>1</v>
      </c>
      <c r="L45" s="8" t="n">
        <f aca="false">INDEX(Mapping!$C$2:$C$99,MATCH(L$1&amp;"|"&amp;Customers!L45,Mapping!$D$2:$D$99,0))</f>
        <v>3</v>
      </c>
      <c r="M45" s="8" t="n">
        <f aca="false">INDEX(Mapping!$C$2:$C$99,MATCH(M$1&amp;"|"&amp;Customers!M45,Mapping!$D$2:$D$99,0))</f>
        <v>1</v>
      </c>
      <c r="N45" s="8" t="n">
        <f aca="false">INDEX(Mapping!$C$2:$C$99,MATCH(N$1&amp;"|"&amp;Customers!N45,Mapping!$D$2:$D$99,0))</f>
        <v>2</v>
      </c>
      <c r="O45" s="8" t="n">
        <f aca="false">INDEX(Mapping!$C$2:$C$99,MATCH(O$1&amp;"|"&amp;Customers!O45,Mapping!$D$2:$D$99,0))</f>
        <v>4</v>
      </c>
      <c r="P45" s="8" t="n">
        <f aca="false">INDEX(Mapping!$C$2:$C$99,MATCH(P$1&amp;"|"&amp;Customers!P45,Mapping!$D$2:$D$99,0))</f>
        <v>3</v>
      </c>
      <c r="Q45" s="8" t="n">
        <f aca="false">INDEX(Mapping!$C$2:$C$99,MATCH(Q$1&amp;"|"&amp;Customers!Q45,Mapping!$D$2:$D$99,0))</f>
        <v>1</v>
      </c>
      <c r="R45" s="8" t="n">
        <f aca="false">INDEX(Mapping!$C$2:$C$99,MATCH(R$1&amp;"|"&amp;Customers!R45,Mapping!$D$2:$D$99,0))</f>
        <v>1</v>
      </c>
      <c r="S45" s="8" t="n">
        <f aca="false">INDEX(Mapping!$C$2:$C$99,MATCH(S$1&amp;"|"&amp;Customers!S45,Mapping!$D$2:$D$99,0))</f>
        <v>1</v>
      </c>
      <c r="T45" s="8" t="n">
        <f aca="false">INDEX(Mapping!$C$2:$C$99,MATCH(T$1&amp;"|"&amp;Customers!T45,Mapping!$D$2:$D$99,0))</f>
        <v>1</v>
      </c>
      <c r="U45" s="8" t="n">
        <f aca="false">INDEX(Mapping!$C$2:$C$99,MATCH(U$1&amp;"|"&amp;Customers!U45,Mapping!$D$2:$D$99,0))</f>
        <v>1</v>
      </c>
      <c r="V45" s="8" t="n">
        <f aca="false">INDEX(Mapping!$C$2:$C$99,MATCH(V$1&amp;"|"&amp;Customers!V45,Mapping!$D$2:$D$99,0))</f>
        <v>1</v>
      </c>
      <c r="W45" s="17" t="n">
        <f aca="false">SUMPRODUCT($C45:$V45,Weights!$C$27:$V$27)</f>
        <v>1.335</v>
      </c>
      <c r="X45" s="18" t="n">
        <f aca="false">ROUND($W45,2)</f>
        <v>1.34</v>
      </c>
      <c r="Y45" s="8" t="str">
        <f aca="false">IF($X45&lt;=2,"Low",IF($X45&lt;=3.49,"Medium","High"))</f>
        <v>Low</v>
      </c>
      <c r="Z45" s="8" t="str">
        <f aca="false">IF(OR($F45&gt;=3,$E45=5,$D45=5,$C45=5,$G45=5,$H45=5,$I45=5,$J45=5,Customers!$W45="Yes"),"Yes","No")</f>
        <v>No</v>
      </c>
      <c r="AA45" s="15" t="str">
        <f aca="false">IF($Z45="Yes","High",$Y45)</f>
        <v>Low</v>
      </c>
      <c r="AB45" s="18" t="n">
        <f aca="false">SUMPRODUCT($C45:$G45,Weights!$C$28:$G$28)</f>
        <v>1</v>
      </c>
      <c r="AC45" s="18" t="n">
        <f aca="false">SUMPRODUCT($H45:$J45,Weights!$H$28:$J$28)</f>
        <v>1</v>
      </c>
      <c r="AD45" s="18" t="n">
        <f aca="false">SUMPRODUCT($K45:$N45,Weights!$K$28:$N$28)</f>
        <v>1.65</v>
      </c>
      <c r="AE45" s="18" t="n">
        <f aca="false">SUMPRODUCT($O45:$Q45,Weights!$O$28:$Q$28)</f>
        <v>3.05</v>
      </c>
      <c r="AF45" s="18" t="n">
        <f aca="false">SUMPRODUCT($R45:$V45,Weights!$R$28:$V$28)</f>
        <v>1</v>
      </c>
      <c r="AH45" s="18" t="n">
        <f aca="false">SUMPRODUCT($AB45:$AF45,Validation!$D$7:$H$7)</f>
        <v>1.38285714285745</v>
      </c>
      <c r="AI45" s="18" t="n">
        <f aca="false">SUMPRODUCT($AB45:$AF45,Validation!$D$8:$H$8)</f>
        <v>1.28714285714255</v>
      </c>
      <c r="AJ45" s="18" t="n">
        <f aca="false">SUMPRODUCT($AB45:$AF45,Validation!$D$9:$H$9)</f>
        <v>1.3796666666662</v>
      </c>
      <c r="AK45" s="18" t="n">
        <f aca="false">SUMPRODUCT($AB45:$AF45,Validation!$D$10:$H$10)</f>
        <v>1.2903333333338</v>
      </c>
      <c r="AL45" s="18" t="n">
        <f aca="false">SUMPRODUCT($AB45:$AF45,Validation!$D$11:$H$11)</f>
        <v>1.295625</v>
      </c>
      <c r="AM45" s="18" t="n">
        <f aca="false">SUMPRODUCT($AB45:$AF45,Validation!$D$12:$H$12)</f>
        <v>1.374375</v>
      </c>
      <c r="AN45" s="18" t="n">
        <f aca="false">SUMPRODUCT($AB45:$AF45,Validation!$D$13:$H$13)</f>
        <v>1.1444444444443</v>
      </c>
      <c r="AO45" s="18" t="n">
        <f aca="false">SUMPRODUCT($AB45:$AF45,Validation!$D$14:$H$14)</f>
        <v>1.5255555555557</v>
      </c>
      <c r="AP45" s="18" t="n">
        <f aca="false">SUMPRODUCT($AB45:$AF45,Validation!$D$15:$H$15)</f>
        <v>1.37441176470535</v>
      </c>
      <c r="AQ45" s="18" t="n">
        <f aca="false">SUMPRODUCT($AB45:$AF45,Validation!$D$16:$H$16)</f>
        <v>1.29558823529465</v>
      </c>
      <c r="AR45" s="8" t="n">
        <f aca="false">COUNTIF($C45:$V45,"&gt;=4")</f>
        <v>1</v>
      </c>
      <c r="AS45" s="8" t="str">
        <f aca="false">IF($X45&lt;=1.6,"Low",IF($X45&lt;=2.2,"Medium","High"))</f>
        <v>Low</v>
      </c>
      <c r="AT45" s="8" t="str">
        <f aca="false">IF($AR45=0,"Low",IF($AR45&lt;3,"Medium","High"))</f>
        <v>Medium</v>
      </c>
      <c r="AU45" s="8" t="str">
        <f aca="false">IF(OR($AS45="High",$AT45="High"),"High",IF(OR($AS45="Medium",$AT45="Medium"),"Medium","Low"))</f>
        <v>Medium</v>
      </c>
      <c r="AV45" s="15" t="str">
        <f aca="false">IF($Z45="Yes","High",$AU45)</f>
        <v>Medium</v>
      </c>
    </row>
    <row r="46" customFormat="false" ht="15" hidden="false" customHeight="false" outlineLevel="0" collapsed="false">
      <c r="A46" s="7" t="str">
        <f aca="false">Customers!$A46</f>
        <v>NG-10092</v>
      </c>
      <c r="B46" s="7" t="str">
        <f aca="false">Customers!$B46</f>
        <v>Personal</v>
      </c>
      <c r="C46" s="8" t="n">
        <f aca="false">INDEX(Mapping!$C$2:$C$99,MATCH(C$1&amp;"|"&amp;Customers!C46,Mapping!$D$2:$D$99,0))</f>
        <v>1</v>
      </c>
      <c r="D46" s="8" t="n">
        <f aca="false">INDEX(Mapping!$C$2:$C$99,MATCH(D$1&amp;"|"&amp;Customers!D46,Mapping!$D$2:$D$99,0))</f>
        <v>1</v>
      </c>
      <c r="E46" s="8" t="n">
        <f aca="false">INDEX(Mapping!$C$2:$C$99,MATCH(E$1&amp;"|"&amp;Customers!E46,Mapping!$D$2:$D$99,0))</f>
        <v>2</v>
      </c>
      <c r="F46" s="8" t="n">
        <f aca="false">INDEX(Mapping!$C$2:$C$99,MATCH(F$1&amp;"|"&amp;Customers!F46,Mapping!$D$2:$D$99,0))</f>
        <v>1</v>
      </c>
      <c r="G46" s="8" t="n">
        <f aca="false">INDEX(Mapping!$C$2:$C$99,MATCH(G$1&amp;"|"&amp;Customers!G46,Mapping!$D$2:$D$99,0))</f>
        <v>1</v>
      </c>
      <c r="H46" s="8" t="n">
        <f aca="false">INDEX(Mapping!$C$2:$C$99,MATCH(H$1&amp;"|"&amp;Customers!H46,Mapping!$D$2:$D$99,0))</f>
        <v>1</v>
      </c>
      <c r="I46" s="8" t="n">
        <f aca="false">INDEX(Mapping!$C$2:$C$99,MATCH(I$1&amp;"|"&amp;Customers!I46,Mapping!$D$2:$D$99,0))</f>
        <v>1</v>
      </c>
      <c r="J46" s="8" t="n">
        <f aca="false">INDEX(Mapping!$C$2:$C$99,MATCH(J$1&amp;"|"&amp;Customers!J46,Mapping!$D$2:$D$99,0))</f>
        <v>1</v>
      </c>
      <c r="K46" s="8" t="n">
        <f aca="false">INDEX(Mapping!$C$2:$C$99,MATCH(K$1&amp;"|"&amp;Customers!K46,Mapping!$D$2:$D$99,0))</f>
        <v>3</v>
      </c>
      <c r="L46" s="8" t="n">
        <f aca="false">INDEX(Mapping!$C$2:$C$99,MATCH(L$1&amp;"|"&amp;Customers!L46,Mapping!$D$2:$D$99,0))</f>
        <v>2</v>
      </c>
      <c r="M46" s="8" t="n">
        <f aca="false">INDEX(Mapping!$C$2:$C$99,MATCH(M$1&amp;"|"&amp;Customers!M46,Mapping!$D$2:$D$99,0))</f>
        <v>2</v>
      </c>
      <c r="N46" s="8" t="n">
        <f aca="false">INDEX(Mapping!$C$2:$C$99,MATCH(N$1&amp;"|"&amp;Customers!N46,Mapping!$D$2:$D$99,0))</f>
        <v>2</v>
      </c>
      <c r="O46" s="8" t="n">
        <f aca="false">INDEX(Mapping!$C$2:$C$99,MATCH(O$1&amp;"|"&amp;Customers!O46,Mapping!$D$2:$D$99,0))</f>
        <v>5</v>
      </c>
      <c r="P46" s="8" t="n">
        <f aca="false">INDEX(Mapping!$C$2:$C$99,MATCH(P$1&amp;"|"&amp;Customers!P46,Mapping!$D$2:$D$99,0))</f>
        <v>3</v>
      </c>
      <c r="Q46" s="8" t="n">
        <f aca="false">INDEX(Mapping!$C$2:$C$99,MATCH(Q$1&amp;"|"&amp;Customers!Q46,Mapping!$D$2:$D$99,0))</f>
        <v>3</v>
      </c>
      <c r="R46" s="8" t="n">
        <f aca="false">INDEX(Mapping!$C$2:$C$99,MATCH(R$1&amp;"|"&amp;Customers!R46,Mapping!$D$2:$D$99,0))</f>
        <v>1</v>
      </c>
      <c r="S46" s="8" t="n">
        <f aca="false">INDEX(Mapping!$C$2:$C$99,MATCH(S$1&amp;"|"&amp;Customers!S46,Mapping!$D$2:$D$99,0))</f>
        <v>3</v>
      </c>
      <c r="T46" s="8" t="n">
        <f aca="false">INDEX(Mapping!$C$2:$C$99,MATCH(T$1&amp;"|"&amp;Customers!T46,Mapping!$D$2:$D$99,0))</f>
        <v>1</v>
      </c>
      <c r="U46" s="8" t="n">
        <f aca="false">INDEX(Mapping!$C$2:$C$99,MATCH(U$1&amp;"|"&amp;Customers!U46,Mapping!$D$2:$D$99,0))</f>
        <v>2</v>
      </c>
      <c r="V46" s="8" t="n">
        <f aca="false">INDEX(Mapping!$C$2:$C$99,MATCH(V$1&amp;"|"&amp;Customers!V46,Mapping!$D$2:$D$99,0))</f>
        <v>1</v>
      </c>
      <c r="W46" s="17" t="n">
        <f aca="false">SUMPRODUCT($C46:$V46,Weights!$C$27:$V$27)</f>
        <v>1.7475</v>
      </c>
      <c r="X46" s="18" t="n">
        <f aca="false">ROUND($W46,2)</f>
        <v>1.75</v>
      </c>
      <c r="Y46" s="8" t="str">
        <f aca="false">IF($X46&lt;=2,"Low",IF($X46&lt;=3.49,"Medium","High"))</f>
        <v>Low</v>
      </c>
      <c r="Z46" s="8" t="str">
        <f aca="false">IF(OR($F46&gt;=3,$E46=5,$D46=5,$C46=5,$G46=5,$H46=5,$I46=5,$J46=5,Customers!$W46="Yes"),"Yes","No")</f>
        <v>No</v>
      </c>
      <c r="AA46" s="15" t="str">
        <f aca="false">IF($Z46="Yes","High",$Y46)</f>
        <v>Low</v>
      </c>
      <c r="AB46" s="18" t="n">
        <f aca="false">SUMPRODUCT($C46:$G46,Weights!$C$28:$G$28)</f>
        <v>1.25</v>
      </c>
      <c r="AC46" s="18" t="n">
        <f aca="false">SUMPRODUCT($H46:$J46,Weights!$H$28:$J$28)</f>
        <v>1</v>
      </c>
      <c r="AD46" s="18" t="n">
        <f aca="false">SUMPRODUCT($K46:$N46,Weights!$K$28:$N$28)</f>
        <v>2.35</v>
      </c>
      <c r="AE46" s="18" t="n">
        <f aca="false">SUMPRODUCT($O46:$Q46,Weights!$O$28:$Q$28)</f>
        <v>3.9</v>
      </c>
      <c r="AF46" s="18" t="n">
        <f aca="false">SUMPRODUCT($R46:$V46,Weights!$R$28:$V$28)</f>
        <v>1.75</v>
      </c>
      <c r="AH46" s="18" t="n">
        <f aca="false">SUMPRODUCT($AB46:$AF46,Validation!$D$7:$H$7)</f>
        <v>1.818571428572</v>
      </c>
      <c r="AI46" s="18" t="n">
        <f aca="false">SUMPRODUCT($AB46:$AF46,Validation!$D$8:$H$8)</f>
        <v>1.676428571428</v>
      </c>
      <c r="AJ46" s="18" t="n">
        <f aca="false">SUMPRODUCT($AB46:$AF46,Validation!$D$9:$H$9)</f>
        <v>1.84716666666615</v>
      </c>
      <c r="AK46" s="18" t="n">
        <f aca="false">SUMPRODUCT($AB46:$AF46,Validation!$D$10:$H$10)</f>
        <v>1.64783333333385</v>
      </c>
      <c r="AL46" s="18" t="n">
        <f aca="false">SUMPRODUCT($AB46:$AF46,Validation!$D$11:$H$11)</f>
        <v>1.6721875</v>
      </c>
      <c r="AM46" s="18" t="n">
        <f aca="false">SUMPRODUCT($AB46:$AF46,Validation!$D$12:$H$12)</f>
        <v>1.8228125</v>
      </c>
      <c r="AN46" s="18" t="n">
        <f aca="false">SUMPRODUCT($AB46:$AF46,Validation!$D$13:$H$13)</f>
        <v>1.5083333333332</v>
      </c>
      <c r="AO46" s="18" t="n">
        <f aca="false">SUMPRODUCT($AB46:$AF46,Validation!$D$14:$H$14)</f>
        <v>1.9866666666668</v>
      </c>
      <c r="AP46" s="18" t="n">
        <f aca="false">SUMPRODUCT($AB46:$AF46,Validation!$D$15:$H$15)</f>
        <v>1.7472058823523</v>
      </c>
      <c r="AQ46" s="18" t="n">
        <f aca="false">SUMPRODUCT($AB46:$AF46,Validation!$D$16:$H$16)</f>
        <v>1.7477941176477</v>
      </c>
      <c r="AR46" s="8" t="n">
        <f aca="false">COUNTIF($C46:$V46,"&gt;=4")</f>
        <v>1</v>
      </c>
      <c r="AS46" s="8" t="str">
        <f aca="false">IF($X46&lt;=1.6,"Low",IF($X46&lt;=2.2,"Medium","High"))</f>
        <v>Medium</v>
      </c>
      <c r="AT46" s="8" t="str">
        <f aca="false">IF($AR46=0,"Low",IF($AR46&lt;3,"Medium","High"))</f>
        <v>Medium</v>
      </c>
      <c r="AU46" s="8" t="str">
        <f aca="false">IF(OR($AS46="High",$AT46="High"),"High",IF(OR($AS46="Medium",$AT46="Medium"),"Medium","Low"))</f>
        <v>Medium</v>
      </c>
      <c r="AV46" s="15" t="str">
        <f aca="false">IF($Z46="Yes","High",$AU46)</f>
        <v>Medium</v>
      </c>
    </row>
    <row r="47" customFormat="false" ht="15" hidden="false" customHeight="false" outlineLevel="0" collapsed="false">
      <c r="A47" s="7" t="str">
        <f aca="false">Customers!$A47</f>
        <v>NG-10113</v>
      </c>
      <c r="B47" s="7" t="str">
        <f aca="false">Customers!$B47</f>
        <v>Personal</v>
      </c>
      <c r="C47" s="8" t="n">
        <f aca="false">INDEX(Mapping!$C$2:$C$99,MATCH(C$1&amp;"|"&amp;Customers!C47,Mapping!$D$2:$D$99,0))</f>
        <v>2</v>
      </c>
      <c r="D47" s="8" t="n">
        <f aca="false">INDEX(Mapping!$C$2:$C$99,MATCH(D$1&amp;"|"&amp;Customers!D47,Mapping!$D$2:$D$99,0))</f>
        <v>1</v>
      </c>
      <c r="E47" s="8" t="n">
        <f aca="false">INDEX(Mapping!$C$2:$C$99,MATCH(E$1&amp;"|"&amp;Customers!E47,Mapping!$D$2:$D$99,0))</f>
        <v>1</v>
      </c>
      <c r="F47" s="8" t="n">
        <f aca="false">INDEX(Mapping!$C$2:$C$99,MATCH(F$1&amp;"|"&amp;Customers!F47,Mapping!$D$2:$D$99,0))</f>
        <v>1</v>
      </c>
      <c r="G47" s="8" t="n">
        <f aca="false">INDEX(Mapping!$C$2:$C$99,MATCH(G$1&amp;"|"&amp;Customers!G47,Mapping!$D$2:$D$99,0))</f>
        <v>2</v>
      </c>
      <c r="H47" s="8" t="n">
        <f aca="false">INDEX(Mapping!$C$2:$C$99,MATCH(H$1&amp;"|"&amp;Customers!H47,Mapping!$D$2:$D$99,0))</f>
        <v>1</v>
      </c>
      <c r="I47" s="8" t="n">
        <f aca="false">INDEX(Mapping!$C$2:$C$99,MATCH(I$1&amp;"|"&amp;Customers!I47,Mapping!$D$2:$D$99,0))</f>
        <v>1</v>
      </c>
      <c r="J47" s="8" t="n">
        <f aca="false">INDEX(Mapping!$C$2:$C$99,MATCH(J$1&amp;"|"&amp;Customers!J47,Mapping!$D$2:$D$99,0))</f>
        <v>1</v>
      </c>
      <c r="K47" s="8" t="n">
        <f aca="false">INDEX(Mapping!$C$2:$C$99,MATCH(K$1&amp;"|"&amp;Customers!K47,Mapping!$D$2:$D$99,0))</f>
        <v>1</v>
      </c>
      <c r="L47" s="8" t="n">
        <f aca="false">INDEX(Mapping!$C$2:$C$99,MATCH(L$1&amp;"|"&amp;Customers!L47,Mapping!$D$2:$D$99,0))</f>
        <v>3</v>
      </c>
      <c r="M47" s="8" t="n">
        <f aca="false">INDEX(Mapping!$C$2:$C$99,MATCH(M$1&amp;"|"&amp;Customers!M47,Mapping!$D$2:$D$99,0))</f>
        <v>1</v>
      </c>
      <c r="N47" s="8" t="n">
        <f aca="false">INDEX(Mapping!$C$2:$C$99,MATCH(N$1&amp;"|"&amp;Customers!N47,Mapping!$D$2:$D$99,0))</f>
        <v>1</v>
      </c>
      <c r="O47" s="8" t="n">
        <f aca="false">INDEX(Mapping!$C$2:$C$99,MATCH(O$1&amp;"|"&amp;Customers!O47,Mapping!$D$2:$D$99,0))</f>
        <v>3</v>
      </c>
      <c r="P47" s="8" t="n">
        <f aca="false">INDEX(Mapping!$C$2:$C$99,MATCH(P$1&amp;"|"&amp;Customers!P47,Mapping!$D$2:$D$99,0))</f>
        <v>1</v>
      </c>
      <c r="Q47" s="8" t="n">
        <f aca="false">INDEX(Mapping!$C$2:$C$99,MATCH(Q$1&amp;"|"&amp;Customers!Q47,Mapping!$D$2:$D$99,0))</f>
        <v>1</v>
      </c>
      <c r="R47" s="8" t="n">
        <f aca="false">INDEX(Mapping!$C$2:$C$99,MATCH(R$1&amp;"|"&amp;Customers!R47,Mapping!$D$2:$D$99,0))</f>
        <v>1</v>
      </c>
      <c r="S47" s="8" t="n">
        <f aca="false">INDEX(Mapping!$C$2:$C$99,MATCH(S$1&amp;"|"&amp;Customers!S47,Mapping!$D$2:$D$99,0))</f>
        <v>2</v>
      </c>
      <c r="T47" s="8" t="n">
        <f aca="false">INDEX(Mapping!$C$2:$C$99,MATCH(T$1&amp;"|"&amp;Customers!T47,Mapping!$D$2:$D$99,0))</f>
        <v>1</v>
      </c>
      <c r="U47" s="8" t="n">
        <f aca="false">INDEX(Mapping!$C$2:$C$99,MATCH(U$1&amp;"|"&amp;Customers!U47,Mapping!$D$2:$D$99,0))</f>
        <v>1</v>
      </c>
      <c r="V47" s="8" t="n">
        <f aca="false">INDEX(Mapping!$C$2:$C$99,MATCH(V$1&amp;"|"&amp;Customers!V47,Mapping!$D$2:$D$99,0))</f>
        <v>1</v>
      </c>
      <c r="W47" s="17" t="n">
        <f aca="false">SUMPRODUCT($C47:$V47,Weights!$C$27:$V$27)</f>
        <v>1.34</v>
      </c>
      <c r="X47" s="18" t="n">
        <f aca="false">ROUND($W47,2)</f>
        <v>1.34</v>
      </c>
      <c r="Y47" s="8" t="str">
        <f aca="false">IF($X47&lt;=2,"Low",IF($X47&lt;=3.49,"Medium","High"))</f>
        <v>Low</v>
      </c>
      <c r="Z47" s="8" t="str">
        <f aca="false">IF(OR($F47&gt;=3,$E47=5,$D47=5,$C47=5,$G47=5,$H47=5,$I47=5,$J47=5,Customers!$W47="Yes"),"Yes","No")</f>
        <v>No</v>
      </c>
      <c r="AA47" s="15" t="str">
        <f aca="false">IF($Z47="Yes","High",$Y47)</f>
        <v>Low</v>
      </c>
      <c r="AB47" s="18" t="n">
        <f aca="false">SUMPRODUCT($C47:$G47,Weights!$C$28:$G$28)</f>
        <v>1.35</v>
      </c>
      <c r="AC47" s="18" t="n">
        <f aca="false">SUMPRODUCT($H47:$J47,Weights!$H$28:$J$28)</f>
        <v>1</v>
      </c>
      <c r="AD47" s="18" t="n">
        <f aca="false">SUMPRODUCT($K47:$N47,Weights!$K$28:$N$28)</f>
        <v>1.5</v>
      </c>
      <c r="AE47" s="18" t="n">
        <f aca="false">SUMPRODUCT($O47:$Q47,Weights!$O$28:$Q$28)</f>
        <v>1.9</v>
      </c>
      <c r="AF47" s="18" t="n">
        <f aca="false">SUMPRODUCT($R47:$V47,Weights!$R$28:$V$28)</f>
        <v>1.3</v>
      </c>
      <c r="AH47" s="18" t="n">
        <f aca="false">SUMPRODUCT($AB47:$AF47,Validation!$D$7:$H$7)</f>
        <v>1.3385714285716</v>
      </c>
      <c r="AI47" s="18" t="n">
        <f aca="false">SUMPRODUCT($AB47:$AF47,Validation!$D$8:$H$8)</f>
        <v>1.3414285714284</v>
      </c>
      <c r="AJ47" s="18" t="n">
        <f aca="false">SUMPRODUCT($AB47:$AF47,Validation!$D$9:$H$9)</f>
        <v>1.3853333333332</v>
      </c>
      <c r="AK47" s="18" t="n">
        <f aca="false">SUMPRODUCT($AB47:$AF47,Validation!$D$10:$H$10)</f>
        <v>1.2946666666668</v>
      </c>
      <c r="AL47" s="18" t="n">
        <f aca="false">SUMPRODUCT($AB47:$AF47,Validation!$D$11:$H$11)</f>
        <v>1.32</v>
      </c>
      <c r="AM47" s="18" t="n">
        <f aca="false">SUMPRODUCT($AB47:$AF47,Validation!$D$12:$H$12)</f>
        <v>1.36</v>
      </c>
      <c r="AN47" s="18" t="n">
        <f aca="false">SUMPRODUCT($AB47:$AF47,Validation!$D$13:$H$13)</f>
        <v>1.27777777777765</v>
      </c>
      <c r="AO47" s="18" t="n">
        <f aca="false">SUMPRODUCT($AB47:$AF47,Validation!$D$14:$H$14)</f>
        <v>1.40222222222235</v>
      </c>
      <c r="AP47" s="18" t="n">
        <f aca="false">SUMPRODUCT($AB47:$AF47,Validation!$D$15:$H$15)</f>
        <v>1.34470588235275</v>
      </c>
      <c r="AQ47" s="18" t="n">
        <f aca="false">SUMPRODUCT($AB47:$AF47,Validation!$D$16:$H$16)</f>
        <v>1.33529411764725</v>
      </c>
      <c r="AR47" s="8" t="n">
        <f aca="false">COUNTIF($C47:$V47,"&gt;=4")</f>
        <v>0</v>
      </c>
      <c r="AS47" s="8" t="str">
        <f aca="false">IF($X47&lt;=1.6,"Low",IF($X47&lt;=2.2,"Medium","High"))</f>
        <v>Low</v>
      </c>
      <c r="AT47" s="8" t="str">
        <f aca="false">IF($AR47=0,"Low",IF($AR47&lt;3,"Medium","High"))</f>
        <v>Low</v>
      </c>
      <c r="AU47" s="8" t="str">
        <f aca="false">IF(OR($AS47="High",$AT47="High"),"High",IF(OR($AS47="Medium",$AT47="Medium"),"Medium","Low"))</f>
        <v>Low</v>
      </c>
      <c r="AV47" s="15" t="str">
        <f aca="false">IF($Z47="Yes","High",$AU47)</f>
        <v>Low</v>
      </c>
    </row>
    <row r="48" customFormat="false" ht="15" hidden="false" customHeight="false" outlineLevel="0" collapsed="false">
      <c r="A48" s="7" t="str">
        <f aca="false">Customers!$A48</f>
        <v>NG-10044</v>
      </c>
      <c r="B48" s="7" t="str">
        <f aca="false">Customers!$B48</f>
        <v>Personal</v>
      </c>
      <c r="C48" s="8" t="n">
        <f aca="false">INDEX(Mapping!$C$2:$C$99,MATCH(C$1&amp;"|"&amp;Customers!C48,Mapping!$D$2:$D$99,0))</f>
        <v>1</v>
      </c>
      <c r="D48" s="8" t="n">
        <f aca="false">INDEX(Mapping!$C$2:$C$99,MATCH(D$1&amp;"|"&amp;Customers!D48,Mapping!$D$2:$D$99,0))</f>
        <v>1</v>
      </c>
      <c r="E48" s="8" t="n">
        <f aca="false">INDEX(Mapping!$C$2:$C$99,MATCH(E$1&amp;"|"&amp;Customers!E48,Mapping!$D$2:$D$99,0))</f>
        <v>1</v>
      </c>
      <c r="F48" s="8" t="n">
        <f aca="false">INDEX(Mapping!$C$2:$C$99,MATCH(F$1&amp;"|"&amp;Customers!F48,Mapping!$D$2:$D$99,0))</f>
        <v>1</v>
      </c>
      <c r="G48" s="8" t="n">
        <f aca="false">INDEX(Mapping!$C$2:$C$99,MATCH(G$1&amp;"|"&amp;Customers!G48,Mapping!$D$2:$D$99,0))</f>
        <v>2</v>
      </c>
      <c r="H48" s="8" t="n">
        <f aca="false">INDEX(Mapping!$C$2:$C$99,MATCH(H$1&amp;"|"&amp;Customers!H48,Mapping!$D$2:$D$99,0))</f>
        <v>1</v>
      </c>
      <c r="I48" s="8" t="n">
        <f aca="false">INDEX(Mapping!$C$2:$C$99,MATCH(I$1&amp;"|"&amp;Customers!I48,Mapping!$D$2:$D$99,0))</f>
        <v>1</v>
      </c>
      <c r="J48" s="8" t="n">
        <f aca="false">INDEX(Mapping!$C$2:$C$99,MATCH(J$1&amp;"|"&amp;Customers!J48,Mapping!$D$2:$D$99,0))</f>
        <v>1</v>
      </c>
      <c r="K48" s="8" t="n">
        <f aca="false">INDEX(Mapping!$C$2:$C$99,MATCH(K$1&amp;"|"&amp;Customers!K48,Mapping!$D$2:$D$99,0))</f>
        <v>2</v>
      </c>
      <c r="L48" s="8" t="n">
        <f aca="false">INDEX(Mapping!$C$2:$C$99,MATCH(L$1&amp;"|"&amp;Customers!L48,Mapping!$D$2:$D$99,0))</f>
        <v>2</v>
      </c>
      <c r="M48" s="8" t="n">
        <f aca="false">INDEX(Mapping!$C$2:$C$99,MATCH(M$1&amp;"|"&amp;Customers!M48,Mapping!$D$2:$D$99,0))</f>
        <v>1</v>
      </c>
      <c r="N48" s="8" t="n">
        <f aca="false">INDEX(Mapping!$C$2:$C$99,MATCH(N$1&amp;"|"&amp;Customers!N48,Mapping!$D$2:$D$99,0))</f>
        <v>1</v>
      </c>
      <c r="O48" s="8" t="n">
        <f aca="false">INDEX(Mapping!$C$2:$C$99,MATCH(O$1&amp;"|"&amp;Customers!O48,Mapping!$D$2:$D$99,0))</f>
        <v>4</v>
      </c>
      <c r="P48" s="8" t="n">
        <f aca="false">INDEX(Mapping!$C$2:$C$99,MATCH(P$1&amp;"|"&amp;Customers!P48,Mapping!$D$2:$D$99,0))</f>
        <v>3</v>
      </c>
      <c r="Q48" s="8" t="n">
        <f aca="false">INDEX(Mapping!$C$2:$C$99,MATCH(Q$1&amp;"|"&amp;Customers!Q48,Mapping!$D$2:$D$99,0))</f>
        <v>1</v>
      </c>
      <c r="R48" s="8" t="n">
        <f aca="false">INDEX(Mapping!$C$2:$C$99,MATCH(R$1&amp;"|"&amp;Customers!R48,Mapping!$D$2:$D$99,0))</f>
        <v>1</v>
      </c>
      <c r="S48" s="8" t="n">
        <f aca="false">INDEX(Mapping!$C$2:$C$99,MATCH(S$1&amp;"|"&amp;Customers!S48,Mapping!$D$2:$D$99,0))</f>
        <v>3</v>
      </c>
      <c r="T48" s="8" t="n">
        <f aca="false">INDEX(Mapping!$C$2:$C$99,MATCH(T$1&amp;"|"&amp;Customers!T48,Mapping!$D$2:$D$99,0))</f>
        <v>1</v>
      </c>
      <c r="U48" s="8" t="n">
        <f aca="false">INDEX(Mapping!$C$2:$C$99,MATCH(U$1&amp;"|"&amp;Customers!U48,Mapping!$D$2:$D$99,0))</f>
        <v>1</v>
      </c>
      <c r="V48" s="8" t="n">
        <f aca="false">INDEX(Mapping!$C$2:$C$99,MATCH(V$1&amp;"|"&amp;Customers!V48,Mapping!$D$2:$D$99,0))</f>
        <v>1</v>
      </c>
      <c r="W48" s="17" t="n">
        <f aca="false">SUMPRODUCT($C48:$V48,Weights!$C$27:$V$27)</f>
        <v>1.46</v>
      </c>
      <c r="X48" s="18" t="n">
        <f aca="false">ROUND($W48,2)</f>
        <v>1.46</v>
      </c>
      <c r="Y48" s="8" t="str">
        <f aca="false">IF($X48&lt;=2,"Low",IF($X48&lt;=3.49,"Medium","High"))</f>
        <v>Low</v>
      </c>
      <c r="Z48" s="8" t="str">
        <f aca="false">IF(OR($F48&gt;=3,$E48=5,$D48=5,$C48=5,$G48=5,$H48=5,$I48=5,$J48=5,Customers!$W48="Yes"),"Yes","No")</f>
        <v>No</v>
      </c>
      <c r="AA48" s="15" t="str">
        <f aca="false">IF($Z48="Yes","High",$Y48)</f>
        <v>Low</v>
      </c>
      <c r="AB48" s="18" t="n">
        <f aca="false">SUMPRODUCT($C48:$G48,Weights!$C$28:$G$28)</f>
        <v>1.15</v>
      </c>
      <c r="AC48" s="18" t="n">
        <f aca="false">SUMPRODUCT($H48:$J48,Weights!$H$28:$J$28)</f>
        <v>1</v>
      </c>
      <c r="AD48" s="18" t="n">
        <f aca="false">SUMPRODUCT($K48:$N48,Weights!$K$28:$N$28)</f>
        <v>1.6</v>
      </c>
      <c r="AE48" s="18" t="n">
        <f aca="false">SUMPRODUCT($O48:$Q48,Weights!$O$28:$Q$28)</f>
        <v>3.05</v>
      </c>
      <c r="AF48" s="18" t="n">
        <f aca="false">SUMPRODUCT($R48:$V48,Weights!$R$28:$V$28)</f>
        <v>1.6</v>
      </c>
      <c r="AH48" s="18" t="n">
        <f aca="false">SUMPRODUCT($AB48:$AF48,Validation!$D$7:$H$7)</f>
        <v>1.5042857142863</v>
      </c>
      <c r="AI48" s="18" t="n">
        <f aca="false">SUMPRODUCT($AB48:$AF48,Validation!$D$8:$H$8)</f>
        <v>1.4157142857137</v>
      </c>
      <c r="AJ48" s="18" t="n">
        <f aca="false">SUMPRODUCT($AB48:$AF48,Validation!$D$9:$H$9)</f>
        <v>1.52133333333285</v>
      </c>
      <c r="AK48" s="18" t="n">
        <f aca="false">SUMPRODUCT($AB48:$AF48,Validation!$D$10:$H$10)</f>
        <v>1.39866666666715</v>
      </c>
      <c r="AL48" s="18" t="n">
        <f aca="false">SUMPRODUCT($AB48:$AF48,Validation!$D$11:$H$11)</f>
        <v>1.4425</v>
      </c>
      <c r="AM48" s="18" t="n">
        <f aca="false">SUMPRODUCT($AB48:$AF48,Validation!$D$12:$H$12)</f>
        <v>1.4775</v>
      </c>
      <c r="AN48" s="18" t="n">
        <f aca="false">SUMPRODUCT($AB48:$AF48,Validation!$D$13:$H$13)</f>
        <v>1.28333333333335</v>
      </c>
      <c r="AO48" s="18" t="n">
        <f aca="false">SUMPRODUCT($AB48:$AF48,Validation!$D$14:$H$14)</f>
        <v>1.63666666666665</v>
      </c>
      <c r="AP48" s="18" t="n">
        <f aca="false">SUMPRODUCT($AB48:$AF48,Validation!$D$15:$H$15)</f>
        <v>1.44352941176415</v>
      </c>
      <c r="AQ48" s="18" t="n">
        <f aca="false">SUMPRODUCT($AB48:$AF48,Validation!$D$16:$H$16)</f>
        <v>1.47647058823585</v>
      </c>
      <c r="AR48" s="8" t="n">
        <f aca="false">COUNTIF($C48:$V48,"&gt;=4")</f>
        <v>1</v>
      </c>
      <c r="AS48" s="8" t="str">
        <f aca="false">IF($X48&lt;=1.6,"Low",IF($X48&lt;=2.2,"Medium","High"))</f>
        <v>Low</v>
      </c>
      <c r="AT48" s="8" t="str">
        <f aca="false">IF($AR48=0,"Low",IF($AR48&lt;3,"Medium","High"))</f>
        <v>Medium</v>
      </c>
      <c r="AU48" s="8" t="str">
        <f aca="false">IF(OR($AS48="High",$AT48="High"),"High",IF(OR($AS48="Medium",$AT48="Medium"),"Medium","Low"))</f>
        <v>Medium</v>
      </c>
      <c r="AV48" s="15" t="str">
        <f aca="false">IF($Z48="Yes","High",$AU48)</f>
        <v>Medium</v>
      </c>
    </row>
    <row r="49" customFormat="false" ht="15" hidden="false" customHeight="false" outlineLevel="0" collapsed="false">
      <c r="A49" s="7" t="str">
        <f aca="false">Customers!$A49</f>
        <v>NG-10262</v>
      </c>
      <c r="B49" s="7" t="str">
        <f aca="false">Customers!$B49</f>
        <v>Personal</v>
      </c>
      <c r="C49" s="8" t="n">
        <f aca="false">INDEX(Mapping!$C$2:$C$99,MATCH(C$1&amp;"|"&amp;Customers!C49,Mapping!$D$2:$D$99,0))</f>
        <v>2</v>
      </c>
      <c r="D49" s="8" t="n">
        <f aca="false">INDEX(Mapping!$C$2:$C$99,MATCH(D$1&amp;"|"&amp;Customers!D49,Mapping!$D$2:$D$99,0))</f>
        <v>1</v>
      </c>
      <c r="E49" s="8" t="n">
        <f aca="false">INDEX(Mapping!$C$2:$C$99,MATCH(E$1&amp;"|"&amp;Customers!E49,Mapping!$D$2:$D$99,0))</f>
        <v>3</v>
      </c>
      <c r="F49" s="8" t="n">
        <f aca="false">INDEX(Mapping!$C$2:$C$99,MATCH(F$1&amp;"|"&amp;Customers!F49,Mapping!$D$2:$D$99,0))</f>
        <v>1</v>
      </c>
      <c r="G49" s="8" t="n">
        <f aca="false">INDEX(Mapping!$C$2:$C$99,MATCH(G$1&amp;"|"&amp;Customers!G49,Mapping!$D$2:$D$99,0))</f>
        <v>1</v>
      </c>
      <c r="H49" s="8" t="n">
        <f aca="false">INDEX(Mapping!$C$2:$C$99,MATCH(H$1&amp;"|"&amp;Customers!H49,Mapping!$D$2:$D$99,0))</f>
        <v>1</v>
      </c>
      <c r="I49" s="8" t="n">
        <f aca="false">INDEX(Mapping!$C$2:$C$99,MATCH(I$1&amp;"|"&amp;Customers!I49,Mapping!$D$2:$D$99,0))</f>
        <v>1</v>
      </c>
      <c r="J49" s="8" t="n">
        <f aca="false">INDEX(Mapping!$C$2:$C$99,MATCH(J$1&amp;"|"&amp;Customers!J49,Mapping!$D$2:$D$99,0))</f>
        <v>1</v>
      </c>
      <c r="K49" s="8" t="n">
        <f aca="false">INDEX(Mapping!$C$2:$C$99,MATCH(K$1&amp;"|"&amp;Customers!K49,Mapping!$D$2:$D$99,0))</f>
        <v>2</v>
      </c>
      <c r="L49" s="8" t="n">
        <f aca="false">INDEX(Mapping!$C$2:$C$99,MATCH(L$1&amp;"|"&amp;Customers!L49,Mapping!$D$2:$D$99,0))</f>
        <v>2</v>
      </c>
      <c r="M49" s="8" t="n">
        <f aca="false">INDEX(Mapping!$C$2:$C$99,MATCH(M$1&amp;"|"&amp;Customers!M49,Mapping!$D$2:$D$99,0))</f>
        <v>5</v>
      </c>
      <c r="N49" s="8" t="n">
        <f aca="false">INDEX(Mapping!$C$2:$C$99,MATCH(N$1&amp;"|"&amp;Customers!N49,Mapping!$D$2:$D$99,0))</f>
        <v>2</v>
      </c>
      <c r="O49" s="8" t="n">
        <f aca="false">INDEX(Mapping!$C$2:$C$99,MATCH(O$1&amp;"|"&amp;Customers!O49,Mapping!$D$2:$D$99,0))</f>
        <v>4</v>
      </c>
      <c r="P49" s="8" t="n">
        <f aca="false">INDEX(Mapping!$C$2:$C$99,MATCH(P$1&amp;"|"&amp;Customers!P49,Mapping!$D$2:$D$99,0))</f>
        <v>3</v>
      </c>
      <c r="Q49" s="8" t="n">
        <f aca="false">INDEX(Mapping!$C$2:$C$99,MATCH(Q$1&amp;"|"&amp;Customers!Q49,Mapping!$D$2:$D$99,0))</f>
        <v>3</v>
      </c>
      <c r="R49" s="8" t="n">
        <f aca="false">INDEX(Mapping!$C$2:$C$99,MATCH(R$1&amp;"|"&amp;Customers!R49,Mapping!$D$2:$D$99,0))</f>
        <v>1</v>
      </c>
      <c r="S49" s="8" t="n">
        <f aca="false">INDEX(Mapping!$C$2:$C$99,MATCH(S$1&amp;"|"&amp;Customers!S49,Mapping!$D$2:$D$99,0))</f>
        <v>4</v>
      </c>
      <c r="T49" s="8" t="n">
        <f aca="false">INDEX(Mapping!$C$2:$C$99,MATCH(T$1&amp;"|"&amp;Customers!T49,Mapping!$D$2:$D$99,0))</f>
        <v>1</v>
      </c>
      <c r="U49" s="8" t="n">
        <f aca="false">INDEX(Mapping!$C$2:$C$99,MATCH(U$1&amp;"|"&amp;Customers!U49,Mapping!$D$2:$D$99,0))</f>
        <v>1</v>
      </c>
      <c r="V49" s="8" t="n">
        <f aca="false">INDEX(Mapping!$C$2:$C$99,MATCH(V$1&amp;"|"&amp;Customers!V49,Mapping!$D$2:$D$99,0))</f>
        <v>1</v>
      </c>
      <c r="W49" s="17" t="n">
        <f aca="false">SUMPRODUCT($C49:$V49,Weights!$C$27:$V$27)</f>
        <v>1.94</v>
      </c>
      <c r="X49" s="18" t="n">
        <f aca="false">ROUND($W49,2)</f>
        <v>1.94</v>
      </c>
      <c r="Y49" s="8" t="str">
        <f aca="false">IF($X49&lt;=2,"Low",IF($X49&lt;=3.49,"Medium","High"))</f>
        <v>Low</v>
      </c>
      <c r="Z49" s="8" t="str">
        <f aca="false">IF(OR($F49&gt;=3,$E49=5,$D49=5,$C49=5,$G49=5,$H49=5,$I49=5,$J49=5,Customers!$W49="Yes"),"Yes","No")</f>
        <v>No</v>
      </c>
      <c r="AA49" s="15" t="str">
        <f aca="false">IF($Z49="Yes","High",$Y49)</f>
        <v>Low</v>
      </c>
      <c r="AB49" s="18" t="n">
        <f aca="false">SUMPRODUCT($C49:$G49,Weights!$C$28:$G$28)</f>
        <v>1.7</v>
      </c>
      <c r="AC49" s="18" t="n">
        <f aca="false">SUMPRODUCT($H49:$J49,Weights!$H$28:$J$28)</f>
        <v>1</v>
      </c>
      <c r="AD49" s="18" t="n">
        <f aca="false">SUMPRODUCT($K49:$N49,Weights!$K$28:$N$28)</f>
        <v>2.75</v>
      </c>
      <c r="AE49" s="18" t="n">
        <f aca="false">SUMPRODUCT($O49:$Q49,Weights!$O$28:$Q$28)</f>
        <v>3.45</v>
      </c>
      <c r="AF49" s="18" t="n">
        <f aca="false">SUMPRODUCT($R49:$V49,Weights!$R$28:$V$28)</f>
        <v>1.9</v>
      </c>
      <c r="AH49" s="18" t="n">
        <f aca="false">SUMPRODUCT($AB49:$AF49,Validation!$D$7:$H$7)</f>
        <v>1.97428571428605</v>
      </c>
      <c r="AI49" s="18" t="n">
        <f aca="false">SUMPRODUCT($AB49:$AF49,Validation!$D$8:$H$8)</f>
        <v>1.90571428571395</v>
      </c>
      <c r="AJ49" s="18" t="n">
        <f aca="false">SUMPRODUCT($AB49:$AF49,Validation!$D$9:$H$9)</f>
        <v>2.0653333333331</v>
      </c>
      <c r="AK49" s="18" t="n">
        <f aca="false">SUMPRODUCT($AB49:$AF49,Validation!$D$10:$H$10)</f>
        <v>1.8146666666669</v>
      </c>
      <c r="AL49" s="18" t="n">
        <f aca="false">SUMPRODUCT($AB49:$AF49,Validation!$D$11:$H$11)</f>
        <v>1.83875</v>
      </c>
      <c r="AM49" s="18" t="n">
        <f aca="false">SUMPRODUCT($AB49:$AF49,Validation!$D$12:$H$12)</f>
        <v>2.04125</v>
      </c>
      <c r="AN49" s="18" t="n">
        <f aca="false">SUMPRODUCT($AB49:$AF49,Validation!$D$13:$H$13)</f>
        <v>1.7722222222219</v>
      </c>
      <c r="AO49" s="18" t="n">
        <f aca="false">SUMPRODUCT($AB49:$AF49,Validation!$D$14:$H$14)</f>
        <v>2.1077777777781</v>
      </c>
      <c r="AP49" s="18" t="n">
        <f aca="false">SUMPRODUCT($AB49:$AF49,Validation!$D$15:$H$15)</f>
        <v>1.94470588235255</v>
      </c>
      <c r="AQ49" s="18" t="n">
        <f aca="false">SUMPRODUCT($AB49:$AF49,Validation!$D$16:$H$16)</f>
        <v>1.93529411764745</v>
      </c>
      <c r="AR49" s="8" t="n">
        <f aca="false">COUNTIF($C49:$V49,"&gt;=4")</f>
        <v>3</v>
      </c>
      <c r="AS49" s="8" t="str">
        <f aca="false">IF($X49&lt;=1.6,"Low",IF($X49&lt;=2.2,"Medium","High"))</f>
        <v>Medium</v>
      </c>
      <c r="AT49" s="8" t="str">
        <f aca="false">IF($AR49=0,"Low",IF($AR49&lt;3,"Medium","High"))</f>
        <v>High</v>
      </c>
      <c r="AU49" s="8" t="str">
        <f aca="false">IF(OR($AS49="High",$AT49="High"),"High",IF(OR($AS49="Medium",$AT49="Medium"),"Medium","Low"))</f>
        <v>High</v>
      </c>
      <c r="AV49" s="15" t="str">
        <f aca="false">IF($Z49="Yes","High",$AU49)</f>
        <v>High</v>
      </c>
    </row>
    <row r="50" customFormat="false" ht="15" hidden="false" customHeight="false" outlineLevel="0" collapsed="false">
      <c r="A50" s="7" t="str">
        <f aca="false">Customers!$A50</f>
        <v>NG-10221</v>
      </c>
      <c r="B50" s="7" t="str">
        <f aca="false">Customers!$B50</f>
        <v>Personal</v>
      </c>
      <c r="C50" s="8" t="n">
        <f aca="false">INDEX(Mapping!$C$2:$C$99,MATCH(C$1&amp;"|"&amp;Customers!C50,Mapping!$D$2:$D$99,0))</f>
        <v>2</v>
      </c>
      <c r="D50" s="8" t="n">
        <f aca="false">INDEX(Mapping!$C$2:$C$99,MATCH(D$1&amp;"|"&amp;Customers!D50,Mapping!$D$2:$D$99,0))</f>
        <v>1</v>
      </c>
      <c r="E50" s="8" t="n">
        <f aca="false">INDEX(Mapping!$C$2:$C$99,MATCH(E$1&amp;"|"&amp;Customers!E50,Mapping!$D$2:$D$99,0))</f>
        <v>3</v>
      </c>
      <c r="F50" s="8" t="n">
        <f aca="false">INDEX(Mapping!$C$2:$C$99,MATCH(F$1&amp;"|"&amp;Customers!F50,Mapping!$D$2:$D$99,0))</f>
        <v>1</v>
      </c>
      <c r="G50" s="8" t="n">
        <f aca="false">INDEX(Mapping!$C$2:$C$99,MATCH(G$1&amp;"|"&amp;Customers!G50,Mapping!$D$2:$D$99,0))</f>
        <v>1</v>
      </c>
      <c r="H50" s="8" t="n">
        <f aca="false">INDEX(Mapping!$C$2:$C$99,MATCH(H$1&amp;"|"&amp;Customers!H50,Mapping!$D$2:$D$99,0))</f>
        <v>1</v>
      </c>
      <c r="I50" s="8" t="n">
        <f aca="false">INDEX(Mapping!$C$2:$C$99,MATCH(I$1&amp;"|"&amp;Customers!I50,Mapping!$D$2:$D$99,0))</f>
        <v>1</v>
      </c>
      <c r="J50" s="8" t="n">
        <f aca="false">INDEX(Mapping!$C$2:$C$99,MATCH(J$1&amp;"|"&amp;Customers!J50,Mapping!$D$2:$D$99,0))</f>
        <v>1</v>
      </c>
      <c r="K50" s="8" t="n">
        <f aca="false">INDEX(Mapping!$C$2:$C$99,MATCH(K$1&amp;"|"&amp;Customers!K50,Mapping!$D$2:$D$99,0))</f>
        <v>2</v>
      </c>
      <c r="L50" s="8" t="n">
        <f aca="false">INDEX(Mapping!$C$2:$C$99,MATCH(L$1&amp;"|"&amp;Customers!L50,Mapping!$D$2:$D$99,0))</f>
        <v>1</v>
      </c>
      <c r="M50" s="8" t="n">
        <f aca="false">INDEX(Mapping!$C$2:$C$99,MATCH(M$1&amp;"|"&amp;Customers!M50,Mapping!$D$2:$D$99,0))</f>
        <v>1</v>
      </c>
      <c r="N50" s="8" t="n">
        <f aca="false">INDEX(Mapping!$C$2:$C$99,MATCH(N$1&amp;"|"&amp;Customers!N50,Mapping!$D$2:$D$99,0))</f>
        <v>1</v>
      </c>
      <c r="O50" s="8" t="n">
        <f aca="false">INDEX(Mapping!$C$2:$C$99,MATCH(O$1&amp;"|"&amp;Customers!O50,Mapping!$D$2:$D$99,0))</f>
        <v>4</v>
      </c>
      <c r="P50" s="8" t="n">
        <f aca="false">INDEX(Mapping!$C$2:$C$99,MATCH(P$1&amp;"|"&amp;Customers!P50,Mapping!$D$2:$D$99,0))</f>
        <v>4</v>
      </c>
      <c r="Q50" s="8" t="n">
        <f aca="false">INDEX(Mapping!$C$2:$C$99,MATCH(Q$1&amp;"|"&amp;Customers!Q50,Mapping!$D$2:$D$99,0))</f>
        <v>1</v>
      </c>
      <c r="R50" s="8" t="n">
        <f aca="false">INDEX(Mapping!$C$2:$C$99,MATCH(R$1&amp;"|"&amp;Customers!R50,Mapping!$D$2:$D$99,0))</f>
        <v>1</v>
      </c>
      <c r="S50" s="8" t="n">
        <f aca="false">INDEX(Mapping!$C$2:$C$99,MATCH(S$1&amp;"|"&amp;Customers!S50,Mapping!$D$2:$D$99,0))</f>
        <v>3</v>
      </c>
      <c r="T50" s="8" t="n">
        <f aca="false">INDEX(Mapping!$C$2:$C$99,MATCH(T$1&amp;"|"&amp;Customers!T50,Mapping!$D$2:$D$99,0))</f>
        <v>1</v>
      </c>
      <c r="U50" s="8" t="n">
        <f aca="false">INDEX(Mapping!$C$2:$C$99,MATCH(U$1&amp;"|"&amp;Customers!U50,Mapping!$D$2:$D$99,0))</f>
        <v>1</v>
      </c>
      <c r="V50" s="8" t="n">
        <f aca="false">INDEX(Mapping!$C$2:$C$99,MATCH(V$1&amp;"|"&amp;Customers!V50,Mapping!$D$2:$D$99,0))</f>
        <v>1</v>
      </c>
      <c r="W50" s="17" t="n">
        <f aca="false">SUMPRODUCT($C50:$V50,Weights!$C$27:$V$27)</f>
        <v>1.61</v>
      </c>
      <c r="X50" s="18" t="n">
        <f aca="false">ROUND($W50,2)</f>
        <v>1.61</v>
      </c>
      <c r="Y50" s="8" t="str">
        <f aca="false">IF($X50&lt;=2,"Low",IF($X50&lt;=3.49,"Medium","High"))</f>
        <v>Low</v>
      </c>
      <c r="Z50" s="8" t="str">
        <f aca="false">IF(OR($F50&gt;=3,$E50=5,$D50=5,$C50=5,$G50=5,$H50=5,$I50=5,$J50=5,Customers!$W50="Yes"),"Yes","No")</f>
        <v>No</v>
      </c>
      <c r="AA50" s="15" t="str">
        <f aca="false">IF($Z50="Yes","High",$Y50)</f>
        <v>Low</v>
      </c>
      <c r="AB50" s="18" t="n">
        <f aca="false">SUMPRODUCT($C50:$G50,Weights!$C$28:$G$28)</f>
        <v>1.7</v>
      </c>
      <c r="AC50" s="18" t="n">
        <f aca="false">SUMPRODUCT($H50:$J50,Weights!$H$28:$J$28)</f>
        <v>1</v>
      </c>
      <c r="AD50" s="18" t="n">
        <f aca="false">SUMPRODUCT($K50:$N50,Weights!$K$28:$N$28)</f>
        <v>1.35</v>
      </c>
      <c r="AE50" s="18" t="n">
        <f aca="false">SUMPRODUCT($O50:$Q50,Weights!$O$28:$Q$28)</f>
        <v>3.4</v>
      </c>
      <c r="AF50" s="18" t="n">
        <f aca="false">SUMPRODUCT($R50:$V50,Weights!$R$28:$V$28)</f>
        <v>1.6</v>
      </c>
      <c r="AH50" s="18" t="n">
        <f aca="false">SUMPRODUCT($AB50:$AF50,Validation!$D$7:$H$7)</f>
        <v>1.59714285714365</v>
      </c>
      <c r="AI50" s="18" t="n">
        <f aca="false">SUMPRODUCT($AB50:$AF50,Validation!$D$8:$H$8)</f>
        <v>1.62285714285635</v>
      </c>
      <c r="AJ50" s="18" t="n">
        <f aca="false">SUMPRODUCT($AB50:$AF50,Validation!$D$9:$H$9)</f>
        <v>1.69133333333265</v>
      </c>
      <c r="AK50" s="18" t="n">
        <f aca="false">SUMPRODUCT($AB50:$AF50,Validation!$D$10:$H$10)</f>
        <v>1.52866666666735</v>
      </c>
      <c r="AL50" s="18" t="n">
        <f aca="false">SUMPRODUCT($AB50:$AF50,Validation!$D$11:$H$11)</f>
        <v>1.6425</v>
      </c>
      <c r="AM50" s="18" t="n">
        <f aca="false">SUMPRODUCT($AB50:$AF50,Validation!$D$12:$H$12)</f>
        <v>1.5775</v>
      </c>
      <c r="AN50" s="18" t="n">
        <f aca="false">SUMPRODUCT($AB50:$AF50,Validation!$D$13:$H$13)</f>
        <v>1.411111111111</v>
      </c>
      <c r="AO50" s="18" t="n">
        <f aca="false">SUMPRODUCT($AB50:$AF50,Validation!$D$14:$H$14)</f>
        <v>1.808888888889</v>
      </c>
      <c r="AP50" s="18" t="n">
        <f aca="false">SUMPRODUCT($AB50:$AF50,Validation!$D$15:$H$15)</f>
        <v>1.61117647058745</v>
      </c>
      <c r="AQ50" s="18" t="n">
        <f aca="false">SUMPRODUCT($AB50:$AF50,Validation!$D$16:$H$16)</f>
        <v>1.60882352941255</v>
      </c>
      <c r="AR50" s="8" t="n">
        <f aca="false">COUNTIF($C50:$V50,"&gt;=4")</f>
        <v>2</v>
      </c>
      <c r="AS50" s="8" t="str">
        <f aca="false">IF($X50&lt;=1.6,"Low",IF($X50&lt;=2.2,"Medium","High"))</f>
        <v>Medium</v>
      </c>
      <c r="AT50" s="8" t="str">
        <f aca="false">IF($AR50=0,"Low",IF($AR50&lt;3,"Medium","High"))</f>
        <v>Medium</v>
      </c>
      <c r="AU50" s="8" t="str">
        <f aca="false">IF(OR($AS50="High",$AT50="High"),"High",IF(OR($AS50="Medium",$AT50="Medium"),"Medium","Low"))</f>
        <v>Medium</v>
      </c>
      <c r="AV50" s="15" t="str">
        <f aca="false">IF($Z50="Yes","High",$AU50)</f>
        <v>Medium</v>
      </c>
    </row>
    <row r="51" customFormat="false" ht="15" hidden="false" customHeight="false" outlineLevel="0" collapsed="false">
      <c r="A51" s="7" t="str">
        <f aca="false">Customers!$A51</f>
        <v>NG-10399</v>
      </c>
      <c r="B51" s="7" t="str">
        <f aca="false">Customers!$B51</f>
        <v>Limited company</v>
      </c>
      <c r="C51" s="8" t="n">
        <f aca="false">INDEX(Mapping!$C$2:$C$99,MATCH(C$1&amp;"|"&amp;Customers!C51,Mapping!$D$2:$D$99,0))</f>
        <v>3</v>
      </c>
      <c r="D51" s="8" t="n">
        <f aca="false">INDEX(Mapping!$C$2:$C$99,MATCH(D$1&amp;"|"&amp;Customers!D51,Mapping!$D$2:$D$99,0))</f>
        <v>3</v>
      </c>
      <c r="E51" s="8" t="n">
        <f aca="false">INDEX(Mapping!$C$2:$C$99,MATCH(E$1&amp;"|"&amp;Customers!E51,Mapping!$D$2:$D$99,0))</f>
        <v>3</v>
      </c>
      <c r="F51" s="8" t="n">
        <f aca="false">INDEX(Mapping!$C$2:$C$99,MATCH(F$1&amp;"|"&amp;Customers!F51,Mapping!$D$2:$D$99,0))</f>
        <v>1</v>
      </c>
      <c r="G51" s="8" t="n">
        <f aca="false">INDEX(Mapping!$C$2:$C$99,MATCH(G$1&amp;"|"&amp;Customers!G51,Mapping!$D$2:$D$99,0))</f>
        <v>1</v>
      </c>
      <c r="H51" s="8" t="n">
        <f aca="false">INDEX(Mapping!$C$2:$C$99,MATCH(H$1&amp;"|"&amp;Customers!H51,Mapping!$D$2:$D$99,0))</f>
        <v>1</v>
      </c>
      <c r="I51" s="8" t="n">
        <f aca="false">INDEX(Mapping!$C$2:$C$99,MATCH(I$1&amp;"|"&amp;Customers!I51,Mapping!$D$2:$D$99,0))</f>
        <v>1</v>
      </c>
      <c r="J51" s="8" t="n">
        <f aca="false">INDEX(Mapping!$C$2:$C$99,MATCH(J$1&amp;"|"&amp;Customers!J51,Mapping!$D$2:$D$99,0))</f>
        <v>1</v>
      </c>
      <c r="K51" s="8" t="n">
        <f aca="false">INDEX(Mapping!$C$2:$C$99,MATCH(K$1&amp;"|"&amp;Customers!K51,Mapping!$D$2:$D$99,0))</f>
        <v>5</v>
      </c>
      <c r="L51" s="8" t="n">
        <f aca="false">INDEX(Mapping!$C$2:$C$99,MATCH(L$1&amp;"|"&amp;Customers!L51,Mapping!$D$2:$D$99,0))</f>
        <v>3</v>
      </c>
      <c r="M51" s="8" t="n">
        <f aca="false">INDEX(Mapping!$C$2:$C$99,MATCH(M$1&amp;"|"&amp;Customers!M51,Mapping!$D$2:$D$99,0))</f>
        <v>4</v>
      </c>
      <c r="N51" s="8" t="n">
        <f aca="false">INDEX(Mapping!$C$2:$C$99,MATCH(N$1&amp;"|"&amp;Customers!N51,Mapping!$D$2:$D$99,0))</f>
        <v>4</v>
      </c>
      <c r="O51" s="8" t="n">
        <f aca="false">INDEX(Mapping!$C$2:$C$99,MATCH(O$1&amp;"|"&amp;Customers!O51,Mapping!$D$2:$D$99,0))</f>
        <v>4</v>
      </c>
      <c r="P51" s="8" t="n">
        <f aca="false">INDEX(Mapping!$C$2:$C$99,MATCH(P$1&amp;"|"&amp;Customers!P51,Mapping!$D$2:$D$99,0))</f>
        <v>3</v>
      </c>
      <c r="Q51" s="8" t="n">
        <f aca="false">INDEX(Mapping!$C$2:$C$99,MATCH(Q$1&amp;"|"&amp;Customers!Q51,Mapping!$D$2:$D$99,0))</f>
        <v>3</v>
      </c>
      <c r="R51" s="8" t="n">
        <f aca="false">INDEX(Mapping!$C$2:$C$99,MATCH(R$1&amp;"|"&amp;Customers!R51,Mapping!$D$2:$D$99,0))</f>
        <v>4</v>
      </c>
      <c r="S51" s="8" t="n">
        <f aca="false">INDEX(Mapping!$C$2:$C$99,MATCH(S$1&amp;"|"&amp;Customers!S51,Mapping!$D$2:$D$99,0))</f>
        <v>3</v>
      </c>
      <c r="T51" s="8" t="n">
        <f aca="false">INDEX(Mapping!$C$2:$C$99,MATCH(T$1&amp;"|"&amp;Customers!T51,Mapping!$D$2:$D$99,0))</f>
        <v>3</v>
      </c>
      <c r="U51" s="8" t="n">
        <f aca="false">INDEX(Mapping!$C$2:$C$99,MATCH(U$1&amp;"|"&amp;Customers!U51,Mapping!$D$2:$D$99,0))</f>
        <v>3</v>
      </c>
      <c r="V51" s="8" t="n">
        <f aca="false">INDEX(Mapping!$C$2:$C$99,MATCH(V$1&amp;"|"&amp;Customers!V51,Mapping!$D$2:$D$99,0))</f>
        <v>2</v>
      </c>
      <c r="W51" s="17" t="n">
        <f aca="false">SUMPRODUCT($C51:$V51,Weights!$C$27:$V$27)</f>
        <v>2.5775</v>
      </c>
      <c r="X51" s="18" t="n">
        <f aca="false">ROUND($W51,2)</f>
        <v>2.58</v>
      </c>
      <c r="Y51" s="8" t="str">
        <f aca="false">IF($X51&lt;=2,"Low",IF($X51&lt;=3.49,"Medium","High"))</f>
        <v>Medium</v>
      </c>
      <c r="Z51" s="8" t="str">
        <f aca="false">IF(OR($F51&gt;=3,$E51=5,$D51=5,$C51=5,$G51=5,$H51=5,$I51=5,$J51=5,Customers!$W51="Yes"),"Yes","No")</f>
        <v>Yes</v>
      </c>
      <c r="AA51" s="15" t="str">
        <f aca="false">IF($Z51="Yes","High",$Y51)</f>
        <v>High</v>
      </c>
      <c r="AB51" s="18" t="n">
        <f aca="false">SUMPRODUCT($C51:$G51,Weights!$C$28:$G$28)</f>
        <v>2.3</v>
      </c>
      <c r="AC51" s="18" t="n">
        <f aca="false">SUMPRODUCT($H51:$J51,Weights!$H$28:$J$28)</f>
        <v>1</v>
      </c>
      <c r="AD51" s="18" t="n">
        <f aca="false">SUMPRODUCT($K51:$N51,Weights!$K$28:$N$28)</f>
        <v>4.1</v>
      </c>
      <c r="AE51" s="18" t="n">
        <f aca="false">SUMPRODUCT($O51:$Q51,Weights!$O$28:$Q$28)</f>
        <v>3.45</v>
      </c>
      <c r="AF51" s="18" t="n">
        <f aca="false">SUMPRODUCT($R51:$V51,Weights!$R$28:$V$28)</f>
        <v>3.15</v>
      </c>
      <c r="AH51" s="18" t="n">
        <f aca="false">SUMPRODUCT($AB51:$AF51,Validation!$D$7:$H$7)</f>
        <v>2.61714285714315</v>
      </c>
      <c r="AI51" s="18" t="n">
        <f aca="false">SUMPRODUCT($AB51:$AF51,Validation!$D$8:$H$8)</f>
        <v>2.53785714285685</v>
      </c>
      <c r="AJ51" s="18" t="n">
        <f aca="false">SUMPRODUCT($AB51:$AF51,Validation!$D$9:$H$9)</f>
        <v>2.78783333333355</v>
      </c>
      <c r="AK51" s="18" t="n">
        <f aca="false">SUMPRODUCT($AB51:$AF51,Validation!$D$10:$H$10)</f>
        <v>2.36716666666645</v>
      </c>
      <c r="AL51" s="18" t="n">
        <f aca="false">SUMPRODUCT($AB51:$AF51,Validation!$D$11:$H$11)</f>
        <v>2.3871875</v>
      </c>
      <c r="AM51" s="18" t="n">
        <f aca="false">SUMPRODUCT($AB51:$AF51,Validation!$D$12:$H$12)</f>
        <v>2.7678125</v>
      </c>
      <c r="AN51" s="18" t="n">
        <f aca="false">SUMPRODUCT($AB51:$AF51,Validation!$D$13:$H$13)</f>
        <v>2.48055555555515</v>
      </c>
      <c r="AO51" s="18" t="n">
        <f aca="false">SUMPRODUCT($AB51:$AF51,Validation!$D$14:$H$14)</f>
        <v>2.67444444444485</v>
      </c>
      <c r="AP51" s="18" t="n">
        <f aca="false">SUMPRODUCT($AB51:$AF51,Validation!$D$15:$H$15)</f>
        <v>2.5101470588235</v>
      </c>
      <c r="AQ51" s="18" t="n">
        <f aca="false">SUMPRODUCT($AB51:$AF51,Validation!$D$16:$H$16)</f>
        <v>2.6448529411765</v>
      </c>
      <c r="AR51" s="8" t="n">
        <f aca="false">COUNTIF($C51:$V51,"&gt;=4")</f>
        <v>5</v>
      </c>
      <c r="AS51" s="8" t="str">
        <f aca="false">IF($X51&lt;=1.6,"Low",IF($X51&lt;=2.2,"Medium","High"))</f>
        <v>High</v>
      </c>
      <c r="AT51" s="8" t="str">
        <f aca="false">IF($AR51=0,"Low",IF($AR51&lt;3,"Medium","High"))</f>
        <v>High</v>
      </c>
      <c r="AU51" s="8" t="str">
        <f aca="false">IF(OR($AS51="High",$AT51="High"),"High",IF(OR($AS51="Medium",$AT51="Medium"),"Medium","Low"))</f>
        <v>High</v>
      </c>
      <c r="AV51" s="15" t="str">
        <f aca="false">IF($Z51="Yes","High",$AU51)</f>
        <v>High</v>
      </c>
    </row>
    <row r="52" customFormat="false" ht="15" hidden="false" customHeight="false" outlineLevel="0" collapsed="false">
      <c r="A52" s="7" t="str">
        <f aca="false">Customers!$A52</f>
        <v>NG-10243</v>
      </c>
      <c r="B52" s="7" t="str">
        <f aca="false">Customers!$B52</f>
        <v>Personal</v>
      </c>
      <c r="C52" s="8" t="n">
        <f aca="false">INDEX(Mapping!$C$2:$C$99,MATCH(C$1&amp;"|"&amp;Customers!C52,Mapping!$D$2:$D$99,0))</f>
        <v>1</v>
      </c>
      <c r="D52" s="8" t="n">
        <f aca="false">INDEX(Mapping!$C$2:$C$99,MATCH(D$1&amp;"|"&amp;Customers!D52,Mapping!$D$2:$D$99,0))</f>
        <v>1</v>
      </c>
      <c r="E52" s="8" t="n">
        <f aca="false">INDEX(Mapping!$C$2:$C$99,MATCH(E$1&amp;"|"&amp;Customers!E52,Mapping!$D$2:$D$99,0))</f>
        <v>1</v>
      </c>
      <c r="F52" s="8" t="n">
        <f aca="false">INDEX(Mapping!$C$2:$C$99,MATCH(F$1&amp;"|"&amp;Customers!F52,Mapping!$D$2:$D$99,0))</f>
        <v>1</v>
      </c>
      <c r="G52" s="8" t="n">
        <f aca="false">INDEX(Mapping!$C$2:$C$99,MATCH(G$1&amp;"|"&amp;Customers!G52,Mapping!$D$2:$D$99,0))</f>
        <v>1</v>
      </c>
      <c r="H52" s="8" t="n">
        <f aca="false">INDEX(Mapping!$C$2:$C$99,MATCH(H$1&amp;"|"&amp;Customers!H52,Mapping!$D$2:$D$99,0))</f>
        <v>1</v>
      </c>
      <c r="I52" s="8" t="n">
        <f aca="false">INDEX(Mapping!$C$2:$C$99,MATCH(I$1&amp;"|"&amp;Customers!I52,Mapping!$D$2:$D$99,0))</f>
        <v>2</v>
      </c>
      <c r="J52" s="8" t="n">
        <f aca="false">INDEX(Mapping!$C$2:$C$99,MATCH(J$1&amp;"|"&amp;Customers!J52,Mapping!$D$2:$D$99,0))</f>
        <v>1</v>
      </c>
      <c r="K52" s="8" t="n">
        <f aca="false">INDEX(Mapping!$C$2:$C$99,MATCH(K$1&amp;"|"&amp;Customers!K52,Mapping!$D$2:$D$99,0))</f>
        <v>2</v>
      </c>
      <c r="L52" s="8" t="n">
        <f aca="false">INDEX(Mapping!$C$2:$C$99,MATCH(L$1&amp;"|"&amp;Customers!L52,Mapping!$D$2:$D$99,0))</f>
        <v>3</v>
      </c>
      <c r="M52" s="8" t="n">
        <f aca="false">INDEX(Mapping!$C$2:$C$99,MATCH(M$1&amp;"|"&amp;Customers!M52,Mapping!$D$2:$D$99,0))</f>
        <v>4</v>
      </c>
      <c r="N52" s="8" t="n">
        <f aca="false">INDEX(Mapping!$C$2:$C$99,MATCH(N$1&amp;"|"&amp;Customers!N52,Mapping!$D$2:$D$99,0))</f>
        <v>1</v>
      </c>
      <c r="O52" s="8" t="n">
        <f aca="false">INDEX(Mapping!$C$2:$C$99,MATCH(O$1&amp;"|"&amp;Customers!O52,Mapping!$D$2:$D$99,0))</f>
        <v>3</v>
      </c>
      <c r="P52" s="8" t="n">
        <f aca="false">INDEX(Mapping!$C$2:$C$99,MATCH(P$1&amp;"|"&amp;Customers!P52,Mapping!$D$2:$D$99,0))</f>
        <v>4</v>
      </c>
      <c r="Q52" s="8" t="n">
        <f aca="false">INDEX(Mapping!$C$2:$C$99,MATCH(Q$1&amp;"|"&amp;Customers!Q52,Mapping!$D$2:$D$99,0))</f>
        <v>1</v>
      </c>
      <c r="R52" s="8" t="n">
        <f aca="false">INDEX(Mapping!$C$2:$C$99,MATCH(R$1&amp;"|"&amp;Customers!R52,Mapping!$D$2:$D$99,0))</f>
        <v>1</v>
      </c>
      <c r="S52" s="8" t="n">
        <f aca="false">INDEX(Mapping!$C$2:$C$99,MATCH(S$1&amp;"|"&amp;Customers!S52,Mapping!$D$2:$D$99,0))</f>
        <v>4</v>
      </c>
      <c r="T52" s="8" t="n">
        <f aca="false">INDEX(Mapping!$C$2:$C$99,MATCH(T$1&amp;"|"&amp;Customers!T52,Mapping!$D$2:$D$99,0))</f>
        <v>1</v>
      </c>
      <c r="U52" s="8" t="n">
        <f aca="false">INDEX(Mapping!$C$2:$C$99,MATCH(U$1&amp;"|"&amp;Customers!U52,Mapping!$D$2:$D$99,0))</f>
        <v>1</v>
      </c>
      <c r="V52" s="8" t="n">
        <f aca="false">INDEX(Mapping!$C$2:$C$99,MATCH(V$1&amp;"|"&amp;Customers!V52,Mapping!$D$2:$D$99,0))</f>
        <v>2</v>
      </c>
      <c r="W52" s="17" t="n">
        <f aca="false">SUMPRODUCT($C52:$V52,Weights!$C$27:$V$27)</f>
        <v>1.715</v>
      </c>
      <c r="X52" s="18" t="n">
        <f aca="false">ROUND($W52,2)</f>
        <v>1.72</v>
      </c>
      <c r="Y52" s="8" t="str">
        <f aca="false">IF($X52&lt;=2,"Low",IF($X52&lt;=3.49,"Medium","High"))</f>
        <v>Low</v>
      </c>
      <c r="Z52" s="8" t="str">
        <f aca="false">IF(OR($F52&gt;=3,$E52=5,$D52=5,$C52=5,$G52=5,$H52=5,$I52=5,$J52=5,Customers!$W52="Yes"),"Yes","No")</f>
        <v>No</v>
      </c>
      <c r="AA52" s="15" t="str">
        <f aca="false">IF($Z52="Yes","High",$Y52)</f>
        <v>Low</v>
      </c>
      <c r="AB52" s="18" t="n">
        <f aca="false">SUMPRODUCT($C52:$G52,Weights!$C$28:$G$28)</f>
        <v>1</v>
      </c>
      <c r="AC52" s="18" t="n">
        <f aca="false">SUMPRODUCT($H52:$J52,Weights!$H$28:$J$28)</f>
        <v>1.2</v>
      </c>
      <c r="AD52" s="18" t="n">
        <f aca="false">SUMPRODUCT($K52:$N52,Weights!$K$28:$N$28)</f>
        <v>2.6</v>
      </c>
      <c r="AE52" s="18" t="n">
        <f aca="false">SUMPRODUCT($O52:$Q52,Weights!$O$28:$Q$28)</f>
        <v>2.95</v>
      </c>
      <c r="AF52" s="18" t="n">
        <f aca="false">SUMPRODUCT($R52:$V52,Weights!$R$28:$V$28)</f>
        <v>2</v>
      </c>
      <c r="AH52" s="18" t="n">
        <f aca="false">SUMPRODUCT($AB52:$AF52,Validation!$D$7:$H$7)</f>
        <v>1.8171428571431</v>
      </c>
      <c r="AI52" s="18" t="n">
        <f aca="false">SUMPRODUCT($AB52:$AF52,Validation!$D$8:$H$8)</f>
        <v>1.6128571428569</v>
      </c>
      <c r="AJ52" s="18" t="n">
        <f aca="false">SUMPRODUCT($AB52:$AF52,Validation!$D$9:$H$9)</f>
        <v>1.78366666666655</v>
      </c>
      <c r="AK52" s="18" t="n">
        <f aca="false">SUMPRODUCT($AB52:$AF52,Validation!$D$10:$H$10)</f>
        <v>1.64633333333345</v>
      </c>
      <c r="AL52" s="18" t="n">
        <f aca="false">SUMPRODUCT($AB52:$AF52,Validation!$D$11:$H$11)</f>
        <v>1.604375</v>
      </c>
      <c r="AM52" s="18" t="n">
        <f aca="false">SUMPRODUCT($AB52:$AF52,Validation!$D$12:$H$12)</f>
        <v>1.825625</v>
      </c>
      <c r="AN52" s="18" t="n">
        <f aca="false">SUMPRODUCT($AB52:$AF52,Validation!$D$13:$H$13)</f>
        <v>1.5777777777778</v>
      </c>
      <c r="AO52" s="18" t="n">
        <f aca="false">SUMPRODUCT($AB52:$AF52,Validation!$D$14:$H$14)</f>
        <v>1.8522222222222</v>
      </c>
      <c r="AP52" s="18" t="n">
        <f aca="false">SUMPRODUCT($AB52:$AF52,Validation!$D$15:$H$15)</f>
        <v>1.6814705882351</v>
      </c>
      <c r="AQ52" s="18" t="n">
        <f aca="false">SUMPRODUCT($AB52:$AF52,Validation!$D$16:$H$16)</f>
        <v>1.7485294117649</v>
      </c>
      <c r="AR52" s="8" t="n">
        <f aca="false">COUNTIF($C52:$V52,"&gt;=4")</f>
        <v>3</v>
      </c>
      <c r="AS52" s="8" t="str">
        <f aca="false">IF($X52&lt;=1.6,"Low",IF($X52&lt;=2.2,"Medium","High"))</f>
        <v>Medium</v>
      </c>
      <c r="AT52" s="8" t="str">
        <f aca="false">IF($AR52=0,"Low",IF($AR52&lt;3,"Medium","High"))</f>
        <v>High</v>
      </c>
      <c r="AU52" s="8" t="str">
        <f aca="false">IF(OR($AS52="High",$AT52="High"),"High",IF(OR($AS52="Medium",$AT52="Medium"),"Medium","Low"))</f>
        <v>High</v>
      </c>
      <c r="AV52" s="15" t="str">
        <f aca="false">IF($Z52="Yes","High",$AU52)</f>
        <v>High</v>
      </c>
    </row>
    <row r="53" customFormat="false" ht="15" hidden="false" customHeight="false" outlineLevel="0" collapsed="false">
      <c r="A53" s="7" t="str">
        <f aca="false">Customers!$A53</f>
        <v>NG-10022</v>
      </c>
      <c r="B53" s="7" t="str">
        <f aca="false">Customers!$B53</f>
        <v>Personal</v>
      </c>
      <c r="C53" s="8" t="n">
        <f aca="false">INDEX(Mapping!$C$2:$C$99,MATCH(C$1&amp;"|"&amp;Customers!C53,Mapping!$D$2:$D$99,0))</f>
        <v>2</v>
      </c>
      <c r="D53" s="8" t="n">
        <f aca="false">INDEX(Mapping!$C$2:$C$99,MATCH(D$1&amp;"|"&amp;Customers!D53,Mapping!$D$2:$D$99,0))</f>
        <v>1</v>
      </c>
      <c r="E53" s="8" t="n">
        <f aca="false">INDEX(Mapping!$C$2:$C$99,MATCH(E$1&amp;"|"&amp;Customers!E53,Mapping!$D$2:$D$99,0))</f>
        <v>3</v>
      </c>
      <c r="F53" s="8" t="n">
        <f aca="false">INDEX(Mapping!$C$2:$C$99,MATCH(F$1&amp;"|"&amp;Customers!F53,Mapping!$D$2:$D$99,0))</f>
        <v>1</v>
      </c>
      <c r="G53" s="8" t="n">
        <f aca="false">INDEX(Mapping!$C$2:$C$99,MATCH(G$1&amp;"|"&amp;Customers!G53,Mapping!$D$2:$D$99,0))</f>
        <v>1</v>
      </c>
      <c r="H53" s="8" t="n">
        <f aca="false">INDEX(Mapping!$C$2:$C$99,MATCH(H$1&amp;"|"&amp;Customers!H53,Mapping!$D$2:$D$99,0))</f>
        <v>1</v>
      </c>
      <c r="I53" s="8" t="n">
        <f aca="false">INDEX(Mapping!$C$2:$C$99,MATCH(I$1&amp;"|"&amp;Customers!I53,Mapping!$D$2:$D$99,0))</f>
        <v>1</v>
      </c>
      <c r="J53" s="8" t="n">
        <f aca="false">INDEX(Mapping!$C$2:$C$99,MATCH(J$1&amp;"|"&amp;Customers!J53,Mapping!$D$2:$D$99,0))</f>
        <v>1</v>
      </c>
      <c r="K53" s="8" t="n">
        <f aca="false">INDEX(Mapping!$C$2:$C$99,MATCH(K$1&amp;"|"&amp;Customers!K53,Mapping!$D$2:$D$99,0))</f>
        <v>3</v>
      </c>
      <c r="L53" s="8" t="n">
        <f aca="false">INDEX(Mapping!$C$2:$C$99,MATCH(L$1&amp;"|"&amp;Customers!L53,Mapping!$D$2:$D$99,0))</f>
        <v>3</v>
      </c>
      <c r="M53" s="8" t="n">
        <f aca="false">INDEX(Mapping!$C$2:$C$99,MATCH(M$1&amp;"|"&amp;Customers!M53,Mapping!$D$2:$D$99,0))</f>
        <v>4</v>
      </c>
      <c r="N53" s="8" t="n">
        <f aca="false">INDEX(Mapping!$C$2:$C$99,MATCH(N$1&amp;"|"&amp;Customers!N53,Mapping!$D$2:$D$99,0))</f>
        <v>1</v>
      </c>
      <c r="O53" s="8" t="n">
        <f aca="false">INDEX(Mapping!$C$2:$C$99,MATCH(O$1&amp;"|"&amp;Customers!O53,Mapping!$D$2:$D$99,0))</f>
        <v>2</v>
      </c>
      <c r="P53" s="8" t="n">
        <f aca="false">INDEX(Mapping!$C$2:$C$99,MATCH(P$1&amp;"|"&amp;Customers!P53,Mapping!$D$2:$D$99,0))</f>
        <v>3</v>
      </c>
      <c r="Q53" s="8" t="n">
        <f aca="false">INDEX(Mapping!$C$2:$C$99,MATCH(Q$1&amp;"|"&amp;Customers!Q53,Mapping!$D$2:$D$99,0))</f>
        <v>1</v>
      </c>
      <c r="R53" s="8" t="n">
        <f aca="false">INDEX(Mapping!$C$2:$C$99,MATCH(R$1&amp;"|"&amp;Customers!R53,Mapping!$D$2:$D$99,0))</f>
        <v>1</v>
      </c>
      <c r="S53" s="8" t="n">
        <f aca="false">INDEX(Mapping!$C$2:$C$99,MATCH(S$1&amp;"|"&amp;Customers!S53,Mapping!$D$2:$D$99,0))</f>
        <v>3</v>
      </c>
      <c r="T53" s="8" t="n">
        <f aca="false">INDEX(Mapping!$C$2:$C$99,MATCH(T$1&amp;"|"&amp;Customers!T53,Mapping!$D$2:$D$99,0))</f>
        <v>2</v>
      </c>
      <c r="U53" s="8" t="n">
        <f aca="false">INDEX(Mapping!$C$2:$C$99,MATCH(U$1&amp;"|"&amp;Customers!U53,Mapping!$D$2:$D$99,0))</f>
        <v>1</v>
      </c>
      <c r="V53" s="8" t="n">
        <f aca="false">INDEX(Mapping!$C$2:$C$99,MATCH(V$1&amp;"|"&amp;Customers!V53,Mapping!$D$2:$D$99,0))</f>
        <v>1</v>
      </c>
      <c r="W53" s="17" t="n">
        <f aca="false">SUMPRODUCT($C53:$V53,Weights!$C$27:$V$27)</f>
        <v>1.835</v>
      </c>
      <c r="X53" s="18" t="n">
        <f aca="false">ROUND($W53,2)</f>
        <v>1.84</v>
      </c>
      <c r="Y53" s="8" t="str">
        <f aca="false">IF($X53&lt;=2,"Low",IF($X53&lt;=3.49,"Medium","High"))</f>
        <v>Low</v>
      </c>
      <c r="Z53" s="8" t="str">
        <f aca="false">IF(OR($F53&gt;=3,$E53=5,$D53=5,$C53=5,$G53=5,$H53=5,$I53=5,$J53=5,Customers!$W53="Yes"),"Yes","No")</f>
        <v>No</v>
      </c>
      <c r="AA53" s="15" t="str">
        <f aca="false">IF($Z53="Yes","High",$Y53)</f>
        <v>Low</v>
      </c>
      <c r="AB53" s="18" t="n">
        <f aca="false">SUMPRODUCT($C53:$G53,Weights!$C$28:$G$28)</f>
        <v>1.7</v>
      </c>
      <c r="AC53" s="18" t="n">
        <f aca="false">SUMPRODUCT($H53:$J53,Weights!$H$28:$J$28)</f>
        <v>1</v>
      </c>
      <c r="AD53" s="18" t="n">
        <f aca="false">SUMPRODUCT($K53:$N53,Weights!$K$28:$N$28)</f>
        <v>2.95</v>
      </c>
      <c r="AE53" s="18" t="n">
        <f aca="false">SUMPRODUCT($O53:$Q53,Weights!$O$28:$Q$28)</f>
        <v>2.15</v>
      </c>
      <c r="AF53" s="18" t="n">
        <f aca="false">SUMPRODUCT($R53:$V53,Weights!$R$28:$V$28)</f>
        <v>1.8</v>
      </c>
      <c r="AH53" s="18" t="n">
        <f aca="false">SUMPRODUCT($AB53:$AF53,Validation!$D$7:$H$7)</f>
        <v>1.85428571428555</v>
      </c>
      <c r="AI53" s="18" t="n">
        <f aca="false">SUMPRODUCT($AB53:$AF53,Validation!$D$8:$H$8)</f>
        <v>1.81571428571445</v>
      </c>
      <c r="AJ53" s="18" t="n">
        <f aca="false">SUMPRODUCT($AB53:$AF53,Validation!$D$9:$H$9)</f>
        <v>1.9463333333336</v>
      </c>
      <c r="AK53" s="18" t="n">
        <f aca="false">SUMPRODUCT($AB53:$AF53,Validation!$D$10:$H$10)</f>
        <v>1.7236666666664</v>
      </c>
      <c r="AL53" s="18" t="n">
        <f aca="false">SUMPRODUCT($AB53:$AF53,Validation!$D$11:$H$11)</f>
        <v>1.695625</v>
      </c>
      <c r="AM53" s="18" t="n">
        <f aca="false">SUMPRODUCT($AB53:$AF53,Validation!$D$12:$H$12)</f>
        <v>1.974375</v>
      </c>
      <c r="AN53" s="18" t="n">
        <f aca="false">SUMPRODUCT($AB53:$AF53,Validation!$D$13:$H$13)</f>
        <v>1.7999999999996</v>
      </c>
      <c r="AO53" s="18" t="n">
        <f aca="false">SUMPRODUCT($AB53:$AF53,Validation!$D$14:$H$14)</f>
        <v>1.8700000000004</v>
      </c>
      <c r="AP53" s="18" t="n">
        <f aca="false">SUMPRODUCT($AB53:$AF53,Validation!$D$15:$H$15)</f>
        <v>1.83911764705895</v>
      </c>
      <c r="AQ53" s="18" t="n">
        <f aca="false">SUMPRODUCT($AB53:$AF53,Validation!$D$16:$H$16)</f>
        <v>1.83088235294105</v>
      </c>
      <c r="AR53" s="8" t="n">
        <f aca="false">COUNTIF($C53:$V53,"&gt;=4")</f>
        <v>1</v>
      </c>
      <c r="AS53" s="8" t="str">
        <f aca="false">IF($X53&lt;=1.6,"Low",IF($X53&lt;=2.2,"Medium","High"))</f>
        <v>Medium</v>
      </c>
      <c r="AT53" s="8" t="str">
        <f aca="false">IF($AR53=0,"Low",IF($AR53&lt;3,"Medium","High"))</f>
        <v>Medium</v>
      </c>
      <c r="AU53" s="8" t="str">
        <f aca="false">IF(OR($AS53="High",$AT53="High"),"High",IF(OR($AS53="Medium",$AT53="Medium"),"Medium","Low"))</f>
        <v>Medium</v>
      </c>
      <c r="AV53" s="15" t="str">
        <f aca="false">IF($Z53="Yes","High",$AU53)</f>
        <v>Medium</v>
      </c>
    </row>
    <row r="54" customFormat="false" ht="15" hidden="false" customHeight="false" outlineLevel="0" collapsed="false">
      <c r="A54" s="7" t="str">
        <f aca="false">Customers!$A54</f>
        <v>NG-10003</v>
      </c>
      <c r="B54" s="7" t="str">
        <f aca="false">Customers!$B54</f>
        <v>Personal</v>
      </c>
      <c r="C54" s="8" t="n">
        <f aca="false">INDEX(Mapping!$C$2:$C$99,MATCH(C$1&amp;"|"&amp;Customers!C54,Mapping!$D$2:$D$99,0))</f>
        <v>1</v>
      </c>
      <c r="D54" s="8" t="n">
        <f aca="false">INDEX(Mapping!$C$2:$C$99,MATCH(D$1&amp;"|"&amp;Customers!D54,Mapping!$D$2:$D$99,0))</f>
        <v>1</v>
      </c>
      <c r="E54" s="8" t="n">
        <f aca="false">INDEX(Mapping!$C$2:$C$99,MATCH(E$1&amp;"|"&amp;Customers!E54,Mapping!$D$2:$D$99,0))</f>
        <v>1</v>
      </c>
      <c r="F54" s="8" t="n">
        <f aca="false">INDEX(Mapping!$C$2:$C$99,MATCH(F$1&amp;"|"&amp;Customers!F54,Mapping!$D$2:$D$99,0))</f>
        <v>1</v>
      </c>
      <c r="G54" s="8" t="n">
        <f aca="false">INDEX(Mapping!$C$2:$C$99,MATCH(G$1&amp;"|"&amp;Customers!G54,Mapping!$D$2:$D$99,0))</f>
        <v>1</v>
      </c>
      <c r="H54" s="8" t="n">
        <f aca="false">INDEX(Mapping!$C$2:$C$99,MATCH(H$1&amp;"|"&amp;Customers!H54,Mapping!$D$2:$D$99,0))</f>
        <v>1</v>
      </c>
      <c r="I54" s="8" t="n">
        <f aca="false">INDEX(Mapping!$C$2:$C$99,MATCH(I$1&amp;"|"&amp;Customers!I54,Mapping!$D$2:$D$99,0))</f>
        <v>1</v>
      </c>
      <c r="J54" s="8" t="n">
        <f aca="false">INDEX(Mapping!$C$2:$C$99,MATCH(J$1&amp;"|"&amp;Customers!J54,Mapping!$D$2:$D$99,0))</f>
        <v>1</v>
      </c>
      <c r="K54" s="8" t="n">
        <f aca="false">INDEX(Mapping!$C$2:$C$99,MATCH(K$1&amp;"|"&amp;Customers!K54,Mapping!$D$2:$D$99,0))</f>
        <v>3</v>
      </c>
      <c r="L54" s="8" t="n">
        <f aca="false">INDEX(Mapping!$C$2:$C$99,MATCH(L$1&amp;"|"&amp;Customers!L54,Mapping!$D$2:$D$99,0))</f>
        <v>2</v>
      </c>
      <c r="M54" s="8" t="n">
        <f aca="false">INDEX(Mapping!$C$2:$C$99,MATCH(M$1&amp;"|"&amp;Customers!M54,Mapping!$D$2:$D$99,0))</f>
        <v>2</v>
      </c>
      <c r="N54" s="8" t="n">
        <f aca="false">INDEX(Mapping!$C$2:$C$99,MATCH(N$1&amp;"|"&amp;Customers!N54,Mapping!$D$2:$D$99,0))</f>
        <v>1</v>
      </c>
      <c r="O54" s="8" t="n">
        <f aca="false">INDEX(Mapping!$C$2:$C$99,MATCH(O$1&amp;"|"&amp;Customers!O54,Mapping!$D$2:$D$99,0))</f>
        <v>3</v>
      </c>
      <c r="P54" s="8" t="n">
        <f aca="false">INDEX(Mapping!$C$2:$C$99,MATCH(P$1&amp;"|"&amp;Customers!P54,Mapping!$D$2:$D$99,0))</f>
        <v>4</v>
      </c>
      <c r="Q54" s="8" t="n">
        <f aca="false">INDEX(Mapping!$C$2:$C$99,MATCH(Q$1&amp;"|"&amp;Customers!Q54,Mapping!$D$2:$D$99,0))</f>
        <v>1</v>
      </c>
      <c r="R54" s="8" t="n">
        <f aca="false">INDEX(Mapping!$C$2:$C$99,MATCH(R$1&amp;"|"&amp;Customers!R54,Mapping!$D$2:$D$99,0))</f>
        <v>2</v>
      </c>
      <c r="S54" s="8" t="n">
        <f aca="false">INDEX(Mapping!$C$2:$C$99,MATCH(S$1&amp;"|"&amp;Customers!S54,Mapping!$D$2:$D$99,0))</f>
        <v>1</v>
      </c>
      <c r="T54" s="8" t="n">
        <f aca="false">INDEX(Mapping!$C$2:$C$99,MATCH(T$1&amp;"|"&amp;Customers!T54,Mapping!$D$2:$D$99,0))</f>
        <v>1</v>
      </c>
      <c r="U54" s="8" t="n">
        <f aca="false">INDEX(Mapping!$C$2:$C$99,MATCH(U$1&amp;"|"&amp;Customers!U54,Mapping!$D$2:$D$99,0))</f>
        <v>3</v>
      </c>
      <c r="V54" s="8" t="n">
        <f aca="false">INDEX(Mapping!$C$2:$C$99,MATCH(V$1&amp;"|"&amp;Customers!V54,Mapping!$D$2:$D$99,0))</f>
        <v>2</v>
      </c>
      <c r="W54" s="17" t="n">
        <f aca="false">SUMPRODUCT($C54:$V54,Weights!$C$27:$V$27)</f>
        <v>1.5325</v>
      </c>
      <c r="X54" s="18" t="n">
        <f aca="false">ROUND($W54,2)</f>
        <v>1.53</v>
      </c>
      <c r="Y54" s="8" t="str">
        <f aca="false">IF($X54&lt;=2,"Low",IF($X54&lt;=3.49,"Medium","High"))</f>
        <v>Low</v>
      </c>
      <c r="Z54" s="8" t="str">
        <f aca="false">IF(OR($F54&gt;=3,$E54=5,$D54=5,$C54=5,$G54=5,$H54=5,$I54=5,$J54=5,Customers!$W54="Yes"),"Yes","No")</f>
        <v>No</v>
      </c>
      <c r="AA54" s="15" t="str">
        <f aca="false">IF($Z54="Yes","High",$Y54)</f>
        <v>Low</v>
      </c>
      <c r="AB54" s="18" t="n">
        <f aca="false">SUMPRODUCT($C54:$G54,Weights!$C$28:$G$28)</f>
        <v>1</v>
      </c>
      <c r="AC54" s="18" t="n">
        <f aca="false">SUMPRODUCT($H54:$J54,Weights!$H$28:$J$28)</f>
        <v>1</v>
      </c>
      <c r="AD54" s="18" t="n">
        <f aca="false">SUMPRODUCT($K54:$N54,Weights!$K$28:$N$28)</f>
        <v>2.2</v>
      </c>
      <c r="AE54" s="18" t="n">
        <f aca="false">SUMPRODUCT($O54:$Q54,Weights!$O$28:$Q$28)</f>
        <v>2.95</v>
      </c>
      <c r="AF54" s="18" t="n">
        <f aca="false">SUMPRODUCT($R54:$V54,Weights!$R$28:$V$28)</f>
        <v>1.65</v>
      </c>
      <c r="AH54" s="18" t="n">
        <f aca="false">SUMPRODUCT($AB54:$AF54,Validation!$D$7:$H$7)</f>
        <v>1.60857142857175</v>
      </c>
      <c r="AI54" s="18" t="n">
        <f aca="false">SUMPRODUCT($AB54:$AF54,Validation!$D$8:$H$8)</f>
        <v>1.45642857142825</v>
      </c>
      <c r="AJ54" s="18" t="n">
        <f aca="false">SUMPRODUCT($AB54:$AF54,Validation!$D$9:$H$9)</f>
        <v>1.60349999999975</v>
      </c>
      <c r="AK54" s="18" t="n">
        <f aca="false">SUMPRODUCT($AB54:$AF54,Validation!$D$10:$H$10)</f>
        <v>1.46150000000025</v>
      </c>
      <c r="AL54" s="18" t="n">
        <f aca="false">SUMPRODUCT($AB54:$AF54,Validation!$D$11:$H$11)</f>
        <v>1.4490625</v>
      </c>
      <c r="AM54" s="18" t="n">
        <f aca="false">SUMPRODUCT($AB54:$AF54,Validation!$D$12:$H$12)</f>
        <v>1.6159375</v>
      </c>
      <c r="AN54" s="18" t="n">
        <f aca="false">SUMPRODUCT($AB54:$AF54,Validation!$D$13:$H$13)</f>
        <v>1.37499999999995</v>
      </c>
      <c r="AO54" s="18" t="n">
        <f aca="false">SUMPRODUCT($AB54:$AF54,Validation!$D$14:$H$14)</f>
        <v>1.69000000000005</v>
      </c>
      <c r="AP54" s="18" t="n">
        <f aca="false">SUMPRODUCT($AB54:$AF54,Validation!$D$15:$H$15)</f>
        <v>1.5186764705879</v>
      </c>
      <c r="AQ54" s="18" t="n">
        <f aca="false">SUMPRODUCT($AB54:$AF54,Validation!$D$16:$H$16)</f>
        <v>1.5463235294121</v>
      </c>
      <c r="AR54" s="8" t="n">
        <f aca="false">COUNTIF($C54:$V54,"&gt;=4")</f>
        <v>1</v>
      </c>
      <c r="AS54" s="8" t="str">
        <f aca="false">IF($X54&lt;=1.6,"Low",IF($X54&lt;=2.2,"Medium","High"))</f>
        <v>Low</v>
      </c>
      <c r="AT54" s="8" t="str">
        <f aca="false">IF($AR54=0,"Low",IF($AR54&lt;3,"Medium","High"))</f>
        <v>Medium</v>
      </c>
      <c r="AU54" s="8" t="str">
        <f aca="false">IF(OR($AS54="High",$AT54="High"),"High",IF(OR($AS54="Medium",$AT54="Medium"),"Medium","Low"))</f>
        <v>Medium</v>
      </c>
      <c r="AV54" s="15" t="str">
        <f aca="false">IF($Z54="Yes","High",$AU54)</f>
        <v>Medium</v>
      </c>
    </row>
    <row r="55" customFormat="false" ht="15" hidden="false" customHeight="false" outlineLevel="0" collapsed="false">
      <c r="A55" s="7" t="str">
        <f aca="false">Customers!$A55</f>
        <v>NG-10002</v>
      </c>
      <c r="B55" s="7" t="str">
        <f aca="false">Customers!$B55</f>
        <v>Personal</v>
      </c>
      <c r="C55" s="8" t="n">
        <f aca="false">INDEX(Mapping!$C$2:$C$99,MATCH(C$1&amp;"|"&amp;Customers!C55,Mapping!$D$2:$D$99,0))</f>
        <v>2</v>
      </c>
      <c r="D55" s="8" t="n">
        <f aca="false">INDEX(Mapping!$C$2:$C$99,MATCH(D$1&amp;"|"&amp;Customers!D55,Mapping!$D$2:$D$99,0))</f>
        <v>1</v>
      </c>
      <c r="E55" s="8" t="n">
        <f aca="false">INDEX(Mapping!$C$2:$C$99,MATCH(E$1&amp;"|"&amp;Customers!E55,Mapping!$D$2:$D$99,0))</f>
        <v>1</v>
      </c>
      <c r="F55" s="8" t="n">
        <f aca="false">INDEX(Mapping!$C$2:$C$99,MATCH(F$1&amp;"|"&amp;Customers!F55,Mapping!$D$2:$D$99,0))</f>
        <v>1</v>
      </c>
      <c r="G55" s="8" t="n">
        <f aca="false">INDEX(Mapping!$C$2:$C$99,MATCH(G$1&amp;"|"&amp;Customers!G55,Mapping!$D$2:$D$99,0))</f>
        <v>1</v>
      </c>
      <c r="H55" s="8" t="n">
        <f aca="false">INDEX(Mapping!$C$2:$C$99,MATCH(H$1&amp;"|"&amp;Customers!H55,Mapping!$D$2:$D$99,0))</f>
        <v>1</v>
      </c>
      <c r="I55" s="8" t="n">
        <f aca="false">INDEX(Mapping!$C$2:$C$99,MATCH(I$1&amp;"|"&amp;Customers!I55,Mapping!$D$2:$D$99,0))</f>
        <v>1</v>
      </c>
      <c r="J55" s="8" t="n">
        <f aca="false">INDEX(Mapping!$C$2:$C$99,MATCH(J$1&amp;"|"&amp;Customers!J55,Mapping!$D$2:$D$99,0))</f>
        <v>1</v>
      </c>
      <c r="K55" s="8" t="n">
        <f aca="false">INDEX(Mapping!$C$2:$C$99,MATCH(K$1&amp;"|"&amp;Customers!K55,Mapping!$D$2:$D$99,0))</f>
        <v>2</v>
      </c>
      <c r="L55" s="8" t="n">
        <f aca="false">INDEX(Mapping!$C$2:$C$99,MATCH(L$1&amp;"|"&amp;Customers!L55,Mapping!$D$2:$D$99,0))</f>
        <v>3</v>
      </c>
      <c r="M55" s="8" t="n">
        <f aca="false">INDEX(Mapping!$C$2:$C$99,MATCH(M$1&amp;"|"&amp;Customers!M55,Mapping!$D$2:$D$99,0))</f>
        <v>3</v>
      </c>
      <c r="N55" s="8" t="n">
        <f aca="false">INDEX(Mapping!$C$2:$C$99,MATCH(N$1&amp;"|"&amp;Customers!N55,Mapping!$D$2:$D$99,0))</f>
        <v>1</v>
      </c>
      <c r="O55" s="8" t="n">
        <f aca="false">INDEX(Mapping!$C$2:$C$99,MATCH(O$1&amp;"|"&amp;Customers!O55,Mapping!$D$2:$D$99,0))</f>
        <v>1</v>
      </c>
      <c r="P55" s="8" t="n">
        <f aca="false">INDEX(Mapping!$C$2:$C$99,MATCH(P$1&amp;"|"&amp;Customers!P55,Mapping!$D$2:$D$99,0))</f>
        <v>3</v>
      </c>
      <c r="Q55" s="8" t="n">
        <f aca="false">INDEX(Mapping!$C$2:$C$99,MATCH(Q$1&amp;"|"&amp;Customers!Q55,Mapping!$D$2:$D$99,0))</f>
        <v>1</v>
      </c>
      <c r="R55" s="8" t="n">
        <f aca="false">INDEX(Mapping!$C$2:$C$99,MATCH(R$1&amp;"|"&amp;Customers!R55,Mapping!$D$2:$D$99,0))</f>
        <v>1</v>
      </c>
      <c r="S55" s="8" t="n">
        <f aca="false">INDEX(Mapping!$C$2:$C$99,MATCH(S$1&amp;"|"&amp;Customers!S55,Mapping!$D$2:$D$99,0))</f>
        <v>2</v>
      </c>
      <c r="T55" s="8" t="n">
        <f aca="false">INDEX(Mapping!$C$2:$C$99,MATCH(T$1&amp;"|"&amp;Customers!T55,Mapping!$D$2:$D$99,0))</f>
        <v>2</v>
      </c>
      <c r="U55" s="8" t="n">
        <f aca="false">INDEX(Mapping!$C$2:$C$99,MATCH(U$1&amp;"|"&amp;Customers!U55,Mapping!$D$2:$D$99,0))</f>
        <v>1</v>
      </c>
      <c r="V55" s="8" t="n">
        <f aca="false">INDEX(Mapping!$C$2:$C$99,MATCH(V$1&amp;"|"&amp;Customers!V55,Mapping!$D$2:$D$99,0))</f>
        <v>2</v>
      </c>
      <c r="W55" s="17" t="n">
        <f aca="false">SUMPRODUCT($C55:$V55,Weights!$C$27:$V$27)</f>
        <v>1.49</v>
      </c>
      <c r="X55" s="18" t="n">
        <f aca="false">ROUND($W55,2)</f>
        <v>1.49</v>
      </c>
      <c r="Y55" s="8" t="str">
        <f aca="false">IF($X55&lt;=2,"Low",IF($X55&lt;=3.49,"Medium","High"))</f>
        <v>Low</v>
      </c>
      <c r="Z55" s="8" t="str">
        <f aca="false">IF(OR($F55&gt;=3,$E55=5,$D55=5,$C55=5,$G55=5,$H55=5,$I55=5,$J55=5,Customers!$W55="Yes"),"Yes","No")</f>
        <v>No</v>
      </c>
      <c r="AA55" s="15" t="str">
        <f aca="false">IF($Z55="Yes","High",$Y55)</f>
        <v>Low</v>
      </c>
      <c r="AB55" s="18" t="n">
        <f aca="false">SUMPRODUCT($C55:$G55,Weights!$C$28:$G$28)</f>
        <v>1.2</v>
      </c>
      <c r="AC55" s="18" t="n">
        <f aca="false">SUMPRODUCT($H55:$J55,Weights!$H$28:$J$28)</f>
        <v>1</v>
      </c>
      <c r="AD55" s="18" t="n">
        <f aca="false">SUMPRODUCT($K55:$N55,Weights!$K$28:$N$28)</f>
        <v>2.35</v>
      </c>
      <c r="AE55" s="18" t="n">
        <f aca="false">SUMPRODUCT($O55:$Q55,Weights!$O$28:$Q$28)</f>
        <v>1.7</v>
      </c>
      <c r="AF55" s="18" t="n">
        <f aca="false">SUMPRODUCT($R55:$V55,Weights!$R$28:$V$28)</f>
        <v>1.6</v>
      </c>
      <c r="AH55" s="18" t="n">
        <f aca="false">SUMPRODUCT($AB55:$AF55,Validation!$D$7:$H$7)</f>
        <v>1.53142857142845</v>
      </c>
      <c r="AI55" s="18" t="n">
        <f aca="false">SUMPRODUCT($AB55:$AF55,Validation!$D$8:$H$8)</f>
        <v>1.44857142857155</v>
      </c>
      <c r="AJ55" s="18" t="n">
        <f aca="false">SUMPRODUCT($AB55:$AF55,Validation!$D$9:$H$9)</f>
        <v>1.55533333333355</v>
      </c>
      <c r="AK55" s="18" t="n">
        <f aca="false">SUMPRODUCT($AB55:$AF55,Validation!$D$10:$H$10)</f>
        <v>1.42466666666645</v>
      </c>
      <c r="AL55" s="18" t="n">
        <f aca="false">SUMPRODUCT($AB55:$AF55,Validation!$D$11:$H$11)</f>
        <v>1.3825</v>
      </c>
      <c r="AM55" s="18" t="n">
        <f aca="false">SUMPRODUCT($AB55:$AF55,Validation!$D$12:$H$12)</f>
        <v>1.5975</v>
      </c>
      <c r="AN55" s="18" t="n">
        <f aca="false">SUMPRODUCT($AB55:$AF55,Validation!$D$13:$H$13)</f>
        <v>1.4666666666665</v>
      </c>
      <c r="AO55" s="18" t="n">
        <f aca="false">SUMPRODUCT($AB55:$AF55,Validation!$D$14:$H$14)</f>
        <v>1.5133333333335</v>
      </c>
      <c r="AP55" s="18" t="n">
        <f aca="false">SUMPRODUCT($AB55:$AF55,Validation!$D$15:$H$15)</f>
        <v>1.47705882352955</v>
      </c>
      <c r="AQ55" s="18" t="n">
        <f aca="false">SUMPRODUCT($AB55:$AF55,Validation!$D$16:$H$16)</f>
        <v>1.50294117647045</v>
      </c>
      <c r="AR55" s="8" t="n">
        <f aca="false">COUNTIF($C55:$V55,"&gt;=4")</f>
        <v>0</v>
      </c>
      <c r="AS55" s="8" t="str">
        <f aca="false">IF($X55&lt;=1.6,"Low",IF($X55&lt;=2.2,"Medium","High"))</f>
        <v>Low</v>
      </c>
      <c r="AT55" s="8" t="str">
        <f aca="false">IF($AR55=0,"Low",IF($AR55&lt;3,"Medium","High"))</f>
        <v>Low</v>
      </c>
      <c r="AU55" s="8" t="str">
        <f aca="false">IF(OR($AS55="High",$AT55="High"),"High",IF(OR($AS55="Medium",$AT55="Medium"),"Medium","Low"))</f>
        <v>Low</v>
      </c>
      <c r="AV55" s="15" t="str">
        <f aca="false">IF($Z55="Yes","High",$AU55)</f>
        <v>Low</v>
      </c>
    </row>
    <row r="56" customFormat="false" ht="15" hidden="false" customHeight="false" outlineLevel="0" collapsed="false">
      <c r="A56" s="7" t="str">
        <f aca="false">Customers!$A56</f>
        <v>NG-10231</v>
      </c>
      <c r="B56" s="7" t="str">
        <f aca="false">Customers!$B56</f>
        <v>Personal</v>
      </c>
      <c r="C56" s="8" t="n">
        <f aca="false">INDEX(Mapping!$C$2:$C$99,MATCH(C$1&amp;"|"&amp;Customers!C56,Mapping!$D$2:$D$99,0))</f>
        <v>1</v>
      </c>
      <c r="D56" s="8" t="n">
        <f aca="false">INDEX(Mapping!$C$2:$C$99,MATCH(D$1&amp;"|"&amp;Customers!D56,Mapping!$D$2:$D$99,0))</f>
        <v>1</v>
      </c>
      <c r="E56" s="8" t="n">
        <f aca="false">INDEX(Mapping!$C$2:$C$99,MATCH(E$1&amp;"|"&amp;Customers!E56,Mapping!$D$2:$D$99,0))</f>
        <v>2</v>
      </c>
      <c r="F56" s="8" t="n">
        <f aca="false">INDEX(Mapping!$C$2:$C$99,MATCH(F$1&amp;"|"&amp;Customers!F56,Mapping!$D$2:$D$99,0))</f>
        <v>1</v>
      </c>
      <c r="G56" s="8" t="n">
        <f aca="false">INDEX(Mapping!$C$2:$C$99,MATCH(G$1&amp;"|"&amp;Customers!G56,Mapping!$D$2:$D$99,0))</f>
        <v>1</v>
      </c>
      <c r="H56" s="8" t="n">
        <f aca="false">INDEX(Mapping!$C$2:$C$99,MATCH(H$1&amp;"|"&amp;Customers!H56,Mapping!$D$2:$D$99,0))</f>
        <v>1</v>
      </c>
      <c r="I56" s="8" t="n">
        <f aca="false">INDEX(Mapping!$C$2:$C$99,MATCH(I$1&amp;"|"&amp;Customers!I56,Mapping!$D$2:$D$99,0))</f>
        <v>1</v>
      </c>
      <c r="J56" s="8" t="n">
        <f aca="false">INDEX(Mapping!$C$2:$C$99,MATCH(J$1&amp;"|"&amp;Customers!J56,Mapping!$D$2:$D$99,0))</f>
        <v>1</v>
      </c>
      <c r="K56" s="8" t="n">
        <f aca="false">INDEX(Mapping!$C$2:$C$99,MATCH(K$1&amp;"|"&amp;Customers!K56,Mapping!$D$2:$D$99,0))</f>
        <v>3</v>
      </c>
      <c r="L56" s="8" t="n">
        <f aca="false">INDEX(Mapping!$C$2:$C$99,MATCH(L$1&amp;"|"&amp;Customers!L56,Mapping!$D$2:$D$99,0))</f>
        <v>3</v>
      </c>
      <c r="M56" s="8" t="n">
        <f aca="false">INDEX(Mapping!$C$2:$C$99,MATCH(M$1&amp;"|"&amp;Customers!M56,Mapping!$D$2:$D$99,0))</f>
        <v>2</v>
      </c>
      <c r="N56" s="8" t="n">
        <f aca="false">INDEX(Mapping!$C$2:$C$99,MATCH(N$1&amp;"|"&amp;Customers!N56,Mapping!$D$2:$D$99,0))</f>
        <v>1</v>
      </c>
      <c r="O56" s="8" t="n">
        <f aca="false">INDEX(Mapping!$C$2:$C$99,MATCH(O$1&amp;"|"&amp;Customers!O56,Mapping!$D$2:$D$99,0))</f>
        <v>3</v>
      </c>
      <c r="P56" s="8" t="n">
        <f aca="false">INDEX(Mapping!$C$2:$C$99,MATCH(P$1&amp;"|"&amp;Customers!P56,Mapping!$D$2:$D$99,0))</f>
        <v>3</v>
      </c>
      <c r="Q56" s="8" t="n">
        <f aca="false">INDEX(Mapping!$C$2:$C$99,MATCH(Q$1&amp;"|"&amp;Customers!Q56,Mapping!$D$2:$D$99,0))</f>
        <v>3</v>
      </c>
      <c r="R56" s="8" t="n">
        <f aca="false">INDEX(Mapping!$C$2:$C$99,MATCH(R$1&amp;"|"&amp;Customers!R56,Mapping!$D$2:$D$99,0))</f>
        <v>1</v>
      </c>
      <c r="S56" s="8" t="n">
        <f aca="false">INDEX(Mapping!$C$2:$C$99,MATCH(S$1&amp;"|"&amp;Customers!S56,Mapping!$D$2:$D$99,0))</f>
        <v>2</v>
      </c>
      <c r="T56" s="8" t="n">
        <f aca="false">INDEX(Mapping!$C$2:$C$99,MATCH(T$1&amp;"|"&amp;Customers!T56,Mapping!$D$2:$D$99,0))</f>
        <v>1</v>
      </c>
      <c r="U56" s="8" t="n">
        <f aca="false">INDEX(Mapping!$C$2:$C$99,MATCH(U$1&amp;"|"&amp;Customers!U56,Mapping!$D$2:$D$99,0))</f>
        <v>1</v>
      </c>
      <c r="V56" s="8" t="n">
        <f aca="false">INDEX(Mapping!$C$2:$C$99,MATCH(V$1&amp;"|"&amp;Customers!V56,Mapping!$D$2:$D$99,0))</f>
        <v>1</v>
      </c>
      <c r="W56" s="17" t="n">
        <f aca="false">SUMPRODUCT($C56:$V56,Weights!$C$27:$V$27)</f>
        <v>1.61</v>
      </c>
      <c r="X56" s="18" t="n">
        <f aca="false">ROUND($W56,2)</f>
        <v>1.61</v>
      </c>
      <c r="Y56" s="8" t="str">
        <f aca="false">IF($X56&lt;=2,"Low",IF($X56&lt;=3.49,"Medium","High"))</f>
        <v>Low</v>
      </c>
      <c r="Z56" s="8" t="str">
        <f aca="false">IF(OR($F56&gt;=3,$E56=5,$D56=5,$C56=5,$G56=5,$H56=5,$I56=5,$J56=5,Customers!$W56="Yes"),"Yes","No")</f>
        <v>No</v>
      </c>
      <c r="AA56" s="15" t="str">
        <f aca="false">IF($Z56="Yes","High",$Y56)</f>
        <v>Low</v>
      </c>
      <c r="AB56" s="18" t="n">
        <f aca="false">SUMPRODUCT($C56:$G56,Weights!$C$28:$G$28)</f>
        <v>1.25</v>
      </c>
      <c r="AC56" s="18" t="n">
        <f aca="false">SUMPRODUCT($H56:$J56,Weights!$H$28:$J$28)</f>
        <v>1</v>
      </c>
      <c r="AD56" s="18" t="n">
        <f aca="false">SUMPRODUCT($K56:$N56,Weights!$K$28:$N$28)</f>
        <v>2.45</v>
      </c>
      <c r="AE56" s="18" t="n">
        <f aca="false">SUMPRODUCT($O56:$Q56,Weights!$O$28:$Q$28)</f>
        <v>3</v>
      </c>
      <c r="AF56" s="18" t="n">
        <f aca="false">SUMPRODUCT($R56:$V56,Weights!$R$28:$V$28)</f>
        <v>1.3</v>
      </c>
      <c r="AH56" s="18" t="n">
        <f aca="false">SUMPRODUCT($AB56:$AF56,Validation!$D$7:$H$7)</f>
        <v>1.66142857142865</v>
      </c>
      <c r="AI56" s="18" t="n">
        <f aca="false">SUMPRODUCT($AB56:$AF56,Validation!$D$8:$H$8)</f>
        <v>1.55857142857135</v>
      </c>
      <c r="AJ56" s="18" t="n">
        <f aca="false">SUMPRODUCT($AB56:$AF56,Validation!$D$9:$H$9)</f>
        <v>1.69133333333315</v>
      </c>
      <c r="AK56" s="18" t="n">
        <f aca="false">SUMPRODUCT($AB56:$AF56,Validation!$D$10:$H$10)</f>
        <v>1.52866666666685</v>
      </c>
      <c r="AL56" s="18" t="n">
        <f aca="false">SUMPRODUCT($AB56:$AF56,Validation!$D$11:$H$11)</f>
        <v>1.505</v>
      </c>
      <c r="AM56" s="18" t="n">
        <f aca="false">SUMPRODUCT($AB56:$AF56,Validation!$D$12:$H$12)</f>
        <v>1.715</v>
      </c>
      <c r="AN56" s="18" t="n">
        <f aca="false">SUMPRODUCT($AB56:$AF56,Validation!$D$13:$H$13)</f>
        <v>1.45555555555525</v>
      </c>
      <c r="AO56" s="18" t="n">
        <f aca="false">SUMPRODUCT($AB56:$AF56,Validation!$D$14:$H$14)</f>
        <v>1.76444444444475</v>
      </c>
      <c r="AP56" s="18" t="n">
        <f aca="false">SUMPRODUCT($AB56:$AF56,Validation!$D$15:$H$15)</f>
        <v>1.646470588235</v>
      </c>
      <c r="AQ56" s="18" t="n">
        <f aca="false">SUMPRODUCT($AB56:$AF56,Validation!$D$16:$H$16)</f>
        <v>1.573529411765</v>
      </c>
      <c r="AR56" s="8" t="n">
        <f aca="false">COUNTIF($C56:$V56,"&gt;=4")</f>
        <v>0</v>
      </c>
      <c r="AS56" s="8" t="str">
        <f aca="false">IF($X56&lt;=1.6,"Low",IF($X56&lt;=2.2,"Medium","High"))</f>
        <v>Medium</v>
      </c>
      <c r="AT56" s="8" t="str">
        <f aca="false">IF($AR56=0,"Low",IF($AR56&lt;3,"Medium","High"))</f>
        <v>Low</v>
      </c>
      <c r="AU56" s="8" t="str">
        <f aca="false">IF(OR($AS56="High",$AT56="High"),"High",IF(OR($AS56="Medium",$AT56="Medium"),"Medium","Low"))</f>
        <v>Medium</v>
      </c>
      <c r="AV56" s="15" t="str">
        <f aca="false">IF($Z56="Yes","High",$AU56)</f>
        <v>Medium</v>
      </c>
    </row>
    <row r="57" customFormat="false" ht="15" hidden="false" customHeight="false" outlineLevel="0" collapsed="false">
      <c r="A57" s="7" t="str">
        <f aca="false">Customers!$A57</f>
        <v>NG-10380</v>
      </c>
      <c r="B57" s="7" t="str">
        <f aca="false">Customers!$B57</f>
        <v>Limited company</v>
      </c>
      <c r="C57" s="8" t="n">
        <f aca="false">INDEX(Mapping!$C$2:$C$99,MATCH(C$1&amp;"|"&amp;Customers!C57,Mapping!$D$2:$D$99,0))</f>
        <v>3</v>
      </c>
      <c r="D57" s="8" t="n">
        <f aca="false">INDEX(Mapping!$C$2:$C$99,MATCH(D$1&amp;"|"&amp;Customers!D57,Mapping!$D$2:$D$99,0))</f>
        <v>2</v>
      </c>
      <c r="E57" s="8" t="n">
        <f aca="false">INDEX(Mapping!$C$2:$C$99,MATCH(E$1&amp;"|"&amp;Customers!E57,Mapping!$D$2:$D$99,0))</f>
        <v>3</v>
      </c>
      <c r="F57" s="8" t="n">
        <f aca="false">INDEX(Mapping!$C$2:$C$99,MATCH(F$1&amp;"|"&amp;Customers!F57,Mapping!$D$2:$D$99,0))</f>
        <v>1</v>
      </c>
      <c r="G57" s="8" t="n">
        <f aca="false">INDEX(Mapping!$C$2:$C$99,MATCH(G$1&amp;"|"&amp;Customers!G57,Mapping!$D$2:$D$99,0))</f>
        <v>1</v>
      </c>
      <c r="H57" s="8" t="n">
        <f aca="false">INDEX(Mapping!$C$2:$C$99,MATCH(H$1&amp;"|"&amp;Customers!H57,Mapping!$D$2:$D$99,0))</f>
        <v>1</v>
      </c>
      <c r="I57" s="8" t="n">
        <f aca="false">INDEX(Mapping!$C$2:$C$99,MATCH(I$1&amp;"|"&amp;Customers!I57,Mapping!$D$2:$D$99,0))</f>
        <v>1</v>
      </c>
      <c r="J57" s="8" t="n">
        <f aca="false">INDEX(Mapping!$C$2:$C$99,MATCH(J$1&amp;"|"&amp;Customers!J57,Mapping!$D$2:$D$99,0))</f>
        <v>2</v>
      </c>
      <c r="K57" s="8" t="n">
        <f aca="false">INDEX(Mapping!$C$2:$C$99,MATCH(K$1&amp;"|"&amp;Customers!K57,Mapping!$D$2:$D$99,0))</f>
        <v>4</v>
      </c>
      <c r="L57" s="8" t="n">
        <f aca="false">INDEX(Mapping!$C$2:$C$99,MATCH(L$1&amp;"|"&amp;Customers!L57,Mapping!$D$2:$D$99,0))</f>
        <v>5</v>
      </c>
      <c r="M57" s="8" t="n">
        <f aca="false">INDEX(Mapping!$C$2:$C$99,MATCH(M$1&amp;"|"&amp;Customers!M57,Mapping!$D$2:$D$99,0))</f>
        <v>2</v>
      </c>
      <c r="N57" s="8" t="n">
        <f aca="false">INDEX(Mapping!$C$2:$C$99,MATCH(N$1&amp;"|"&amp;Customers!N57,Mapping!$D$2:$D$99,0))</f>
        <v>1</v>
      </c>
      <c r="O57" s="8" t="n">
        <f aca="false">INDEX(Mapping!$C$2:$C$99,MATCH(O$1&amp;"|"&amp;Customers!O57,Mapping!$D$2:$D$99,0))</f>
        <v>3</v>
      </c>
      <c r="P57" s="8" t="n">
        <f aca="false">INDEX(Mapping!$C$2:$C$99,MATCH(P$1&amp;"|"&amp;Customers!P57,Mapping!$D$2:$D$99,0))</f>
        <v>5</v>
      </c>
      <c r="Q57" s="8" t="n">
        <f aca="false">INDEX(Mapping!$C$2:$C$99,MATCH(Q$1&amp;"|"&amp;Customers!Q57,Mapping!$D$2:$D$99,0))</f>
        <v>2</v>
      </c>
      <c r="R57" s="8" t="n">
        <f aca="false">INDEX(Mapping!$C$2:$C$99,MATCH(R$1&amp;"|"&amp;Customers!R57,Mapping!$D$2:$D$99,0))</f>
        <v>2</v>
      </c>
      <c r="S57" s="8" t="n">
        <f aca="false">INDEX(Mapping!$C$2:$C$99,MATCH(S$1&amp;"|"&amp;Customers!S57,Mapping!$D$2:$D$99,0))</f>
        <v>4</v>
      </c>
      <c r="T57" s="8" t="n">
        <f aca="false">INDEX(Mapping!$C$2:$C$99,MATCH(T$1&amp;"|"&amp;Customers!T57,Mapping!$D$2:$D$99,0))</f>
        <v>4</v>
      </c>
      <c r="U57" s="8" t="n">
        <f aca="false">INDEX(Mapping!$C$2:$C$99,MATCH(U$1&amp;"|"&amp;Customers!U57,Mapping!$D$2:$D$99,0))</f>
        <v>2</v>
      </c>
      <c r="V57" s="8" t="n">
        <f aca="false">INDEX(Mapping!$C$2:$C$99,MATCH(V$1&amp;"|"&amp;Customers!V57,Mapping!$D$2:$D$99,0))</f>
        <v>3</v>
      </c>
      <c r="W57" s="17" t="n">
        <f aca="false">SUMPRODUCT($C57:$V57,Weights!$C$27:$V$27)</f>
        <v>2.455</v>
      </c>
      <c r="X57" s="18" t="n">
        <f aca="false">ROUND($W57,2)</f>
        <v>2.46</v>
      </c>
      <c r="Y57" s="8" t="str">
        <f aca="false">IF($X57&lt;=2,"Low",IF($X57&lt;=3.49,"Medium","High"))</f>
        <v>Medium</v>
      </c>
      <c r="Z57" s="8" t="str">
        <f aca="false">IF(OR($F57&gt;=3,$E57=5,$D57=5,$C57=5,$G57=5,$H57=5,$I57=5,$J57=5,Customers!$W57="Yes"),"Yes","No")</f>
        <v>No</v>
      </c>
      <c r="AA57" s="15" t="str">
        <f aca="false">IF($Z57="Yes","High",$Y57)</f>
        <v>Medium</v>
      </c>
      <c r="AB57" s="18" t="n">
        <f aca="false">SUMPRODUCT($C57:$G57,Weights!$C$28:$G$28)</f>
        <v>2.1</v>
      </c>
      <c r="AC57" s="18" t="n">
        <f aca="false">SUMPRODUCT($H57:$J57,Weights!$H$28:$J$28)</f>
        <v>1.4</v>
      </c>
      <c r="AD57" s="18" t="n">
        <f aca="false">SUMPRODUCT($K57:$N57,Weights!$K$28:$N$28)</f>
        <v>3.3</v>
      </c>
      <c r="AE57" s="18" t="n">
        <f aca="false">SUMPRODUCT($O57:$Q57,Weights!$O$28:$Q$28)</f>
        <v>3.5</v>
      </c>
      <c r="AF57" s="18" t="n">
        <f aca="false">SUMPRODUCT($R57:$V57,Weights!$R$28:$V$28)</f>
        <v>3.1</v>
      </c>
      <c r="AH57" s="18" t="n">
        <f aca="false">SUMPRODUCT($AB57:$AF57,Validation!$D$7:$H$7)</f>
        <v>2.5057142857148</v>
      </c>
      <c r="AI57" s="18" t="n">
        <f aca="false">SUMPRODUCT($AB57:$AF57,Validation!$D$8:$H$8)</f>
        <v>2.4042857142852</v>
      </c>
      <c r="AJ57" s="18" t="n">
        <f aca="false">SUMPRODUCT($AB57:$AF57,Validation!$D$9:$H$9)</f>
        <v>2.5956666666666</v>
      </c>
      <c r="AK57" s="18" t="n">
        <f aca="false">SUMPRODUCT($AB57:$AF57,Validation!$D$10:$H$10)</f>
        <v>2.3143333333334</v>
      </c>
      <c r="AL57" s="18" t="n">
        <f aca="false">SUMPRODUCT($AB57:$AF57,Validation!$D$11:$H$11)</f>
        <v>2.349375</v>
      </c>
      <c r="AM57" s="18" t="n">
        <f aca="false">SUMPRODUCT($AB57:$AF57,Validation!$D$12:$H$12)</f>
        <v>2.560625</v>
      </c>
      <c r="AN57" s="18" t="n">
        <f aca="false">SUMPRODUCT($AB57:$AF57,Validation!$D$13:$H$13)</f>
        <v>2.3388888888888</v>
      </c>
      <c r="AO57" s="18" t="n">
        <f aca="false">SUMPRODUCT($AB57:$AF57,Validation!$D$14:$H$14)</f>
        <v>2.5711111111112</v>
      </c>
      <c r="AP57" s="18" t="n">
        <f aca="false">SUMPRODUCT($AB57:$AF57,Validation!$D$15:$H$15)</f>
        <v>2.3791176470586</v>
      </c>
      <c r="AQ57" s="18" t="n">
        <f aca="false">SUMPRODUCT($AB57:$AF57,Validation!$D$16:$H$16)</f>
        <v>2.5308823529414</v>
      </c>
      <c r="AR57" s="8" t="n">
        <f aca="false">COUNTIF($C57:$V57,"&gt;=4")</f>
        <v>5</v>
      </c>
      <c r="AS57" s="8" t="str">
        <f aca="false">IF($X57&lt;=1.6,"Low",IF($X57&lt;=2.2,"Medium","High"))</f>
        <v>High</v>
      </c>
      <c r="AT57" s="8" t="str">
        <f aca="false">IF($AR57=0,"Low",IF($AR57&lt;3,"Medium","High"))</f>
        <v>High</v>
      </c>
      <c r="AU57" s="8" t="str">
        <f aca="false">IF(OR($AS57="High",$AT57="High"),"High",IF(OR($AS57="Medium",$AT57="Medium"),"Medium","Low"))</f>
        <v>High</v>
      </c>
      <c r="AV57" s="15" t="str">
        <f aca="false">IF($Z57="Yes","High",$AU57)</f>
        <v>High</v>
      </c>
    </row>
    <row r="58" customFormat="false" ht="15" hidden="false" customHeight="false" outlineLevel="0" collapsed="false">
      <c r="A58" s="7" t="str">
        <f aca="false">Customers!$A58</f>
        <v>NG-10196</v>
      </c>
      <c r="B58" s="7" t="str">
        <f aca="false">Customers!$B58</f>
        <v>Personal</v>
      </c>
      <c r="C58" s="8" t="n">
        <f aca="false">INDEX(Mapping!$C$2:$C$99,MATCH(C$1&amp;"|"&amp;Customers!C58,Mapping!$D$2:$D$99,0))</f>
        <v>1</v>
      </c>
      <c r="D58" s="8" t="n">
        <f aca="false">INDEX(Mapping!$C$2:$C$99,MATCH(D$1&amp;"|"&amp;Customers!D58,Mapping!$D$2:$D$99,0))</f>
        <v>1</v>
      </c>
      <c r="E58" s="8" t="n">
        <f aca="false">INDEX(Mapping!$C$2:$C$99,MATCH(E$1&amp;"|"&amp;Customers!E58,Mapping!$D$2:$D$99,0))</f>
        <v>1</v>
      </c>
      <c r="F58" s="8" t="n">
        <f aca="false">INDEX(Mapping!$C$2:$C$99,MATCH(F$1&amp;"|"&amp;Customers!F58,Mapping!$D$2:$D$99,0))</f>
        <v>1</v>
      </c>
      <c r="G58" s="8" t="n">
        <f aca="false">INDEX(Mapping!$C$2:$C$99,MATCH(G$1&amp;"|"&amp;Customers!G58,Mapping!$D$2:$D$99,0))</f>
        <v>1</v>
      </c>
      <c r="H58" s="8" t="n">
        <f aca="false">INDEX(Mapping!$C$2:$C$99,MATCH(H$1&amp;"|"&amp;Customers!H58,Mapping!$D$2:$D$99,0))</f>
        <v>1</v>
      </c>
      <c r="I58" s="8" t="n">
        <f aca="false">INDEX(Mapping!$C$2:$C$99,MATCH(I$1&amp;"|"&amp;Customers!I58,Mapping!$D$2:$D$99,0))</f>
        <v>2</v>
      </c>
      <c r="J58" s="8" t="n">
        <f aca="false">INDEX(Mapping!$C$2:$C$99,MATCH(J$1&amp;"|"&amp;Customers!J58,Mapping!$D$2:$D$99,0))</f>
        <v>3</v>
      </c>
      <c r="K58" s="8" t="n">
        <f aca="false">INDEX(Mapping!$C$2:$C$99,MATCH(K$1&amp;"|"&amp;Customers!K58,Mapping!$D$2:$D$99,0))</f>
        <v>2</v>
      </c>
      <c r="L58" s="8" t="n">
        <f aca="false">INDEX(Mapping!$C$2:$C$99,MATCH(L$1&amp;"|"&amp;Customers!L58,Mapping!$D$2:$D$99,0))</f>
        <v>2</v>
      </c>
      <c r="M58" s="8" t="n">
        <f aca="false">INDEX(Mapping!$C$2:$C$99,MATCH(M$1&amp;"|"&amp;Customers!M58,Mapping!$D$2:$D$99,0))</f>
        <v>1</v>
      </c>
      <c r="N58" s="8" t="n">
        <f aca="false">INDEX(Mapping!$C$2:$C$99,MATCH(N$1&amp;"|"&amp;Customers!N58,Mapping!$D$2:$D$99,0))</f>
        <v>1</v>
      </c>
      <c r="O58" s="8" t="n">
        <f aca="false">INDEX(Mapping!$C$2:$C$99,MATCH(O$1&amp;"|"&amp;Customers!O58,Mapping!$D$2:$D$99,0))</f>
        <v>3</v>
      </c>
      <c r="P58" s="8" t="n">
        <f aca="false">INDEX(Mapping!$C$2:$C$99,MATCH(P$1&amp;"|"&amp;Customers!P58,Mapping!$D$2:$D$99,0))</f>
        <v>3</v>
      </c>
      <c r="Q58" s="8" t="n">
        <f aca="false">INDEX(Mapping!$C$2:$C$99,MATCH(Q$1&amp;"|"&amp;Customers!Q58,Mapping!$D$2:$D$99,0))</f>
        <v>1</v>
      </c>
      <c r="R58" s="8" t="n">
        <f aca="false">INDEX(Mapping!$C$2:$C$99,MATCH(R$1&amp;"|"&amp;Customers!R58,Mapping!$D$2:$D$99,0))</f>
        <v>2</v>
      </c>
      <c r="S58" s="8" t="n">
        <f aca="false">INDEX(Mapping!$C$2:$C$99,MATCH(S$1&amp;"|"&amp;Customers!S58,Mapping!$D$2:$D$99,0))</f>
        <v>1</v>
      </c>
      <c r="T58" s="8" t="n">
        <f aca="false">INDEX(Mapping!$C$2:$C$99,MATCH(T$1&amp;"|"&amp;Customers!T58,Mapping!$D$2:$D$99,0))</f>
        <v>3</v>
      </c>
      <c r="U58" s="8" t="n">
        <f aca="false">INDEX(Mapping!$C$2:$C$99,MATCH(U$1&amp;"|"&amp;Customers!U58,Mapping!$D$2:$D$99,0))</f>
        <v>4</v>
      </c>
      <c r="V58" s="8" t="n">
        <f aca="false">INDEX(Mapping!$C$2:$C$99,MATCH(V$1&amp;"|"&amp;Customers!V58,Mapping!$D$2:$D$99,0))</f>
        <v>1</v>
      </c>
      <c r="W58" s="17" t="n">
        <f aca="false">SUMPRODUCT($C58:$V58,Weights!$C$27:$V$27)</f>
        <v>1.695</v>
      </c>
      <c r="X58" s="18" t="n">
        <f aca="false">ROUND($W58,2)</f>
        <v>1.7</v>
      </c>
      <c r="Y58" s="8" t="str">
        <f aca="false">IF($X58&lt;=2,"Low",IF($X58&lt;=3.49,"Medium","High"))</f>
        <v>Low</v>
      </c>
      <c r="Z58" s="8" t="str">
        <f aca="false">IF(OR($F58&gt;=3,$E58=5,$D58=5,$C58=5,$G58=5,$H58=5,$I58=5,$J58=5,Customers!$W58="Yes"),"Yes","No")</f>
        <v>No</v>
      </c>
      <c r="AA58" s="15" t="str">
        <f aca="false">IF($Z58="Yes","High",$Y58)</f>
        <v>Low</v>
      </c>
      <c r="AB58" s="18" t="n">
        <f aca="false">SUMPRODUCT($C58:$G58,Weights!$C$28:$G$28)</f>
        <v>1</v>
      </c>
      <c r="AC58" s="18" t="n">
        <f aca="false">SUMPRODUCT($H58:$J58,Weights!$H$28:$J$28)</f>
        <v>2</v>
      </c>
      <c r="AD58" s="18" t="n">
        <f aca="false">SUMPRODUCT($K58:$N58,Weights!$K$28:$N$28)</f>
        <v>1.6</v>
      </c>
      <c r="AE58" s="18" t="n">
        <f aca="false">SUMPRODUCT($O58:$Q58,Weights!$O$28:$Q$28)</f>
        <v>2.6</v>
      </c>
      <c r="AF58" s="18" t="n">
        <f aca="false">SUMPRODUCT($R58:$V58,Weights!$R$28:$V$28)</f>
        <v>2.1</v>
      </c>
      <c r="AH58" s="18" t="n">
        <f aca="false">SUMPRODUCT($AB58:$AF58,Validation!$D$7:$H$7)</f>
        <v>1.7942857142861</v>
      </c>
      <c r="AI58" s="18" t="n">
        <f aca="false">SUMPRODUCT($AB58:$AF58,Validation!$D$8:$H$8)</f>
        <v>1.5957142857139</v>
      </c>
      <c r="AJ58" s="18" t="n">
        <f aca="false">SUMPRODUCT($AB58:$AF58,Validation!$D$9:$H$9)</f>
        <v>1.654333333333</v>
      </c>
      <c r="AK58" s="18" t="n">
        <f aca="false">SUMPRODUCT($AB58:$AF58,Validation!$D$10:$H$10)</f>
        <v>1.735666666667</v>
      </c>
      <c r="AL58" s="18" t="n">
        <f aca="false">SUMPRODUCT($AB58:$AF58,Validation!$D$11:$H$11)</f>
        <v>1.706875</v>
      </c>
      <c r="AM58" s="18" t="n">
        <f aca="false">SUMPRODUCT($AB58:$AF58,Validation!$D$12:$H$12)</f>
        <v>1.683125</v>
      </c>
      <c r="AN58" s="18" t="n">
        <f aca="false">SUMPRODUCT($AB58:$AF58,Validation!$D$13:$H$13)</f>
        <v>1.5944444444449</v>
      </c>
      <c r="AO58" s="18" t="n">
        <f aca="false">SUMPRODUCT($AB58:$AF58,Validation!$D$14:$H$14)</f>
        <v>1.7955555555551</v>
      </c>
      <c r="AP58" s="18" t="n">
        <f aca="false">SUMPRODUCT($AB58:$AF58,Validation!$D$15:$H$15)</f>
        <v>1.6473529411762</v>
      </c>
      <c r="AQ58" s="18" t="n">
        <f aca="false">SUMPRODUCT($AB58:$AF58,Validation!$D$16:$H$16)</f>
        <v>1.7426470588238</v>
      </c>
      <c r="AR58" s="8" t="n">
        <f aca="false">COUNTIF($C58:$V58,"&gt;=4")</f>
        <v>1</v>
      </c>
      <c r="AS58" s="8" t="str">
        <f aca="false">IF($X58&lt;=1.6,"Low",IF($X58&lt;=2.2,"Medium","High"))</f>
        <v>Medium</v>
      </c>
      <c r="AT58" s="8" t="str">
        <f aca="false">IF($AR58=0,"Low",IF($AR58&lt;3,"Medium","High"))</f>
        <v>Medium</v>
      </c>
      <c r="AU58" s="8" t="str">
        <f aca="false">IF(OR($AS58="High",$AT58="High"),"High",IF(OR($AS58="Medium",$AT58="Medium"),"Medium","Low"))</f>
        <v>Medium</v>
      </c>
      <c r="AV58" s="15" t="str">
        <f aca="false">IF($Z58="Yes","High",$AU58)</f>
        <v>Medium</v>
      </c>
    </row>
    <row r="59" customFormat="false" ht="15" hidden="false" customHeight="false" outlineLevel="0" collapsed="false">
      <c r="A59" s="7" t="str">
        <f aca="false">Customers!$A59</f>
        <v>NG-10304</v>
      </c>
      <c r="B59" s="7" t="str">
        <f aca="false">Customers!$B59</f>
        <v>Sole trader</v>
      </c>
      <c r="C59" s="8" t="n">
        <f aca="false">INDEX(Mapping!$C$2:$C$99,MATCH(C$1&amp;"|"&amp;Customers!C59,Mapping!$D$2:$D$99,0))</f>
        <v>2</v>
      </c>
      <c r="D59" s="8" t="n">
        <f aca="false">INDEX(Mapping!$C$2:$C$99,MATCH(D$1&amp;"|"&amp;Customers!D59,Mapping!$D$2:$D$99,0))</f>
        <v>1</v>
      </c>
      <c r="E59" s="8" t="n">
        <f aca="false">INDEX(Mapping!$C$2:$C$99,MATCH(E$1&amp;"|"&amp;Customers!E59,Mapping!$D$2:$D$99,0))</f>
        <v>2</v>
      </c>
      <c r="F59" s="8" t="n">
        <f aca="false">INDEX(Mapping!$C$2:$C$99,MATCH(F$1&amp;"|"&amp;Customers!F59,Mapping!$D$2:$D$99,0))</f>
        <v>1</v>
      </c>
      <c r="G59" s="8" t="n">
        <f aca="false">INDEX(Mapping!$C$2:$C$99,MATCH(G$1&amp;"|"&amp;Customers!G59,Mapping!$D$2:$D$99,0))</f>
        <v>1</v>
      </c>
      <c r="H59" s="8" t="n">
        <f aca="false">INDEX(Mapping!$C$2:$C$99,MATCH(H$1&amp;"|"&amp;Customers!H59,Mapping!$D$2:$D$99,0))</f>
        <v>1</v>
      </c>
      <c r="I59" s="8" t="n">
        <f aca="false">INDEX(Mapping!$C$2:$C$99,MATCH(I$1&amp;"|"&amp;Customers!I59,Mapping!$D$2:$D$99,0))</f>
        <v>1</v>
      </c>
      <c r="J59" s="8" t="n">
        <f aca="false">INDEX(Mapping!$C$2:$C$99,MATCH(J$1&amp;"|"&amp;Customers!J59,Mapping!$D$2:$D$99,0))</f>
        <v>2</v>
      </c>
      <c r="K59" s="8" t="n">
        <f aca="false">INDEX(Mapping!$C$2:$C$99,MATCH(K$1&amp;"|"&amp;Customers!K59,Mapping!$D$2:$D$99,0))</f>
        <v>4</v>
      </c>
      <c r="L59" s="8" t="n">
        <f aca="false">INDEX(Mapping!$C$2:$C$99,MATCH(L$1&amp;"|"&amp;Customers!L59,Mapping!$D$2:$D$99,0))</f>
        <v>5</v>
      </c>
      <c r="M59" s="8" t="n">
        <f aca="false">INDEX(Mapping!$C$2:$C$99,MATCH(M$1&amp;"|"&amp;Customers!M59,Mapping!$D$2:$D$99,0))</f>
        <v>3</v>
      </c>
      <c r="N59" s="8" t="n">
        <f aca="false">INDEX(Mapping!$C$2:$C$99,MATCH(N$1&amp;"|"&amp;Customers!N59,Mapping!$D$2:$D$99,0))</f>
        <v>1</v>
      </c>
      <c r="O59" s="8" t="n">
        <f aca="false">INDEX(Mapping!$C$2:$C$99,MATCH(O$1&amp;"|"&amp;Customers!O59,Mapping!$D$2:$D$99,0))</f>
        <v>3</v>
      </c>
      <c r="P59" s="8" t="n">
        <f aca="false">INDEX(Mapping!$C$2:$C$99,MATCH(P$1&amp;"|"&amp;Customers!P59,Mapping!$D$2:$D$99,0))</f>
        <v>3</v>
      </c>
      <c r="Q59" s="8" t="n">
        <f aca="false">INDEX(Mapping!$C$2:$C$99,MATCH(Q$1&amp;"|"&amp;Customers!Q59,Mapping!$D$2:$D$99,0))</f>
        <v>4</v>
      </c>
      <c r="R59" s="8" t="n">
        <f aca="false">INDEX(Mapping!$C$2:$C$99,MATCH(R$1&amp;"|"&amp;Customers!R59,Mapping!$D$2:$D$99,0))</f>
        <v>2</v>
      </c>
      <c r="S59" s="8" t="n">
        <f aca="false">INDEX(Mapping!$C$2:$C$99,MATCH(S$1&amp;"|"&amp;Customers!S59,Mapping!$D$2:$D$99,0))</f>
        <v>3</v>
      </c>
      <c r="T59" s="8" t="n">
        <f aca="false">INDEX(Mapping!$C$2:$C$99,MATCH(T$1&amp;"|"&amp;Customers!T59,Mapping!$D$2:$D$99,0))</f>
        <v>1</v>
      </c>
      <c r="U59" s="8" t="n">
        <f aca="false">INDEX(Mapping!$C$2:$C$99,MATCH(U$1&amp;"|"&amp;Customers!U59,Mapping!$D$2:$D$99,0))</f>
        <v>3</v>
      </c>
      <c r="V59" s="8" t="n">
        <f aca="false">INDEX(Mapping!$C$2:$C$99,MATCH(V$1&amp;"|"&amp;Customers!V59,Mapping!$D$2:$D$99,0))</f>
        <v>1</v>
      </c>
      <c r="W59" s="17" t="n">
        <f aca="false">SUMPRODUCT($C59:$V59,Weights!$C$27:$V$27)</f>
        <v>2.1375</v>
      </c>
      <c r="X59" s="18" t="n">
        <f aca="false">ROUND($W59,2)</f>
        <v>2.14</v>
      </c>
      <c r="Y59" s="8" t="str">
        <f aca="false">IF($X59&lt;=2,"Low",IF($X59&lt;=3.49,"Medium","High"))</f>
        <v>Medium</v>
      </c>
      <c r="Z59" s="8" t="str">
        <f aca="false">IF(OR($F59&gt;=3,$E59=5,$D59=5,$C59=5,$G59=5,$H59=5,$I59=5,$J59=5,Customers!$W59="Yes"),"Yes","No")</f>
        <v>No</v>
      </c>
      <c r="AA59" s="15" t="str">
        <f aca="false">IF($Z59="Yes","High",$Y59)</f>
        <v>Medium</v>
      </c>
      <c r="AB59" s="18" t="n">
        <f aca="false">SUMPRODUCT($C59:$G59,Weights!$C$28:$G$28)</f>
        <v>1.45</v>
      </c>
      <c r="AC59" s="18" t="n">
        <f aca="false">SUMPRODUCT($H59:$J59,Weights!$H$28:$J$28)</f>
        <v>1.4</v>
      </c>
      <c r="AD59" s="18" t="n">
        <f aca="false">SUMPRODUCT($K59:$N59,Weights!$K$28:$N$28)</f>
        <v>3.55</v>
      </c>
      <c r="AE59" s="18" t="n">
        <f aca="false">SUMPRODUCT($O59:$Q59,Weights!$O$28:$Q$28)</f>
        <v>3.2</v>
      </c>
      <c r="AF59" s="18" t="n">
        <f aca="false">SUMPRODUCT($R59:$V59,Weights!$R$28:$V$28)</f>
        <v>2.15</v>
      </c>
      <c r="AH59" s="18" t="n">
        <f aca="false">SUMPRODUCT($AB59:$AF59,Validation!$D$7:$H$7)</f>
        <v>2.2357142857142</v>
      </c>
      <c r="AI59" s="18" t="n">
        <f aca="false">SUMPRODUCT($AB59:$AF59,Validation!$D$8:$H$8)</f>
        <v>2.0392857142858</v>
      </c>
      <c r="AJ59" s="18" t="n">
        <f aca="false">SUMPRODUCT($AB59:$AF59,Validation!$D$9:$H$9)</f>
        <v>2.23583333333345</v>
      </c>
      <c r="AK59" s="18" t="n">
        <f aca="false">SUMPRODUCT($AB59:$AF59,Validation!$D$10:$H$10)</f>
        <v>2.03916666666655</v>
      </c>
      <c r="AL59" s="18" t="n">
        <f aca="false">SUMPRODUCT($AB59:$AF59,Validation!$D$11:$H$11)</f>
        <v>1.9609375</v>
      </c>
      <c r="AM59" s="18" t="n">
        <f aca="false">SUMPRODUCT($AB59:$AF59,Validation!$D$12:$H$12)</f>
        <v>2.3140625</v>
      </c>
      <c r="AN59" s="18" t="n">
        <f aca="false">SUMPRODUCT($AB59:$AF59,Validation!$D$13:$H$13)</f>
        <v>2.0194444444442</v>
      </c>
      <c r="AO59" s="18" t="n">
        <f aca="false">SUMPRODUCT($AB59:$AF59,Validation!$D$14:$H$14)</f>
        <v>2.2555555555558</v>
      </c>
      <c r="AP59" s="18" t="n">
        <f aca="false">SUMPRODUCT($AB59:$AF59,Validation!$D$15:$H$15)</f>
        <v>2.1360294117647</v>
      </c>
      <c r="AQ59" s="18" t="n">
        <f aca="false">SUMPRODUCT($AB59:$AF59,Validation!$D$16:$H$16)</f>
        <v>2.1389705882353</v>
      </c>
      <c r="AR59" s="8" t="n">
        <f aca="false">COUNTIF($C59:$V59,"&gt;=4")</f>
        <v>3</v>
      </c>
      <c r="AS59" s="8" t="str">
        <f aca="false">IF($X59&lt;=1.6,"Low",IF($X59&lt;=2.2,"Medium","High"))</f>
        <v>Medium</v>
      </c>
      <c r="AT59" s="8" t="str">
        <f aca="false">IF($AR59=0,"Low",IF($AR59&lt;3,"Medium","High"))</f>
        <v>High</v>
      </c>
      <c r="AU59" s="8" t="str">
        <f aca="false">IF(OR($AS59="High",$AT59="High"),"High",IF(OR($AS59="Medium",$AT59="Medium"),"Medium","Low"))</f>
        <v>High</v>
      </c>
      <c r="AV59" s="15" t="str">
        <f aca="false">IF($Z59="Yes","High",$AU59)</f>
        <v>High</v>
      </c>
    </row>
    <row r="60" customFormat="false" ht="15" hidden="false" customHeight="false" outlineLevel="0" collapsed="false">
      <c r="A60" s="7" t="str">
        <f aca="false">Customers!$A60</f>
        <v>NG-10106</v>
      </c>
      <c r="B60" s="7" t="str">
        <f aca="false">Customers!$B60</f>
        <v>Personal</v>
      </c>
      <c r="C60" s="8" t="n">
        <f aca="false">INDEX(Mapping!$C$2:$C$99,MATCH(C$1&amp;"|"&amp;Customers!C60,Mapping!$D$2:$D$99,0))</f>
        <v>1</v>
      </c>
      <c r="D60" s="8" t="n">
        <f aca="false">INDEX(Mapping!$C$2:$C$99,MATCH(D$1&amp;"|"&amp;Customers!D60,Mapping!$D$2:$D$99,0))</f>
        <v>1</v>
      </c>
      <c r="E60" s="8" t="n">
        <f aca="false">INDEX(Mapping!$C$2:$C$99,MATCH(E$1&amp;"|"&amp;Customers!E60,Mapping!$D$2:$D$99,0))</f>
        <v>3</v>
      </c>
      <c r="F60" s="8" t="n">
        <f aca="false">INDEX(Mapping!$C$2:$C$99,MATCH(F$1&amp;"|"&amp;Customers!F60,Mapping!$D$2:$D$99,0))</f>
        <v>1</v>
      </c>
      <c r="G60" s="8" t="n">
        <f aca="false">INDEX(Mapping!$C$2:$C$99,MATCH(G$1&amp;"|"&amp;Customers!G60,Mapping!$D$2:$D$99,0))</f>
        <v>5</v>
      </c>
      <c r="H60" s="8" t="n">
        <f aca="false">INDEX(Mapping!$C$2:$C$99,MATCH(H$1&amp;"|"&amp;Customers!H60,Mapping!$D$2:$D$99,0))</f>
        <v>1</v>
      </c>
      <c r="I60" s="8" t="n">
        <f aca="false">INDEX(Mapping!$C$2:$C$99,MATCH(I$1&amp;"|"&amp;Customers!I60,Mapping!$D$2:$D$99,0))</f>
        <v>1</v>
      </c>
      <c r="J60" s="8" t="n">
        <f aca="false">INDEX(Mapping!$C$2:$C$99,MATCH(J$1&amp;"|"&amp;Customers!J60,Mapping!$D$2:$D$99,0))</f>
        <v>2</v>
      </c>
      <c r="K60" s="8" t="n">
        <f aca="false">INDEX(Mapping!$C$2:$C$99,MATCH(K$1&amp;"|"&amp;Customers!K60,Mapping!$D$2:$D$99,0))</f>
        <v>3</v>
      </c>
      <c r="L60" s="8" t="n">
        <f aca="false">INDEX(Mapping!$C$2:$C$99,MATCH(L$1&amp;"|"&amp;Customers!L60,Mapping!$D$2:$D$99,0))</f>
        <v>2</v>
      </c>
      <c r="M60" s="8" t="n">
        <f aca="false">INDEX(Mapping!$C$2:$C$99,MATCH(M$1&amp;"|"&amp;Customers!M60,Mapping!$D$2:$D$99,0))</f>
        <v>3</v>
      </c>
      <c r="N60" s="8" t="n">
        <f aca="false">INDEX(Mapping!$C$2:$C$99,MATCH(N$1&amp;"|"&amp;Customers!N60,Mapping!$D$2:$D$99,0))</f>
        <v>1</v>
      </c>
      <c r="O60" s="8" t="n">
        <f aca="false">INDEX(Mapping!$C$2:$C$99,MATCH(O$1&amp;"|"&amp;Customers!O60,Mapping!$D$2:$D$99,0))</f>
        <v>3</v>
      </c>
      <c r="P60" s="8" t="n">
        <f aca="false">INDEX(Mapping!$C$2:$C$99,MATCH(P$1&amp;"|"&amp;Customers!P60,Mapping!$D$2:$D$99,0))</f>
        <v>3</v>
      </c>
      <c r="Q60" s="8" t="n">
        <f aca="false">INDEX(Mapping!$C$2:$C$99,MATCH(Q$1&amp;"|"&amp;Customers!Q60,Mapping!$D$2:$D$99,0))</f>
        <v>2</v>
      </c>
      <c r="R60" s="8" t="n">
        <f aca="false">INDEX(Mapping!$C$2:$C$99,MATCH(R$1&amp;"|"&amp;Customers!R60,Mapping!$D$2:$D$99,0))</f>
        <v>2</v>
      </c>
      <c r="S60" s="8" t="n">
        <f aca="false">INDEX(Mapping!$C$2:$C$99,MATCH(S$1&amp;"|"&amp;Customers!S60,Mapping!$D$2:$D$99,0))</f>
        <v>3</v>
      </c>
      <c r="T60" s="8" t="n">
        <f aca="false">INDEX(Mapping!$C$2:$C$99,MATCH(T$1&amp;"|"&amp;Customers!T60,Mapping!$D$2:$D$99,0))</f>
        <v>2</v>
      </c>
      <c r="U60" s="8" t="n">
        <f aca="false">INDEX(Mapping!$C$2:$C$99,MATCH(U$1&amp;"|"&amp;Customers!U60,Mapping!$D$2:$D$99,0))</f>
        <v>2</v>
      </c>
      <c r="V60" s="8" t="n">
        <f aca="false">INDEX(Mapping!$C$2:$C$99,MATCH(V$1&amp;"|"&amp;Customers!V60,Mapping!$D$2:$D$99,0))</f>
        <v>1</v>
      </c>
      <c r="W60" s="17" t="n">
        <f aca="false">SUMPRODUCT($C60:$V60,Weights!$C$27:$V$27)</f>
        <v>2.08</v>
      </c>
      <c r="X60" s="18" t="n">
        <f aca="false">ROUND($W60,2)</f>
        <v>2.08</v>
      </c>
      <c r="Y60" s="8" t="str">
        <f aca="false">IF($X60&lt;=2,"Low",IF($X60&lt;=3.49,"Medium","High"))</f>
        <v>Medium</v>
      </c>
      <c r="Z60" s="8" t="str">
        <f aca="false">IF(OR($F60&gt;=3,$E60=5,$D60=5,$C60=5,$G60=5,$H60=5,$I60=5,$J60=5,Customers!$W60="Yes"),"Yes","No")</f>
        <v>Yes</v>
      </c>
      <c r="AA60" s="15" t="str">
        <f aca="false">IF($Z60="Yes","High",$Y60)</f>
        <v>High</v>
      </c>
      <c r="AB60" s="18" t="n">
        <f aca="false">SUMPRODUCT($C60:$G60,Weights!$C$28:$G$28)</f>
        <v>2.1</v>
      </c>
      <c r="AC60" s="18" t="n">
        <f aca="false">SUMPRODUCT($H60:$J60,Weights!$H$28:$J$28)</f>
        <v>1.4</v>
      </c>
      <c r="AD60" s="18" t="n">
        <f aca="false">SUMPRODUCT($K60:$N60,Weights!$K$28:$N$28)</f>
        <v>2.45</v>
      </c>
      <c r="AE60" s="18" t="n">
        <f aca="false">SUMPRODUCT($O60:$Q60,Weights!$O$28:$Q$28)</f>
        <v>2.8</v>
      </c>
      <c r="AF60" s="18" t="n">
        <f aca="false">SUMPRODUCT($R60:$V60,Weights!$R$28:$V$28)</f>
        <v>2.2</v>
      </c>
      <c r="AH60" s="18" t="n">
        <f aca="false">SUMPRODUCT($AB60:$AF60,Validation!$D$7:$H$7)</f>
        <v>2.07714285714315</v>
      </c>
      <c r="AI60" s="18" t="n">
        <f aca="false">SUMPRODUCT($AB60:$AF60,Validation!$D$8:$H$8)</f>
        <v>2.08285714285685</v>
      </c>
      <c r="AJ60" s="18" t="n">
        <f aca="false">SUMPRODUCT($AB60:$AF60,Validation!$D$9:$H$9)</f>
        <v>2.17066666666655</v>
      </c>
      <c r="AK60" s="18" t="n">
        <f aca="false">SUMPRODUCT($AB60:$AF60,Validation!$D$10:$H$10)</f>
        <v>1.98933333333345</v>
      </c>
      <c r="AL60" s="18" t="n">
        <f aca="false">SUMPRODUCT($AB60:$AF60,Validation!$D$11:$H$11)</f>
        <v>2.03375</v>
      </c>
      <c r="AM60" s="18" t="n">
        <f aca="false">SUMPRODUCT($AB60:$AF60,Validation!$D$12:$H$12)</f>
        <v>2.12625</v>
      </c>
      <c r="AN60" s="18" t="n">
        <f aca="false">SUMPRODUCT($AB60:$AF60,Validation!$D$13:$H$13)</f>
        <v>1.9999999999998</v>
      </c>
      <c r="AO60" s="18" t="n">
        <f aca="false">SUMPRODUCT($AB60:$AF60,Validation!$D$14:$H$14)</f>
        <v>2.1600000000002</v>
      </c>
      <c r="AP60" s="18" t="n">
        <f aca="false">SUMPRODUCT($AB60:$AF60,Validation!$D$15:$H$15)</f>
        <v>2.06588235294095</v>
      </c>
      <c r="AQ60" s="18" t="n">
        <f aca="false">SUMPRODUCT($AB60:$AF60,Validation!$D$16:$H$16)</f>
        <v>2.09411764705905</v>
      </c>
      <c r="AR60" s="8" t="n">
        <f aca="false">COUNTIF($C60:$V60,"&gt;=4")</f>
        <v>1</v>
      </c>
      <c r="AS60" s="8" t="str">
        <f aca="false">IF($X60&lt;=1.6,"Low",IF($X60&lt;=2.2,"Medium","High"))</f>
        <v>Medium</v>
      </c>
      <c r="AT60" s="8" t="str">
        <f aca="false">IF($AR60=0,"Low",IF($AR60&lt;3,"Medium","High"))</f>
        <v>Medium</v>
      </c>
      <c r="AU60" s="8" t="str">
        <f aca="false">IF(OR($AS60="High",$AT60="High"),"High",IF(OR($AS60="Medium",$AT60="Medium"),"Medium","Low"))</f>
        <v>Medium</v>
      </c>
      <c r="AV60" s="15" t="str">
        <f aca="false">IF($Z60="Yes","High",$AU60)</f>
        <v>High</v>
      </c>
    </row>
    <row r="61" customFormat="false" ht="15" hidden="false" customHeight="false" outlineLevel="0" collapsed="false">
      <c r="A61" s="7" t="str">
        <f aca="false">Customers!$A61</f>
        <v>NG-10114</v>
      </c>
      <c r="B61" s="7" t="str">
        <f aca="false">Customers!$B61</f>
        <v>Personal</v>
      </c>
      <c r="C61" s="8" t="n">
        <f aca="false">INDEX(Mapping!$C$2:$C$99,MATCH(C$1&amp;"|"&amp;Customers!C61,Mapping!$D$2:$D$99,0))</f>
        <v>1</v>
      </c>
      <c r="D61" s="8" t="n">
        <f aca="false">INDEX(Mapping!$C$2:$C$99,MATCH(D$1&amp;"|"&amp;Customers!D61,Mapping!$D$2:$D$99,0))</f>
        <v>1</v>
      </c>
      <c r="E61" s="8" t="n">
        <f aca="false">INDEX(Mapping!$C$2:$C$99,MATCH(E$1&amp;"|"&amp;Customers!E61,Mapping!$D$2:$D$99,0))</f>
        <v>1</v>
      </c>
      <c r="F61" s="8" t="n">
        <f aca="false">INDEX(Mapping!$C$2:$C$99,MATCH(F$1&amp;"|"&amp;Customers!F61,Mapping!$D$2:$D$99,0))</f>
        <v>1</v>
      </c>
      <c r="G61" s="8" t="n">
        <f aca="false">INDEX(Mapping!$C$2:$C$99,MATCH(G$1&amp;"|"&amp;Customers!G61,Mapping!$D$2:$D$99,0))</f>
        <v>1</v>
      </c>
      <c r="H61" s="8" t="n">
        <f aca="false">INDEX(Mapping!$C$2:$C$99,MATCH(H$1&amp;"|"&amp;Customers!H61,Mapping!$D$2:$D$99,0))</f>
        <v>1</v>
      </c>
      <c r="I61" s="8" t="n">
        <f aca="false">INDEX(Mapping!$C$2:$C$99,MATCH(I$1&amp;"|"&amp;Customers!I61,Mapping!$D$2:$D$99,0))</f>
        <v>1</v>
      </c>
      <c r="J61" s="8" t="n">
        <f aca="false">INDEX(Mapping!$C$2:$C$99,MATCH(J$1&amp;"|"&amp;Customers!J61,Mapping!$D$2:$D$99,0))</f>
        <v>1</v>
      </c>
      <c r="K61" s="8" t="n">
        <f aca="false">INDEX(Mapping!$C$2:$C$99,MATCH(K$1&amp;"|"&amp;Customers!K61,Mapping!$D$2:$D$99,0))</f>
        <v>3</v>
      </c>
      <c r="L61" s="8" t="n">
        <f aca="false">INDEX(Mapping!$C$2:$C$99,MATCH(L$1&amp;"|"&amp;Customers!L61,Mapping!$D$2:$D$99,0))</f>
        <v>2</v>
      </c>
      <c r="M61" s="8" t="n">
        <f aca="false">INDEX(Mapping!$C$2:$C$99,MATCH(M$1&amp;"|"&amp;Customers!M61,Mapping!$D$2:$D$99,0))</f>
        <v>4</v>
      </c>
      <c r="N61" s="8" t="n">
        <f aca="false">INDEX(Mapping!$C$2:$C$99,MATCH(N$1&amp;"|"&amp;Customers!N61,Mapping!$D$2:$D$99,0))</f>
        <v>1</v>
      </c>
      <c r="O61" s="8" t="n">
        <f aca="false">INDEX(Mapping!$C$2:$C$99,MATCH(O$1&amp;"|"&amp;Customers!O61,Mapping!$D$2:$D$99,0))</f>
        <v>3</v>
      </c>
      <c r="P61" s="8" t="n">
        <f aca="false">INDEX(Mapping!$C$2:$C$99,MATCH(P$1&amp;"|"&amp;Customers!P61,Mapping!$D$2:$D$99,0))</f>
        <v>3</v>
      </c>
      <c r="Q61" s="8" t="n">
        <f aca="false">INDEX(Mapping!$C$2:$C$99,MATCH(Q$1&amp;"|"&amp;Customers!Q61,Mapping!$D$2:$D$99,0))</f>
        <v>2</v>
      </c>
      <c r="R61" s="8" t="n">
        <f aca="false">INDEX(Mapping!$C$2:$C$99,MATCH(R$1&amp;"|"&amp;Customers!R61,Mapping!$D$2:$D$99,0))</f>
        <v>2</v>
      </c>
      <c r="S61" s="8" t="n">
        <f aca="false">INDEX(Mapping!$C$2:$C$99,MATCH(S$1&amp;"|"&amp;Customers!S61,Mapping!$D$2:$D$99,0))</f>
        <v>1</v>
      </c>
      <c r="T61" s="8" t="n">
        <f aca="false">INDEX(Mapping!$C$2:$C$99,MATCH(T$1&amp;"|"&amp;Customers!T61,Mapping!$D$2:$D$99,0))</f>
        <v>1</v>
      </c>
      <c r="U61" s="8" t="n">
        <f aca="false">INDEX(Mapping!$C$2:$C$99,MATCH(U$1&amp;"|"&amp;Customers!U61,Mapping!$D$2:$D$99,0))</f>
        <v>1</v>
      </c>
      <c r="V61" s="8" t="n">
        <f aca="false">INDEX(Mapping!$C$2:$C$99,MATCH(V$1&amp;"|"&amp;Customers!V61,Mapping!$D$2:$D$99,0))</f>
        <v>1</v>
      </c>
      <c r="W61" s="17" t="n">
        <f aca="false">SUMPRODUCT($C61:$V61,Weights!$C$27:$V$27)</f>
        <v>1.5575</v>
      </c>
      <c r="X61" s="18" t="n">
        <f aca="false">ROUND($W61,2)</f>
        <v>1.56</v>
      </c>
      <c r="Y61" s="8" t="str">
        <f aca="false">IF($X61&lt;=2,"Low",IF($X61&lt;=3.49,"Medium","High"))</f>
        <v>Low</v>
      </c>
      <c r="Z61" s="8" t="str">
        <f aca="false">IF(OR($F61&gt;=3,$E61=5,$D61=5,$C61=5,$G61=5,$H61=5,$I61=5,$J61=5,Customers!$W61="Yes"),"Yes","No")</f>
        <v>No</v>
      </c>
      <c r="AA61" s="15" t="str">
        <f aca="false">IF($Z61="Yes","High",$Y61)</f>
        <v>Low</v>
      </c>
      <c r="AB61" s="18" t="n">
        <f aca="false">SUMPRODUCT($C61:$G61,Weights!$C$28:$G$28)</f>
        <v>1</v>
      </c>
      <c r="AC61" s="18" t="n">
        <f aca="false">SUMPRODUCT($H61:$J61,Weights!$H$28:$J$28)</f>
        <v>1</v>
      </c>
      <c r="AD61" s="18" t="n">
        <f aca="false">SUMPRODUCT($K61:$N61,Weights!$K$28:$N$28)</f>
        <v>2.7</v>
      </c>
      <c r="AE61" s="18" t="n">
        <f aca="false">SUMPRODUCT($O61:$Q61,Weights!$O$28:$Q$28)</f>
        <v>2.8</v>
      </c>
      <c r="AF61" s="18" t="n">
        <f aca="false">SUMPRODUCT($R61:$V61,Weights!$R$28:$V$28)</f>
        <v>1.25</v>
      </c>
      <c r="AH61" s="18" t="n">
        <f aca="false">SUMPRODUCT($AB61:$AF61,Validation!$D$7:$H$7)</f>
        <v>1.63714285714275</v>
      </c>
      <c r="AI61" s="18" t="n">
        <f aca="false">SUMPRODUCT($AB61:$AF61,Validation!$D$8:$H$8)</f>
        <v>1.47785714285725</v>
      </c>
      <c r="AJ61" s="18" t="n">
        <f aca="false">SUMPRODUCT($AB61:$AF61,Validation!$D$9:$H$9)</f>
        <v>1.6318333333333</v>
      </c>
      <c r="AK61" s="18" t="n">
        <f aca="false">SUMPRODUCT($AB61:$AF61,Validation!$D$10:$H$10)</f>
        <v>1.4831666666667</v>
      </c>
      <c r="AL61" s="18" t="n">
        <f aca="false">SUMPRODUCT($AB61:$AF61,Validation!$D$11:$H$11)</f>
        <v>1.4146875</v>
      </c>
      <c r="AM61" s="18" t="n">
        <f aca="false">SUMPRODUCT($AB61:$AF61,Validation!$D$12:$H$12)</f>
        <v>1.7003125</v>
      </c>
      <c r="AN61" s="18" t="n">
        <f aca="false">SUMPRODUCT($AB61:$AF61,Validation!$D$13:$H$13)</f>
        <v>1.41944444444415</v>
      </c>
      <c r="AO61" s="18" t="n">
        <f aca="false">SUMPRODUCT($AB61:$AF61,Validation!$D$14:$H$14)</f>
        <v>1.69555555555585</v>
      </c>
      <c r="AP61" s="18" t="n">
        <f aca="false">SUMPRODUCT($AB61:$AF61,Validation!$D$15:$H$15)</f>
        <v>1.5936764705881</v>
      </c>
      <c r="AQ61" s="18" t="n">
        <f aca="false">SUMPRODUCT($AB61:$AF61,Validation!$D$16:$H$16)</f>
        <v>1.5213235294119</v>
      </c>
      <c r="AR61" s="8" t="n">
        <f aca="false">COUNTIF($C61:$V61,"&gt;=4")</f>
        <v>1</v>
      </c>
      <c r="AS61" s="8" t="str">
        <f aca="false">IF($X61&lt;=1.6,"Low",IF($X61&lt;=2.2,"Medium","High"))</f>
        <v>Low</v>
      </c>
      <c r="AT61" s="8" t="str">
        <f aca="false">IF($AR61=0,"Low",IF($AR61&lt;3,"Medium","High"))</f>
        <v>Medium</v>
      </c>
      <c r="AU61" s="8" t="str">
        <f aca="false">IF(OR($AS61="High",$AT61="High"),"High",IF(OR($AS61="Medium",$AT61="Medium"),"Medium","Low"))</f>
        <v>Medium</v>
      </c>
      <c r="AV61" s="15" t="str">
        <f aca="false">IF($Z61="Yes","High",$AU61)</f>
        <v>Medium</v>
      </c>
    </row>
    <row r="62" customFormat="false" ht="15" hidden="false" customHeight="false" outlineLevel="0" collapsed="false">
      <c r="A62" s="7" t="str">
        <f aca="false">Customers!$A62</f>
        <v>NG-10326</v>
      </c>
      <c r="B62" s="7" t="str">
        <f aca="false">Customers!$B62</f>
        <v>Sole trader</v>
      </c>
      <c r="C62" s="8" t="n">
        <f aca="false">INDEX(Mapping!$C$2:$C$99,MATCH(C$1&amp;"|"&amp;Customers!C62,Mapping!$D$2:$D$99,0))</f>
        <v>2</v>
      </c>
      <c r="D62" s="8" t="n">
        <f aca="false">INDEX(Mapping!$C$2:$C$99,MATCH(D$1&amp;"|"&amp;Customers!D62,Mapping!$D$2:$D$99,0))</f>
        <v>1</v>
      </c>
      <c r="E62" s="8" t="n">
        <f aca="false">INDEX(Mapping!$C$2:$C$99,MATCH(E$1&amp;"|"&amp;Customers!E62,Mapping!$D$2:$D$99,0))</f>
        <v>4</v>
      </c>
      <c r="F62" s="8" t="n">
        <f aca="false">INDEX(Mapping!$C$2:$C$99,MATCH(F$1&amp;"|"&amp;Customers!F62,Mapping!$D$2:$D$99,0))</f>
        <v>1</v>
      </c>
      <c r="G62" s="8" t="n">
        <f aca="false">INDEX(Mapping!$C$2:$C$99,MATCH(G$1&amp;"|"&amp;Customers!G62,Mapping!$D$2:$D$99,0))</f>
        <v>1</v>
      </c>
      <c r="H62" s="8" t="n">
        <f aca="false">INDEX(Mapping!$C$2:$C$99,MATCH(H$1&amp;"|"&amp;Customers!H62,Mapping!$D$2:$D$99,0))</f>
        <v>1</v>
      </c>
      <c r="I62" s="8" t="n">
        <f aca="false">INDEX(Mapping!$C$2:$C$99,MATCH(I$1&amp;"|"&amp;Customers!I62,Mapping!$D$2:$D$99,0))</f>
        <v>1</v>
      </c>
      <c r="J62" s="8" t="n">
        <f aca="false">INDEX(Mapping!$C$2:$C$99,MATCH(J$1&amp;"|"&amp;Customers!J62,Mapping!$D$2:$D$99,0))</f>
        <v>1</v>
      </c>
      <c r="K62" s="8" t="n">
        <f aca="false">INDEX(Mapping!$C$2:$C$99,MATCH(K$1&amp;"|"&amp;Customers!K62,Mapping!$D$2:$D$99,0))</f>
        <v>4</v>
      </c>
      <c r="L62" s="8" t="n">
        <f aca="false">INDEX(Mapping!$C$2:$C$99,MATCH(L$1&amp;"|"&amp;Customers!L62,Mapping!$D$2:$D$99,0))</f>
        <v>3</v>
      </c>
      <c r="M62" s="8" t="n">
        <f aca="false">INDEX(Mapping!$C$2:$C$99,MATCH(M$1&amp;"|"&amp;Customers!M62,Mapping!$D$2:$D$99,0))</f>
        <v>3</v>
      </c>
      <c r="N62" s="8" t="n">
        <f aca="false">INDEX(Mapping!$C$2:$C$99,MATCH(N$1&amp;"|"&amp;Customers!N62,Mapping!$D$2:$D$99,0))</f>
        <v>1</v>
      </c>
      <c r="O62" s="8" t="n">
        <f aca="false">INDEX(Mapping!$C$2:$C$99,MATCH(O$1&amp;"|"&amp;Customers!O62,Mapping!$D$2:$D$99,0))</f>
        <v>5</v>
      </c>
      <c r="P62" s="8" t="n">
        <f aca="false">INDEX(Mapping!$C$2:$C$99,MATCH(P$1&amp;"|"&amp;Customers!P62,Mapping!$D$2:$D$99,0))</f>
        <v>3</v>
      </c>
      <c r="Q62" s="8" t="n">
        <f aca="false">INDEX(Mapping!$C$2:$C$99,MATCH(Q$1&amp;"|"&amp;Customers!Q62,Mapping!$D$2:$D$99,0))</f>
        <v>3</v>
      </c>
      <c r="R62" s="8" t="n">
        <f aca="false">INDEX(Mapping!$C$2:$C$99,MATCH(R$1&amp;"|"&amp;Customers!R62,Mapping!$D$2:$D$99,0))</f>
        <v>2</v>
      </c>
      <c r="S62" s="8" t="n">
        <f aca="false">INDEX(Mapping!$C$2:$C$99,MATCH(S$1&amp;"|"&amp;Customers!S62,Mapping!$D$2:$D$99,0))</f>
        <v>3</v>
      </c>
      <c r="T62" s="8" t="n">
        <f aca="false">INDEX(Mapping!$C$2:$C$99,MATCH(T$1&amp;"|"&amp;Customers!T62,Mapping!$D$2:$D$99,0))</f>
        <v>3</v>
      </c>
      <c r="U62" s="8" t="n">
        <f aca="false">INDEX(Mapping!$C$2:$C$99,MATCH(U$1&amp;"|"&amp;Customers!U62,Mapping!$D$2:$D$99,0))</f>
        <v>1</v>
      </c>
      <c r="V62" s="8" t="n">
        <f aca="false">INDEX(Mapping!$C$2:$C$99,MATCH(V$1&amp;"|"&amp;Customers!V62,Mapping!$D$2:$D$99,0))</f>
        <v>1</v>
      </c>
      <c r="W62" s="17" t="n">
        <f aca="false">SUMPRODUCT($C62:$V62,Weights!$C$27:$V$27)</f>
        <v>2.1725</v>
      </c>
      <c r="X62" s="18" t="n">
        <f aca="false">ROUND($W62,2)</f>
        <v>2.17</v>
      </c>
      <c r="Y62" s="8" t="str">
        <f aca="false">IF($X62&lt;=2,"Low",IF($X62&lt;=3.49,"Medium","High"))</f>
        <v>Medium</v>
      </c>
      <c r="Z62" s="8" t="str">
        <f aca="false">IF(OR($F62&gt;=3,$E62=5,$D62=5,$C62=5,$G62=5,$H62=5,$I62=5,$J62=5,Customers!$W62="Yes"),"Yes","No")</f>
        <v>No</v>
      </c>
      <c r="AA62" s="15" t="str">
        <f aca="false">IF($Z62="Yes","High",$Y62)</f>
        <v>Medium</v>
      </c>
      <c r="AB62" s="18" t="n">
        <f aca="false">SUMPRODUCT($C62:$G62,Weights!$C$28:$G$28)</f>
        <v>1.95</v>
      </c>
      <c r="AC62" s="18" t="n">
        <f aca="false">SUMPRODUCT($H62:$J62,Weights!$H$28:$J$28)</f>
        <v>1</v>
      </c>
      <c r="AD62" s="18" t="n">
        <f aca="false">SUMPRODUCT($K62:$N62,Weights!$K$28:$N$28)</f>
        <v>3.05</v>
      </c>
      <c r="AE62" s="18" t="n">
        <f aca="false">SUMPRODUCT($O62:$Q62,Weights!$O$28:$Q$28)</f>
        <v>3.9</v>
      </c>
      <c r="AF62" s="18" t="n">
        <f aca="false">SUMPRODUCT($R62:$V62,Weights!$R$28:$V$28)</f>
        <v>2.25</v>
      </c>
      <c r="AH62" s="18" t="n">
        <f aca="false">SUMPRODUCT($AB62:$AF62,Validation!$D$7:$H$7)</f>
        <v>2.2042857142862</v>
      </c>
      <c r="AI62" s="18" t="n">
        <f aca="false">SUMPRODUCT($AB62:$AF62,Validation!$D$8:$H$8)</f>
        <v>2.1407142857138</v>
      </c>
      <c r="AJ62" s="18" t="n">
        <f aca="false">SUMPRODUCT($AB62:$AF62,Validation!$D$9:$H$9)</f>
        <v>2.32883333333305</v>
      </c>
      <c r="AK62" s="18" t="n">
        <f aca="false">SUMPRODUCT($AB62:$AF62,Validation!$D$10:$H$10)</f>
        <v>2.01616666666695</v>
      </c>
      <c r="AL62" s="18" t="n">
        <f aca="false">SUMPRODUCT($AB62:$AF62,Validation!$D$11:$H$11)</f>
        <v>2.0628125</v>
      </c>
      <c r="AM62" s="18" t="n">
        <f aca="false">SUMPRODUCT($AB62:$AF62,Validation!$D$12:$H$12)</f>
        <v>2.2821875</v>
      </c>
      <c r="AN62" s="18" t="n">
        <f aca="false">SUMPRODUCT($AB62:$AF62,Validation!$D$13:$H$13)</f>
        <v>1.9805555555552</v>
      </c>
      <c r="AO62" s="18" t="n">
        <f aca="false">SUMPRODUCT($AB62:$AF62,Validation!$D$14:$H$14)</f>
        <v>2.3644444444448</v>
      </c>
      <c r="AP62" s="18" t="n">
        <f aca="false">SUMPRODUCT($AB62:$AF62,Validation!$D$15:$H$15)</f>
        <v>2.1633823529407</v>
      </c>
      <c r="AQ62" s="18" t="n">
        <f aca="false">SUMPRODUCT($AB62:$AF62,Validation!$D$16:$H$16)</f>
        <v>2.1816176470593</v>
      </c>
      <c r="AR62" s="8" t="n">
        <f aca="false">COUNTIF($C62:$V62,"&gt;=4")</f>
        <v>3</v>
      </c>
      <c r="AS62" s="8" t="str">
        <f aca="false">IF($X62&lt;=1.6,"Low",IF($X62&lt;=2.2,"Medium","High"))</f>
        <v>Medium</v>
      </c>
      <c r="AT62" s="8" t="str">
        <f aca="false">IF($AR62=0,"Low",IF($AR62&lt;3,"Medium","High"))</f>
        <v>High</v>
      </c>
      <c r="AU62" s="8" t="str">
        <f aca="false">IF(OR($AS62="High",$AT62="High"),"High",IF(OR($AS62="Medium",$AT62="Medium"),"Medium","Low"))</f>
        <v>High</v>
      </c>
      <c r="AV62" s="15" t="str">
        <f aca="false">IF($Z62="Yes","High",$AU62)</f>
        <v>High</v>
      </c>
    </row>
    <row r="63" customFormat="false" ht="15" hidden="false" customHeight="false" outlineLevel="0" collapsed="false">
      <c r="A63" s="7" t="str">
        <f aca="false">Customers!$A63</f>
        <v>NG-10010</v>
      </c>
      <c r="B63" s="7" t="str">
        <f aca="false">Customers!$B63</f>
        <v>Personal</v>
      </c>
      <c r="C63" s="8" t="n">
        <f aca="false">INDEX(Mapping!$C$2:$C$99,MATCH(C$1&amp;"|"&amp;Customers!C63,Mapping!$D$2:$D$99,0))</f>
        <v>1</v>
      </c>
      <c r="D63" s="8" t="n">
        <f aca="false">INDEX(Mapping!$C$2:$C$99,MATCH(D$1&amp;"|"&amp;Customers!D63,Mapping!$D$2:$D$99,0))</f>
        <v>1</v>
      </c>
      <c r="E63" s="8" t="n">
        <f aca="false">INDEX(Mapping!$C$2:$C$99,MATCH(E$1&amp;"|"&amp;Customers!E63,Mapping!$D$2:$D$99,0))</f>
        <v>1</v>
      </c>
      <c r="F63" s="8" t="n">
        <f aca="false">INDEX(Mapping!$C$2:$C$99,MATCH(F$1&amp;"|"&amp;Customers!F63,Mapping!$D$2:$D$99,0))</f>
        <v>1</v>
      </c>
      <c r="G63" s="8" t="n">
        <f aca="false">INDEX(Mapping!$C$2:$C$99,MATCH(G$1&amp;"|"&amp;Customers!G63,Mapping!$D$2:$D$99,0))</f>
        <v>1</v>
      </c>
      <c r="H63" s="8" t="n">
        <f aca="false">INDEX(Mapping!$C$2:$C$99,MATCH(H$1&amp;"|"&amp;Customers!H63,Mapping!$D$2:$D$99,0))</f>
        <v>1</v>
      </c>
      <c r="I63" s="8" t="n">
        <f aca="false">INDEX(Mapping!$C$2:$C$99,MATCH(I$1&amp;"|"&amp;Customers!I63,Mapping!$D$2:$D$99,0))</f>
        <v>1</v>
      </c>
      <c r="J63" s="8" t="n">
        <f aca="false">INDEX(Mapping!$C$2:$C$99,MATCH(J$1&amp;"|"&amp;Customers!J63,Mapping!$D$2:$D$99,0))</f>
        <v>1</v>
      </c>
      <c r="K63" s="8" t="n">
        <f aca="false">INDEX(Mapping!$C$2:$C$99,MATCH(K$1&amp;"|"&amp;Customers!K63,Mapping!$D$2:$D$99,0))</f>
        <v>3</v>
      </c>
      <c r="L63" s="8" t="n">
        <f aca="false">INDEX(Mapping!$C$2:$C$99,MATCH(L$1&amp;"|"&amp;Customers!L63,Mapping!$D$2:$D$99,0))</f>
        <v>3</v>
      </c>
      <c r="M63" s="8" t="n">
        <f aca="false">INDEX(Mapping!$C$2:$C$99,MATCH(M$1&amp;"|"&amp;Customers!M63,Mapping!$D$2:$D$99,0))</f>
        <v>2</v>
      </c>
      <c r="N63" s="8" t="n">
        <f aca="false">INDEX(Mapping!$C$2:$C$99,MATCH(N$1&amp;"|"&amp;Customers!N63,Mapping!$D$2:$D$99,0))</f>
        <v>1</v>
      </c>
      <c r="O63" s="8" t="n">
        <f aca="false">INDEX(Mapping!$C$2:$C$99,MATCH(O$1&amp;"|"&amp;Customers!O63,Mapping!$D$2:$D$99,0))</f>
        <v>4</v>
      </c>
      <c r="P63" s="8" t="n">
        <f aca="false">INDEX(Mapping!$C$2:$C$99,MATCH(P$1&amp;"|"&amp;Customers!P63,Mapping!$D$2:$D$99,0))</f>
        <v>3</v>
      </c>
      <c r="Q63" s="8" t="n">
        <f aca="false">INDEX(Mapping!$C$2:$C$99,MATCH(Q$1&amp;"|"&amp;Customers!Q63,Mapping!$D$2:$D$99,0))</f>
        <v>1</v>
      </c>
      <c r="R63" s="8" t="n">
        <f aca="false">INDEX(Mapping!$C$2:$C$99,MATCH(R$1&amp;"|"&amp;Customers!R63,Mapping!$D$2:$D$99,0))</f>
        <v>1</v>
      </c>
      <c r="S63" s="8" t="n">
        <f aca="false">INDEX(Mapping!$C$2:$C$99,MATCH(S$1&amp;"|"&amp;Customers!S63,Mapping!$D$2:$D$99,0))</f>
        <v>2</v>
      </c>
      <c r="T63" s="8" t="n">
        <f aca="false">INDEX(Mapping!$C$2:$C$99,MATCH(T$1&amp;"|"&amp;Customers!T63,Mapping!$D$2:$D$99,0))</f>
        <v>2</v>
      </c>
      <c r="U63" s="8" t="n">
        <f aca="false">INDEX(Mapping!$C$2:$C$99,MATCH(U$1&amp;"|"&amp;Customers!U63,Mapping!$D$2:$D$99,0))</f>
        <v>1</v>
      </c>
      <c r="V63" s="8" t="n">
        <f aca="false">INDEX(Mapping!$C$2:$C$99,MATCH(V$1&amp;"|"&amp;Customers!V63,Mapping!$D$2:$D$99,0))</f>
        <v>1</v>
      </c>
      <c r="W63" s="17" t="n">
        <f aca="false">SUMPRODUCT($C63:$V63,Weights!$C$27:$V$27)</f>
        <v>1.57</v>
      </c>
      <c r="X63" s="18" t="n">
        <f aca="false">ROUND($W63,2)</f>
        <v>1.57</v>
      </c>
      <c r="Y63" s="8" t="str">
        <f aca="false">IF($X63&lt;=2,"Low",IF($X63&lt;=3.49,"Medium","High"))</f>
        <v>Low</v>
      </c>
      <c r="Z63" s="8" t="str">
        <f aca="false">IF(OR($F63&gt;=3,$E63=5,$D63=5,$C63=5,$G63=5,$H63=5,$I63=5,$J63=5,Customers!$W63="Yes"),"Yes","No")</f>
        <v>No</v>
      </c>
      <c r="AA63" s="15" t="str">
        <f aca="false">IF($Z63="Yes","High",$Y63)</f>
        <v>Low</v>
      </c>
      <c r="AB63" s="18" t="n">
        <f aca="false">SUMPRODUCT($C63:$G63,Weights!$C$28:$G$28)</f>
        <v>1</v>
      </c>
      <c r="AC63" s="18" t="n">
        <f aca="false">SUMPRODUCT($H63:$J63,Weights!$H$28:$J$28)</f>
        <v>1</v>
      </c>
      <c r="AD63" s="18" t="n">
        <f aca="false">SUMPRODUCT($K63:$N63,Weights!$K$28:$N$28)</f>
        <v>2.45</v>
      </c>
      <c r="AE63" s="18" t="n">
        <f aca="false">SUMPRODUCT($O63:$Q63,Weights!$O$28:$Q$28)</f>
        <v>3.05</v>
      </c>
      <c r="AF63" s="18" t="n">
        <f aca="false">SUMPRODUCT($R63:$V63,Weights!$R$28:$V$28)</f>
        <v>1.5</v>
      </c>
      <c r="AH63" s="18" t="n">
        <f aca="false">SUMPRODUCT($AB63:$AF63,Validation!$D$7:$H$7)</f>
        <v>1.65142857142875</v>
      </c>
      <c r="AI63" s="18" t="n">
        <f aca="false">SUMPRODUCT($AB63:$AF63,Validation!$D$8:$H$8)</f>
        <v>1.48857142857125</v>
      </c>
      <c r="AJ63" s="18" t="n">
        <f aca="false">SUMPRODUCT($AB63:$AF63,Validation!$D$9:$H$9)</f>
        <v>1.6459999999998</v>
      </c>
      <c r="AK63" s="18" t="n">
        <f aca="false">SUMPRODUCT($AB63:$AF63,Validation!$D$10:$H$10)</f>
        <v>1.4940000000002</v>
      </c>
      <c r="AL63" s="18" t="n">
        <f aca="false">SUMPRODUCT($AB63:$AF63,Validation!$D$11:$H$11)</f>
        <v>1.46</v>
      </c>
      <c r="AM63" s="18" t="n">
        <f aca="false">SUMPRODUCT($AB63:$AF63,Validation!$D$12:$H$12)</f>
        <v>1.68</v>
      </c>
      <c r="AN63" s="18" t="n">
        <f aca="false">SUMPRODUCT($AB63:$AF63,Validation!$D$13:$H$13)</f>
        <v>1.4055555555554</v>
      </c>
      <c r="AO63" s="18" t="n">
        <f aca="false">SUMPRODUCT($AB63:$AF63,Validation!$D$14:$H$14)</f>
        <v>1.7344444444446</v>
      </c>
      <c r="AP63" s="18" t="n">
        <f aca="false">SUMPRODUCT($AB63:$AF63,Validation!$D$15:$H$15)</f>
        <v>1.57823529411735</v>
      </c>
      <c r="AQ63" s="18" t="n">
        <f aca="false">SUMPRODUCT($AB63:$AF63,Validation!$D$16:$H$16)</f>
        <v>1.56176470588265</v>
      </c>
      <c r="AR63" s="8" t="n">
        <f aca="false">COUNTIF($C63:$V63,"&gt;=4")</f>
        <v>1</v>
      </c>
      <c r="AS63" s="8" t="str">
        <f aca="false">IF($X63&lt;=1.6,"Low",IF($X63&lt;=2.2,"Medium","High"))</f>
        <v>Low</v>
      </c>
      <c r="AT63" s="8" t="str">
        <f aca="false">IF($AR63=0,"Low",IF($AR63&lt;3,"Medium","High"))</f>
        <v>Medium</v>
      </c>
      <c r="AU63" s="8" t="str">
        <f aca="false">IF(OR($AS63="High",$AT63="High"),"High",IF(OR($AS63="Medium",$AT63="Medium"),"Medium","Low"))</f>
        <v>Medium</v>
      </c>
      <c r="AV63" s="15" t="str">
        <f aca="false">IF($Z63="Yes","High",$AU63)</f>
        <v>Medium</v>
      </c>
    </row>
    <row r="64" customFormat="false" ht="15" hidden="false" customHeight="false" outlineLevel="0" collapsed="false">
      <c r="A64" s="7" t="str">
        <f aca="false">Customers!$A64</f>
        <v>NG-10324</v>
      </c>
      <c r="B64" s="7" t="str">
        <f aca="false">Customers!$B64</f>
        <v>Sole trader</v>
      </c>
      <c r="C64" s="8" t="n">
        <f aca="false">INDEX(Mapping!$C$2:$C$99,MATCH(C$1&amp;"|"&amp;Customers!C64,Mapping!$D$2:$D$99,0))</f>
        <v>2</v>
      </c>
      <c r="D64" s="8" t="n">
        <f aca="false">INDEX(Mapping!$C$2:$C$99,MATCH(D$1&amp;"|"&amp;Customers!D64,Mapping!$D$2:$D$99,0))</f>
        <v>1</v>
      </c>
      <c r="E64" s="8" t="n">
        <f aca="false">INDEX(Mapping!$C$2:$C$99,MATCH(E$1&amp;"|"&amp;Customers!E64,Mapping!$D$2:$D$99,0))</f>
        <v>3</v>
      </c>
      <c r="F64" s="8" t="n">
        <f aca="false">INDEX(Mapping!$C$2:$C$99,MATCH(F$1&amp;"|"&amp;Customers!F64,Mapping!$D$2:$D$99,0))</f>
        <v>1</v>
      </c>
      <c r="G64" s="8" t="n">
        <f aca="false">INDEX(Mapping!$C$2:$C$99,MATCH(G$1&amp;"|"&amp;Customers!G64,Mapping!$D$2:$D$99,0))</f>
        <v>1</v>
      </c>
      <c r="H64" s="8" t="n">
        <f aca="false">INDEX(Mapping!$C$2:$C$99,MATCH(H$1&amp;"|"&amp;Customers!H64,Mapping!$D$2:$D$99,0))</f>
        <v>1</v>
      </c>
      <c r="I64" s="8" t="n">
        <f aca="false">INDEX(Mapping!$C$2:$C$99,MATCH(I$1&amp;"|"&amp;Customers!I64,Mapping!$D$2:$D$99,0))</f>
        <v>1</v>
      </c>
      <c r="J64" s="8" t="n">
        <f aca="false">INDEX(Mapping!$C$2:$C$99,MATCH(J$1&amp;"|"&amp;Customers!J64,Mapping!$D$2:$D$99,0))</f>
        <v>1</v>
      </c>
      <c r="K64" s="8" t="n">
        <f aca="false">INDEX(Mapping!$C$2:$C$99,MATCH(K$1&amp;"|"&amp;Customers!K64,Mapping!$D$2:$D$99,0))</f>
        <v>4</v>
      </c>
      <c r="L64" s="8" t="n">
        <f aca="false">INDEX(Mapping!$C$2:$C$99,MATCH(L$1&amp;"|"&amp;Customers!L64,Mapping!$D$2:$D$99,0))</f>
        <v>4</v>
      </c>
      <c r="M64" s="8" t="n">
        <f aca="false">INDEX(Mapping!$C$2:$C$99,MATCH(M$1&amp;"|"&amp;Customers!M64,Mapping!$D$2:$D$99,0))</f>
        <v>5</v>
      </c>
      <c r="N64" s="8" t="n">
        <f aca="false">INDEX(Mapping!$C$2:$C$99,MATCH(N$1&amp;"|"&amp;Customers!N64,Mapping!$D$2:$D$99,0))</f>
        <v>1</v>
      </c>
      <c r="O64" s="8" t="n">
        <f aca="false">INDEX(Mapping!$C$2:$C$99,MATCH(O$1&amp;"|"&amp;Customers!O64,Mapping!$D$2:$D$99,0))</f>
        <v>3</v>
      </c>
      <c r="P64" s="8" t="n">
        <f aca="false">INDEX(Mapping!$C$2:$C$99,MATCH(P$1&amp;"|"&amp;Customers!P64,Mapping!$D$2:$D$99,0))</f>
        <v>3</v>
      </c>
      <c r="Q64" s="8" t="n">
        <f aca="false">INDEX(Mapping!$C$2:$C$99,MATCH(Q$1&amp;"|"&amp;Customers!Q64,Mapping!$D$2:$D$99,0))</f>
        <v>1</v>
      </c>
      <c r="R64" s="8" t="n">
        <f aca="false">INDEX(Mapping!$C$2:$C$99,MATCH(R$1&amp;"|"&amp;Customers!R64,Mapping!$D$2:$D$99,0))</f>
        <v>3</v>
      </c>
      <c r="S64" s="8" t="n">
        <f aca="false">INDEX(Mapping!$C$2:$C$99,MATCH(S$1&amp;"|"&amp;Customers!S64,Mapping!$D$2:$D$99,0))</f>
        <v>1</v>
      </c>
      <c r="T64" s="8" t="n">
        <f aca="false">INDEX(Mapping!$C$2:$C$99,MATCH(T$1&amp;"|"&amp;Customers!T64,Mapping!$D$2:$D$99,0))</f>
        <v>1</v>
      </c>
      <c r="U64" s="8" t="n">
        <f aca="false">INDEX(Mapping!$C$2:$C$99,MATCH(U$1&amp;"|"&amp;Customers!U64,Mapping!$D$2:$D$99,0))</f>
        <v>3</v>
      </c>
      <c r="V64" s="8" t="n">
        <f aca="false">INDEX(Mapping!$C$2:$C$99,MATCH(V$1&amp;"|"&amp;Customers!V64,Mapping!$D$2:$D$99,0))</f>
        <v>1</v>
      </c>
      <c r="W64" s="17" t="n">
        <f aca="false">SUMPRODUCT($C64:$V64,Weights!$C$27:$V$27)</f>
        <v>2.05</v>
      </c>
      <c r="X64" s="18" t="n">
        <f aca="false">ROUND($W64,2)</f>
        <v>2.05</v>
      </c>
      <c r="Y64" s="8" t="str">
        <f aca="false">IF($X64&lt;=2,"Low",IF($X64&lt;=3.49,"Medium","High"))</f>
        <v>Medium</v>
      </c>
      <c r="Z64" s="8" t="str">
        <f aca="false">IF(OR($F64&gt;=3,$E64=5,$D64=5,$C64=5,$G64=5,$H64=5,$I64=5,$J64=5,Customers!$W64="Yes"),"Yes","No")</f>
        <v>No</v>
      </c>
      <c r="AA64" s="15" t="str">
        <f aca="false">IF($Z64="Yes","High",$Y64)</f>
        <v>Medium</v>
      </c>
      <c r="AB64" s="18" t="n">
        <f aca="false">SUMPRODUCT($C64:$G64,Weights!$C$28:$G$28)</f>
        <v>1.7</v>
      </c>
      <c r="AC64" s="18" t="n">
        <f aca="false">SUMPRODUCT($H64:$J64,Weights!$H$28:$J$28)</f>
        <v>1</v>
      </c>
      <c r="AD64" s="18" t="n">
        <f aca="false">SUMPRODUCT($K64:$N64,Weights!$K$28:$N$28)</f>
        <v>3.8</v>
      </c>
      <c r="AE64" s="18" t="n">
        <f aca="false">SUMPRODUCT($O64:$Q64,Weights!$O$28:$Q$28)</f>
        <v>2.6</v>
      </c>
      <c r="AF64" s="18" t="n">
        <f aca="false">SUMPRODUCT($R64:$V64,Weights!$R$28:$V$28)</f>
        <v>1.8</v>
      </c>
      <c r="AH64" s="18" t="n">
        <f aca="false">SUMPRODUCT($AB64:$AF64,Validation!$D$7:$H$7)</f>
        <v>2.0999999999996</v>
      </c>
      <c r="AI64" s="18" t="n">
        <f aca="false">SUMPRODUCT($AB64:$AF64,Validation!$D$8:$H$8)</f>
        <v>2.0000000000004</v>
      </c>
      <c r="AJ64" s="18" t="n">
        <f aca="false">SUMPRODUCT($AB64:$AF64,Validation!$D$9:$H$9)</f>
        <v>2.1900000000004</v>
      </c>
      <c r="AK64" s="18" t="n">
        <f aca="false">SUMPRODUCT($AB64:$AF64,Validation!$D$10:$H$10)</f>
        <v>1.9099999999996</v>
      </c>
      <c r="AL64" s="18" t="n">
        <f aca="false">SUMPRODUCT($AB64:$AF64,Validation!$D$11:$H$11)</f>
        <v>1.83125</v>
      </c>
      <c r="AM64" s="18" t="n">
        <f aca="false">SUMPRODUCT($AB64:$AF64,Validation!$D$12:$H$12)</f>
        <v>2.26875</v>
      </c>
      <c r="AN64" s="18" t="n">
        <f aca="false">SUMPRODUCT($AB64:$AF64,Validation!$D$13:$H$13)</f>
        <v>1.9888888888883</v>
      </c>
      <c r="AO64" s="18" t="n">
        <f aca="false">SUMPRODUCT($AB64:$AF64,Validation!$D$14:$H$14)</f>
        <v>2.1111111111117</v>
      </c>
      <c r="AP64" s="18" t="n">
        <f aca="false">SUMPRODUCT($AB64:$AF64,Validation!$D$15:$H$15)</f>
        <v>2.0794117647061</v>
      </c>
      <c r="AQ64" s="18" t="n">
        <f aca="false">SUMPRODUCT($AB64:$AF64,Validation!$D$16:$H$16)</f>
        <v>2.0205882352939</v>
      </c>
      <c r="AR64" s="8" t="n">
        <f aca="false">COUNTIF($C64:$V64,"&gt;=4")</f>
        <v>3</v>
      </c>
      <c r="AS64" s="8" t="str">
        <f aca="false">IF($X64&lt;=1.6,"Low",IF($X64&lt;=2.2,"Medium","High"))</f>
        <v>Medium</v>
      </c>
      <c r="AT64" s="8" t="str">
        <f aca="false">IF($AR64=0,"Low",IF($AR64&lt;3,"Medium","High"))</f>
        <v>High</v>
      </c>
      <c r="AU64" s="8" t="str">
        <f aca="false">IF(OR($AS64="High",$AT64="High"),"High",IF(OR($AS64="Medium",$AT64="Medium"),"Medium","Low"))</f>
        <v>High</v>
      </c>
      <c r="AV64" s="15" t="str">
        <f aca="false">IF($Z64="Yes","High",$AU64)</f>
        <v>High</v>
      </c>
    </row>
    <row r="65" customFormat="false" ht="15" hidden="false" customHeight="false" outlineLevel="0" collapsed="false">
      <c r="A65" s="7" t="str">
        <f aca="false">Customers!$A65</f>
        <v>NG-10323</v>
      </c>
      <c r="B65" s="7" t="str">
        <f aca="false">Customers!$B65</f>
        <v>Sole trader</v>
      </c>
      <c r="C65" s="8" t="n">
        <f aca="false">INDEX(Mapping!$C$2:$C$99,MATCH(C$1&amp;"|"&amp;Customers!C65,Mapping!$D$2:$D$99,0))</f>
        <v>2</v>
      </c>
      <c r="D65" s="8" t="n">
        <f aca="false">INDEX(Mapping!$C$2:$C$99,MATCH(D$1&amp;"|"&amp;Customers!D65,Mapping!$D$2:$D$99,0))</f>
        <v>1</v>
      </c>
      <c r="E65" s="8" t="n">
        <f aca="false">INDEX(Mapping!$C$2:$C$99,MATCH(E$1&amp;"|"&amp;Customers!E65,Mapping!$D$2:$D$99,0))</f>
        <v>4</v>
      </c>
      <c r="F65" s="8" t="n">
        <f aca="false">INDEX(Mapping!$C$2:$C$99,MATCH(F$1&amp;"|"&amp;Customers!F65,Mapping!$D$2:$D$99,0))</f>
        <v>1</v>
      </c>
      <c r="G65" s="8" t="n">
        <f aca="false">INDEX(Mapping!$C$2:$C$99,MATCH(G$1&amp;"|"&amp;Customers!G65,Mapping!$D$2:$D$99,0))</f>
        <v>1</v>
      </c>
      <c r="H65" s="8" t="n">
        <f aca="false">INDEX(Mapping!$C$2:$C$99,MATCH(H$1&amp;"|"&amp;Customers!H65,Mapping!$D$2:$D$99,0))</f>
        <v>1</v>
      </c>
      <c r="I65" s="8" t="n">
        <f aca="false">INDEX(Mapping!$C$2:$C$99,MATCH(I$1&amp;"|"&amp;Customers!I65,Mapping!$D$2:$D$99,0))</f>
        <v>1</v>
      </c>
      <c r="J65" s="8" t="n">
        <f aca="false">INDEX(Mapping!$C$2:$C$99,MATCH(J$1&amp;"|"&amp;Customers!J65,Mapping!$D$2:$D$99,0))</f>
        <v>3</v>
      </c>
      <c r="K65" s="8" t="n">
        <f aca="false">INDEX(Mapping!$C$2:$C$99,MATCH(K$1&amp;"|"&amp;Customers!K65,Mapping!$D$2:$D$99,0))</f>
        <v>4</v>
      </c>
      <c r="L65" s="8" t="n">
        <f aca="false">INDEX(Mapping!$C$2:$C$99,MATCH(L$1&amp;"|"&amp;Customers!L65,Mapping!$D$2:$D$99,0))</f>
        <v>5</v>
      </c>
      <c r="M65" s="8" t="n">
        <f aca="false">INDEX(Mapping!$C$2:$C$99,MATCH(M$1&amp;"|"&amp;Customers!M65,Mapping!$D$2:$D$99,0))</f>
        <v>3</v>
      </c>
      <c r="N65" s="8" t="n">
        <f aca="false">INDEX(Mapping!$C$2:$C$99,MATCH(N$1&amp;"|"&amp;Customers!N65,Mapping!$D$2:$D$99,0))</f>
        <v>3</v>
      </c>
      <c r="O65" s="8" t="n">
        <f aca="false">INDEX(Mapping!$C$2:$C$99,MATCH(O$1&amp;"|"&amp;Customers!O65,Mapping!$D$2:$D$99,0))</f>
        <v>1</v>
      </c>
      <c r="P65" s="8" t="n">
        <f aca="false">INDEX(Mapping!$C$2:$C$99,MATCH(P$1&amp;"|"&amp;Customers!P65,Mapping!$D$2:$D$99,0))</f>
        <v>1</v>
      </c>
      <c r="Q65" s="8" t="n">
        <f aca="false">INDEX(Mapping!$C$2:$C$99,MATCH(Q$1&amp;"|"&amp;Customers!Q65,Mapping!$D$2:$D$99,0))</f>
        <v>3</v>
      </c>
      <c r="R65" s="8" t="n">
        <f aca="false">INDEX(Mapping!$C$2:$C$99,MATCH(R$1&amp;"|"&amp;Customers!R65,Mapping!$D$2:$D$99,0))</f>
        <v>1</v>
      </c>
      <c r="S65" s="8" t="n">
        <f aca="false">INDEX(Mapping!$C$2:$C$99,MATCH(S$1&amp;"|"&amp;Customers!S65,Mapping!$D$2:$D$99,0))</f>
        <v>2</v>
      </c>
      <c r="T65" s="8" t="n">
        <f aca="false">INDEX(Mapping!$C$2:$C$99,MATCH(T$1&amp;"|"&amp;Customers!T65,Mapping!$D$2:$D$99,0))</f>
        <v>3</v>
      </c>
      <c r="U65" s="8" t="n">
        <f aca="false">INDEX(Mapping!$C$2:$C$99,MATCH(U$1&amp;"|"&amp;Customers!U65,Mapping!$D$2:$D$99,0))</f>
        <v>2</v>
      </c>
      <c r="V65" s="8" t="n">
        <f aca="false">INDEX(Mapping!$C$2:$C$99,MATCH(V$1&amp;"|"&amp;Customers!V65,Mapping!$D$2:$D$99,0))</f>
        <v>1</v>
      </c>
      <c r="W65" s="17" t="n">
        <f aca="false">SUMPRODUCT($C65:$V65,Weights!$C$27:$V$27)</f>
        <v>2.2225</v>
      </c>
      <c r="X65" s="18" t="n">
        <f aca="false">ROUND($W65,2)</f>
        <v>2.22</v>
      </c>
      <c r="Y65" s="8" t="str">
        <f aca="false">IF($X65&lt;=2,"Low",IF($X65&lt;=3.49,"Medium","High"))</f>
        <v>Medium</v>
      </c>
      <c r="Z65" s="8" t="str">
        <f aca="false">IF(OR($F65&gt;=3,$E65=5,$D65=5,$C65=5,$G65=5,$H65=5,$I65=5,$J65=5,Customers!$W65="Yes"),"Yes","No")</f>
        <v>No</v>
      </c>
      <c r="AA65" s="15" t="str">
        <f aca="false">IF($Z65="Yes","High",$Y65)</f>
        <v>Medium</v>
      </c>
      <c r="AB65" s="18" t="n">
        <f aca="false">SUMPRODUCT($C65:$G65,Weights!$C$28:$G$28)</f>
        <v>1.95</v>
      </c>
      <c r="AC65" s="18" t="n">
        <f aca="false">SUMPRODUCT($H65:$J65,Weights!$H$28:$J$28)</f>
        <v>1.8</v>
      </c>
      <c r="AD65" s="18" t="n">
        <f aca="false">SUMPRODUCT($K65:$N65,Weights!$K$28:$N$28)</f>
        <v>3.85</v>
      </c>
      <c r="AE65" s="18" t="n">
        <f aca="false">SUMPRODUCT($O65:$Q65,Weights!$O$28:$Q$28)</f>
        <v>1.4</v>
      </c>
      <c r="AF65" s="18" t="n">
        <f aca="false">SUMPRODUCT($R65:$V65,Weights!$R$28:$V$28)</f>
        <v>1.85</v>
      </c>
      <c r="AH65" s="18" t="n">
        <f aca="false">SUMPRODUCT($AB65:$AF65,Validation!$D$7:$H$7)</f>
        <v>2.2614285714276</v>
      </c>
      <c r="AI65" s="18" t="n">
        <f aca="false">SUMPRODUCT($AB65:$AF65,Validation!$D$8:$H$8)</f>
        <v>2.1835714285724</v>
      </c>
      <c r="AJ65" s="18" t="n">
        <f aca="false">SUMPRODUCT($AB65:$AF65,Validation!$D$9:$H$9)</f>
        <v>2.27883333333415</v>
      </c>
      <c r="AK65" s="18" t="n">
        <f aca="false">SUMPRODUCT($AB65:$AF65,Validation!$D$10:$H$10)</f>
        <v>2.16616666666585</v>
      </c>
      <c r="AL65" s="18" t="n">
        <f aca="false">SUMPRODUCT($AB65:$AF65,Validation!$D$11:$H$11)</f>
        <v>2.0190625</v>
      </c>
      <c r="AM65" s="18" t="n">
        <f aca="false">SUMPRODUCT($AB65:$AF65,Validation!$D$12:$H$12)</f>
        <v>2.4259375</v>
      </c>
      <c r="AN65" s="18" t="n">
        <f aca="false">SUMPRODUCT($AB65:$AF65,Validation!$D$13:$H$13)</f>
        <v>2.3138888888884</v>
      </c>
      <c r="AO65" s="18" t="n">
        <f aca="false">SUMPRODUCT($AB65:$AF65,Validation!$D$14:$H$14)</f>
        <v>2.1311111111116</v>
      </c>
      <c r="AP65" s="18" t="n">
        <f aca="false">SUMPRODUCT($AB65:$AF65,Validation!$D$15:$H$15)</f>
        <v>2.2663235294125</v>
      </c>
      <c r="AQ65" s="18" t="n">
        <f aca="false">SUMPRODUCT($AB65:$AF65,Validation!$D$16:$H$16)</f>
        <v>2.1786764705875</v>
      </c>
      <c r="AR65" s="8" t="n">
        <f aca="false">COUNTIF($C65:$V65,"&gt;=4")</f>
        <v>3</v>
      </c>
      <c r="AS65" s="8" t="str">
        <f aca="false">IF($X65&lt;=1.6,"Low",IF($X65&lt;=2.2,"Medium","High"))</f>
        <v>High</v>
      </c>
      <c r="AT65" s="8" t="str">
        <f aca="false">IF($AR65=0,"Low",IF($AR65&lt;3,"Medium","High"))</f>
        <v>High</v>
      </c>
      <c r="AU65" s="8" t="str">
        <f aca="false">IF(OR($AS65="High",$AT65="High"),"High",IF(OR($AS65="Medium",$AT65="Medium"),"Medium","Low"))</f>
        <v>High</v>
      </c>
      <c r="AV65" s="15" t="str">
        <f aca="false">IF($Z65="Yes","High",$AU65)</f>
        <v>High</v>
      </c>
    </row>
    <row r="66" customFormat="false" ht="15" hidden="false" customHeight="false" outlineLevel="0" collapsed="false">
      <c r="A66" s="7" t="str">
        <f aca="false">Customers!$A66</f>
        <v>NG-10178</v>
      </c>
      <c r="B66" s="7" t="str">
        <f aca="false">Customers!$B66</f>
        <v>Personal</v>
      </c>
      <c r="C66" s="8" t="n">
        <f aca="false">INDEX(Mapping!$C$2:$C$99,MATCH(C$1&amp;"|"&amp;Customers!C66,Mapping!$D$2:$D$99,0))</f>
        <v>1</v>
      </c>
      <c r="D66" s="8" t="n">
        <f aca="false">INDEX(Mapping!$C$2:$C$99,MATCH(D$1&amp;"|"&amp;Customers!D66,Mapping!$D$2:$D$99,0))</f>
        <v>1</v>
      </c>
      <c r="E66" s="8" t="n">
        <f aca="false">INDEX(Mapping!$C$2:$C$99,MATCH(E$1&amp;"|"&amp;Customers!E66,Mapping!$D$2:$D$99,0))</f>
        <v>1</v>
      </c>
      <c r="F66" s="8" t="n">
        <f aca="false">INDEX(Mapping!$C$2:$C$99,MATCH(F$1&amp;"|"&amp;Customers!F66,Mapping!$D$2:$D$99,0))</f>
        <v>1</v>
      </c>
      <c r="G66" s="8" t="n">
        <f aca="false">INDEX(Mapping!$C$2:$C$99,MATCH(G$1&amp;"|"&amp;Customers!G66,Mapping!$D$2:$D$99,0))</f>
        <v>1</v>
      </c>
      <c r="H66" s="8" t="n">
        <f aca="false">INDEX(Mapping!$C$2:$C$99,MATCH(H$1&amp;"|"&amp;Customers!H66,Mapping!$D$2:$D$99,0))</f>
        <v>1</v>
      </c>
      <c r="I66" s="8" t="n">
        <f aca="false">INDEX(Mapping!$C$2:$C$99,MATCH(I$1&amp;"|"&amp;Customers!I66,Mapping!$D$2:$D$99,0))</f>
        <v>1</v>
      </c>
      <c r="J66" s="8" t="n">
        <f aca="false">INDEX(Mapping!$C$2:$C$99,MATCH(J$1&amp;"|"&amp;Customers!J66,Mapping!$D$2:$D$99,0))</f>
        <v>1</v>
      </c>
      <c r="K66" s="8" t="n">
        <f aca="false">INDEX(Mapping!$C$2:$C$99,MATCH(K$1&amp;"|"&amp;Customers!K66,Mapping!$D$2:$D$99,0))</f>
        <v>3</v>
      </c>
      <c r="L66" s="8" t="n">
        <f aca="false">INDEX(Mapping!$C$2:$C$99,MATCH(L$1&amp;"|"&amp;Customers!L66,Mapping!$D$2:$D$99,0))</f>
        <v>3</v>
      </c>
      <c r="M66" s="8" t="n">
        <f aca="false">INDEX(Mapping!$C$2:$C$99,MATCH(M$1&amp;"|"&amp;Customers!M66,Mapping!$D$2:$D$99,0))</f>
        <v>2</v>
      </c>
      <c r="N66" s="8" t="n">
        <f aca="false">INDEX(Mapping!$C$2:$C$99,MATCH(N$1&amp;"|"&amp;Customers!N66,Mapping!$D$2:$D$99,0))</f>
        <v>2</v>
      </c>
      <c r="O66" s="8" t="n">
        <f aca="false">INDEX(Mapping!$C$2:$C$99,MATCH(O$1&amp;"|"&amp;Customers!O66,Mapping!$D$2:$D$99,0))</f>
        <v>3</v>
      </c>
      <c r="P66" s="8" t="n">
        <f aca="false">INDEX(Mapping!$C$2:$C$99,MATCH(P$1&amp;"|"&amp;Customers!P66,Mapping!$D$2:$D$99,0))</f>
        <v>3</v>
      </c>
      <c r="Q66" s="8" t="n">
        <f aca="false">INDEX(Mapping!$C$2:$C$99,MATCH(Q$1&amp;"|"&amp;Customers!Q66,Mapping!$D$2:$D$99,0))</f>
        <v>1</v>
      </c>
      <c r="R66" s="8" t="n">
        <f aca="false">INDEX(Mapping!$C$2:$C$99,MATCH(R$1&amp;"|"&amp;Customers!R66,Mapping!$D$2:$D$99,0))</f>
        <v>1</v>
      </c>
      <c r="S66" s="8" t="n">
        <f aca="false">INDEX(Mapping!$C$2:$C$99,MATCH(S$1&amp;"|"&amp;Customers!S66,Mapping!$D$2:$D$99,0))</f>
        <v>2</v>
      </c>
      <c r="T66" s="8" t="n">
        <f aca="false">INDEX(Mapping!$C$2:$C$99,MATCH(T$1&amp;"|"&amp;Customers!T66,Mapping!$D$2:$D$99,0))</f>
        <v>2</v>
      </c>
      <c r="U66" s="8" t="n">
        <f aca="false">INDEX(Mapping!$C$2:$C$99,MATCH(U$1&amp;"|"&amp;Customers!U66,Mapping!$D$2:$D$99,0))</f>
        <v>1</v>
      </c>
      <c r="V66" s="8" t="n">
        <f aca="false">INDEX(Mapping!$C$2:$C$99,MATCH(V$1&amp;"|"&amp;Customers!V66,Mapping!$D$2:$D$99,0))</f>
        <v>1</v>
      </c>
      <c r="W66" s="17" t="n">
        <f aca="false">SUMPRODUCT($C66:$V66,Weights!$C$27:$V$27)</f>
        <v>1.555</v>
      </c>
      <c r="X66" s="18" t="n">
        <f aca="false">ROUND($W66,2)</f>
        <v>1.56</v>
      </c>
      <c r="Y66" s="8" t="str">
        <f aca="false">IF($X66&lt;=2,"Low",IF($X66&lt;=3.49,"Medium","High"))</f>
        <v>Low</v>
      </c>
      <c r="Z66" s="8" t="str">
        <f aca="false">IF(OR($F66&gt;=3,$E66=5,$D66=5,$C66=5,$G66=5,$H66=5,$I66=5,$J66=5,Customers!$W66="Yes"),"Yes","No")</f>
        <v>No</v>
      </c>
      <c r="AA66" s="15" t="str">
        <f aca="false">IF($Z66="Yes","High",$Y66)</f>
        <v>Low</v>
      </c>
      <c r="AB66" s="18" t="n">
        <f aca="false">SUMPRODUCT($C66:$G66,Weights!$C$28:$G$28)</f>
        <v>1</v>
      </c>
      <c r="AC66" s="18" t="n">
        <f aca="false">SUMPRODUCT($H66:$J66,Weights!$H$28:$J$28)</f>
        <v>1</v>
      </c>
      <c r="AD66" s="18" t="n">
        <f aca="false">SUMPRODUCT($K66:$N66,Weights!$K$28:$N$28)</f>
        <v>2.6</v>
      </c>
      <c r="AE66" s="18" t="n">
        <f aca="false">SUMPRODUCT($O66:$Q66,Weights!$O$28:$Q$28)</f>
        <v>2.6</v>
      </c>
      <c r="AF66" s="18" t="n">
        <f aca="false">SUMPRODUCT($R66:$V66,Weights!$R$28:$V$28)</f>
        <v>1.5</v>
      </c>
      <c r="AH66" s="18" t="n">
        <f aca="false">SUMPRODUCT($AB66:$AF66,Validation!$D$7:$H$7)</f>
        <v>1.6342857142857</v>
      </c>
      <c r="AI66" s="18" t="n">
        <f aca="false">SUMPRODUCT($AB66:$AF66,Validation!$D$8:$H$8)</f>
        <v>1.4757142857143</v>
      </c>
      <c r="AJ66" s="18" t="n">
        <f aca="false">SUMPRODUCT($AB66:$AF66,Validation!$D$9:$H$9)</f>
        <v>1.629</v>
      </c>
      <c r="AK66" s="18" t="n">
        <f aca="false">SUMPRODUCT($AB66:$AF66,Validation!$D$10:$H$10)</f>
        <v>1.481</v>
      </c>
      <c r="AL66" s="18" t="n">
        <f aca="false">SUMPRODUCT($AB66:$AF66,Validation!$D$11:$H$11)</f>
        <v>1.424375</v>
      </c>
      <c r="AM66" s="18" t="n">
        <f aca="false">SUMPRODUCT($AB66:$AF66,Validation!$D$12:$H$12)</f>
        <v>1.685625</v>
      </c>
      <c r="AN66" s="18" t="n">
        <f aca="false">SUMPRODUCT($AB66:$AF66,Validation!$D$13:$H$13)</f>
        <v>1.4388888888887</v>
      </c>
      <c r="AO66" s="18" t="n">
        <f aca="false">SUMPRODUCT($AB66:$AF66,Validation!$D$14:$H$14)</f>
        <v>1.6711111111113</v>
      </c>
      <c r="AP66" s="18" t="n">
        <f aca="false">SUMPRODUCT($AB66:$AF66,Validation!$D$15:$H$15)</f>
        <v>1.5614705882352</v>
      </c>
      <c r="AQ66" s="18" t="n">
        <f aca="false">SUMPRODUCT($AB66:$AF66,Validation!$D$16:$H$16)</f>
        <v>1.5485294117648</v>
      </c>
      <c r="AR66" s="8" t="n">
        <f aca="false">COUNTIF($C66:$V66,"&gt;=4")</f>
        <v>0</v>
      </c>
      <c r="AS66" s="8" t="str">
        <f aca="false">IF($X66&lt;=1.6,"Low",IF($X66&lt;=2.2,"Medium","High"))</f>
        <v>Low</v>
      </c>
      <c r="AT66" s="8" t="str">
        <f aca="false">IF($AR66=0,"Low",IF($AR66&lt;3,"Medium","High"))</f>
        <v>Low</v>
      </c>
      <c r="AU66" s="8" t="str">
        <f aca="false">IF(OR($AS66="High",$AT66="High"),"High",IF(OR($AS66="Medium",$AT66="Medium"),"Medium","Low"))</f>
        <v>Low</v>
      </c>
      <c r="AV66" s="15" t="str">
        <f aca="false">IF($Z66="Yes","High",$AU66)</f>
        <v>Low</v>
      </c>
    </row>
    <row r="67" customFormat="false" ht="15" hidden="false" customHeight="false" outlineLevel="0" collapsed="false">
      <c r="A67" s="7" t="str">
        <f aca="false">Customers!$A67</f>
        <v>NG-10234</v>
      </c>
      <c r="B67" s="7" t="str">
        <f aca="false">Customers!$B67</f>
        <v>Personal</v>
      </c>
      <c r="C67" s="8" t="n">
        <f aca="false">INDEX(Mapping!$C$2:$C$99,MATCH(C$1&amp;"|"&amp;Customers!C67,Mapping!$D$2:$D$99,0))</f>
        <v>1</v>
      </c>
      <c r="D67" s="8" t="n">
        <f aca="false">INDEX(Mapping!$C$2:$C$99,MATCH(D$1&amp;"|"&amp;Customers!D67,Mapping!$D$2:$D$99,0))</f>
        <v>1</v>
      </c>
      <c r="E67" s="8" t="n">
        <f aca="false">INDEX(Mapping!$C$2:$C$99,MATCH(E$1&amp;"|"&amp;Customers!E67,Mapping!$D$2:$D$99,0))</f>
        <v>3</v>
      </c>
      <c r="F67" s="8" t="n">
        <f aca="false">INDEX(Mapping!$C$2:$C$99,MATCH(F$1&amp;"|"&amp;Customers!F67,Mapping!$D$2:$D$99,0))</f>
        <v>1</v>
      </c>
      <c r="G67" s="8" t="n">
        <f aca="false">INDEX(Mapping!$C$2:$C$99,MATCH(G$1&amp;"|"&amp;Customers!G67,Mapping!$D$2:$D$99,0))</f>
        <v>1</v>
      </c>
      <c r="H67" s="8" t="n">
        <f aca="false">INDEX(Mapping!$C$2:$C$99,MATCH(H$1&amp;"|"&amp;Customers!H67,Mapping!$D$2:$D$99,0))</f>
        <v>1</v>
      </c>
      <c r="I67" s="8" t="n">
        <f aca="false">INDEX(Mapping!$C$2:$C$99,MATCH(I$1&amp;"|"&amp;Customers!I67,Mapping!$D$2:$D$99,0))</f>
        <v>1</v>
      </c>
      <c r="J67" s="8" t="n">
        <f aca="false">INDEX(Mapping!$C$2:$C$99,MATCH(J$1&amp;"|"&amp;Customers!J67,Mapping!$D$2:$D$99,0))</f>
        <v>1</v>
      </c>
      <c r="K67" s="8" t="n">
        <f aca="false">INDEX(Mapping!$C$2:$C$99,MATCH(K$1&amp;"|"&amp;Customers!K67,Mapping!$D$2:$D$99,0))</f>
        <v>2</v>
      </c>
      <c r="L67" s="8" t="n">
        <f aca="false">INDEX(Mapping!$C$2:$C$99,MATCH(L$1&amp;"|"&amp;Customers!L67,Mapping!$D$2:$D$99,0))</f>
        <v>3</v>
      </c>
      <c r="M67" s="8" t="n">
        <f aca="false">INDEX(Mapping!$C$2:$C$99,MATCH(M$1&amp;"|"&amp;Customers!M67,Mapping!$D$2:$D$99,0))</f>
        <v>2</v>
      </c>
      <c r="N67" s="8" t="n">
        <f aca="false">INDEX(Mapping!$C$2:$C$99,MATCH(N$1&amp;"|"&amp;Customers!N67,Mapping!$D$2:$D$99,0))</f>
        <v>2</v>
      </c>
      <c r="O67" s="8" t="n">
        <f aca="false">INDEX(Mapping!$C$2:$C$99,MATCH(O$1&amp;"|"&amp;Customers!O67,Mapping!$D$2:$D$99,0))</f>
        <v>3</v>
      </c>
      <c r="P67" s="8" t="n">
        <f aca="false">INDEX(Mapping!$C$2:$C$99,MATCH(P$1&amp;"|"&amp;Customers!P67,Mapping!$D$2:$D$99,0))</f>
        <v>4</v>
      </c>
      <c r="Q67" s="8" t="n">
        <f aca="false">INDEX(Mapping!$C$2:$C$99,MATCH(Q$1&amp;"|"&amp;Customers!Q67,Mapping!$D$2:$D$99,0))</f>
        <v>1</v>
      </c>
      <c r="R67" s="8" t="n">
        <f aca="false">INDEX(Mapping!$C$2:$C$99,MATCH(R$1&amp;"|"&amp;Customers!R67,Mapping!$D$2:$D$99,0))</f>
        <v>2</v>
      </c>
      <c r="S67" s="8" t="n">
        <f aca="false">INDEX(Mapping!$C$2:$C$99,MATCH(S$1&amp;"|"&amp;Customers!S67,Mapping!$D$2:$D$99,0))</f>
        <v>2</v>
      </c>
      <c r="T67" s="8" t="n">
        <f aca="false">INDEX(Mapping!$C$2:$C$99,MATCH(T$1&amp;"|"&amp;Customers!T67,Mapping!$D$2:$D$99,0))</f>
        <v>2</v>
      </c>
      <c r="U67" s="8" t="n">
        <f aca="false">INDEX(Mapping!$C$2:$C$99,MATCH(U$1&amp;"|"&amp;Customers!U67,Mapping!$D$2:$D$99,0))</f>
        <v>1</v>
      </c>
      <c r="V67" s="8" t="n">
        <f aca="false">INDEX(Mapping!$C$2:$C$99,MATCH(V$1&amp;"|"&amp;Customers!V67,Mapping!$D$2:$D$99,0))</f>
        <v>1</v>
      </c>
      <c r="W67" s="17" t="n">
        <f aca="false">SUMPRODUCT($C67:$V67,Weights!$C$27:$V$27)</f>
        <v>1.7075</v>
      </c>
      <c r="X67" s="18" t="n">
        <f aca="false">ROUND($W67,2)</f>
        <v>1.71</v>
      </c>
      <c r="Y67" s="8" t="str">
        <f aca="false">IF($X67&lt;=2,"Low",IF($X67&lt;=3.49,"Medium","High"))</f>
        <v>Low</v>
      </c>
      <c r="Z67" s="8" t="str">
        <f aca="false">IF(OR($F67&gt;=3,$E67=5,$D67=5,$C67=5,$G67=5,$H67=5,$I67=5,$J67=5,Customers!$W67="Yes"),"Yes","No")</f>
        <v>No</v>
      </c>
      <c r="AA67" s="15" t="str">
        <f aca="false">IF($Z67="Yes","High",$Y67)</f>
        <v>Low</v>
      </c>
      <c r="AB67" s="18" t="n">
        <f aca="false">SUMPRODUCT($C67:$G67,Weights!$C$28:$G$28)</f>
        <v>1.5</v>
      </c>
      <c r="AC67" s="18" t="n">
        <f aca="false">SUMPRODUCT($H67:$J67,Weights!$H$28:$J$28)</f>
        <v>1</v>
      </c>
      <c r="AD67" s="18" t="n">
        <f aca="false">SUMPRODUCT($K67:$N67,Weights!$K$28:$N$28)</f>
        <v>2.25</v>
      </c>
      <c r="AE67" s="18" t="n">
        <f aca="false">SUMPRODUCT($O67:$Q67,Weights!$O$28:$Q$28)</f>
        <v>2.95</v>
      </c>
      <c r="AF67" s="18" t="n">
        <f aca="false">SUMPRODUCT($R67:$V67,Weights!$R$28:$V$28)</f>
        <v>1.75</v>
      </c>
      <c r="AH67" s="18" t="n">
        <f aca="false">SUMPRODUCT($AB67:$AF67,Validation!$D$7:$H$7)</f>
        <v>1.7371428571432</v>
      </c>
      <c r="AI67" s="18" t="n">
        <f aca="false">SUMPRODUCT($AB67:$AF67,Validation!$D$8:$H$8)</f>
        <v>1.6778571428568</v>
      </c>
      <c r="AJ67" s="18" t="n">
        <f aca="false">SUMPRODUCT($AB67:$AF67,Validation!$D$9:$H$9)</f>
        <v>1.8018333333331</v>
      </c>
      <c r="AK67" s="18" t="n">
        <f aca="false">SUMPRODUCT($AB67:$AF67,Validation!$D$10:$H$10)</f>
        <v>1.6131666666669</v>
      </c>
      <c r="AL67" s="18" t="n">
        <f aca="false">SUMPRODUCT($AB67:$AF67,Validation!$D$11:$H$11)</f>
        <v>1.6396875</v>
      </c>
      <c r="AM67" s="18" t="n">
        <f aca="false">SUMPRODUCT($AB67:$AF67,Validation!$D$12:$H$12)</f>
        <v>1.7753125</v>
      </c>
      <c r="AN67" s="18" t="n">
        <f aca="false">SUMPRODUCT($AB67:$AF67,Validation!$D$13:$H$13)</f>
        <v>1.56944444444425</v>
      </c>
      <c r="AO67" s="18" t="n">
        <f aca="false">SUMPRODUCT($AB67:$AF67,Validation!$D$14:$H$14)</f>
        <v>1.84555555555575</v>
      </c>
      <c r="AP67" s="18" t="n">
        <f aca="false">SUMPRODUCT($AB67:$AF67,Validation!$D$15:$H$15)</f>
        <v>1.70249999999965</v>
      </c>
      <c r="AQ67" s="18" t="n">
        <f aca="false">SUMPRODUCT($AB67:$AF67,Validation!$D$16:$H$16)</f>
        <v>1.71250000000035</v>
      </c>
      <c r="AR67" s="8" t="n">
        <f aca="false">COUNTIF($C67:$V67,"&gt;=4")</f>
        <v>1</v>
      </c>
      <c r="AS67" s="8" t="str">
        <f aca="false">IF($X67&lt;=1.6,"Low",IF($X67&lt;=2.2,"Medium","High"))</f>
        <v>Medium</v>
      </c>
      <c r="AT67" s="8" t="str">
        <f aca="false">IF($AR67=0,"Low",IF($AR67&lt;3,"Medium","High"))</f>
        <v>Medium</v>
      </c>
      <c r="AU67" s="8" t="str">
        <f aca="false">IF(OR($AS67="High",$AT67="High"),"High",IF(OR($AS67="Medium",$AT67="Medium"),"Medium","Low"))</f>
        <v>Medium</v>
      </c>
      <c r="AV67" s="15" t="str">
        <f aca="false">IF($Z67="Yes","High",$AU67)</f>
        <v>Medium</v>
      </c>
    </row>
    <row r="68" customFormat="false" ht="15" hidden="false" customHeight="false" outlineLevel="0" collapsed="false">
      <c r="A68" s="7" t="str">
        <f aca="false">Customers!$A68</f>
        <v>NG-10325</v>
      </c>
      <c r="B68" s="7" t="str">
        <f aca="false">Customers!$B68</f>
        <v>Sole trader</v>
      </c>
      <c r="C68" s="8" t="n">
        <f aca="false">INDEX(Mapping!$C$2:$C$99,MATCH(C$1&amp;"|"&amp;Customers!C68,Mapping!$D$2:$D$99,0))</f>
        <v>2</v>
      </c>
      <c r="D68" s="8" t="n">
        <f aca="false">INDEX(Mapping!$C$2:$C$99,MATCH(D$1&amp;"|"&amp;Customers!D68,Mapping!$D$2:$D$99,0))</f>
        <v>1</v>
      </c>
      <c r="E68" s="8" t="n">
        <f aca="false">INDEX(Mapping!$C$2:$C$99,MATCH(E$1&amp;"|"&amp;Customers!E68,Mapping!$D$2:$D$99,0))</f>
        <v>2</v>
      </c>
      <c r="F68" s="8" t="n">
        <f aca="false">INDEX(Mapping!$C$2:$C$99,MATCH(F$1&amp;"|"&amp;Customers!F68,Mapping!$D$2:$D$99,0))</f>
        <v>1</v>
      </c>
      <c r="G68" s="8" t="n">
        <f aca="false">INDEX(Mapping!$C$2:$C$99,MATCH(G$1&amp;"|"&amp;Customers!G68,Mapping!$D$2:$D$99,0))</f>
        <v>1</v>
      </c>
      <c r="H68" s="8" t="n">
        <f aca="false">INDEX(Mapping!$C$2:$C$99,MATCH(H$1&amp;"|"&amp;Customers!H68,Mapping!$D$2:$D$99,0))</f>
        <v>1</v>
      </c>
      <c r="I68" s="8" t="n">
        <f aca="false">INDEX(Mapping!$C$2:$C$99,MATCH(I$1&amp;"|"&amp;Customers!I68,Mapping!$D$2:$D$99,0))</f>
        <v>1</v>
      </c>
      <c r="J68" s="8" t="n">
        <f aca="false">INDEX(Mapping!$C$2:$C$99,MATCH(J$1&amp;"|"&amp;Customers!J68,Mapping!$D$2:$D$99,0))</f>
        <v>2</v>
      </c>
      <c r="K68" s="8" t="n">
        <f aca="false">INDEX(Mapping!$C$2:$C$99,MATCH(K$1&amp;"|"&amp;Customers!K68,Mapping!$D$2:$D$99,0))</f>
        <v>5</v>
      </c>
      <c r="L68" s="8" t="n">
        <f aca="false">INDEX(Mapping!$C$2:$C$99,MATCH(L$1&amp;"|"&amp;Customers!L68,Mapping!$D$2:$D$99,0))</f>
        <v>4</v>
      </c>
      <c r="M68" s="8" t="n">
        <f aca="false">INDEX(Mapping!$C$2:$C$99,MATCH(M$1&amp;"|"&amp;Customers!M68,Mapping!$D$2:$D$99,0))</f>
        <v>3</v>
      </c>
      <c r="N68" s="8" t="n">
        <f aca="false">INDEX(Mapping!$C$2:$C$99,MATCH(N$1&amp;"|"&amp;Customers!N68,Mapping!$D$2:$D$99,0))</f>
        <v>2</v>
      </c>
      <c r="O68" s="8" t="n">
        <f aca="false">INDEX(Mapping!$C$2:$C$99,MATCH(O$1&amp;"|"&amp;Customers!O68,Mapping!$D$2:$D$99,0))</f>
        <v>1</v>
      </c>
      <c r="P68" s="8" t="n">
        <f aca="false">INDEX(Mapping!$C$2:$C$99,MATCH(P$1&amp;"|"&amp;Customers!P68,Mapping!$D$2:$D$99,0))</f>
        <v>4</v>
      </c>
      <c r="Q68" s="8" t="n">
        <f aca="false">INDEX(Mapping!$C$2:$C$99,MATCH(Q$1&amp;"|"&amp;Customers!Q68,Mapping!$D$2:$D$99,0))</f>
        <v>1</v>
      </c>
      <c r="R68" s="8" t="n">
        <f aca="false">INDEX(Mapping!$C$2:$C$99,MATCH(R$1&amp;"|"&amp;Customers!R68,Mapping!$D$2:$D$99,0))</f>
        <v>4</v>
      </c>
      <c r="S68" s="8" t="n">
        <f aca="false">INDEX(Mapping!$C$2:$C$99,MATCH(S$1&amp;"|"&amp;Customers!S68,Mapping!$D$2:$D$99,0))</f>
        <v>4</v>
      </c>
      <c r="T68" s="8" t="n">
        <f aca="false">INDEX(Mapping!$C$2:$C$99,MATCH(T$1&amp;"|"&amp;Customers!T68,Mapping!$D$2:$D$99,0))</f>
        <v>1</v>
      </c>
      <c r="U68" s="8" t="n">
        <f aca="false">INDEX(Mapping!$C$2:$C$99,MATCH(U$1&amp;"|"&amp;Customers!U68,Mapping!$D$2:$D$99,0))</f>
        <v>3</v>
      </c>
      <c r="V68" s="8" t="n">
        <f aca="false">INDEX(Mapping!$C$2:$C$99,MATCH(V$1&amp;"|"&amp;Customers!V68,Mapping!$D$2:$D$99,0))</f>
        <v>1</v>
      </c>
      <c r="W68" s="17" t="n">
        <f aca="false">SUMPRODUCT($C68:$V68,Weights!$C$27:$V$27)</f>
        <v>2.1925</v>
      </c>
      <c r="X68" s="18" t="n">
        <f aca="false">ROUND($W68,2)</f>
        <v>2.19</v>
      </c>
      <c r="Y68" s="8" t="str">
        <f aca="false">IF($X68&lt;=2,"Low",IF($X68&lt;=3.49,"Medium","High"))</f>
        <v>Medium</v>
      </c>
      <c r="Z68" s="8" t="str">
        <f aca="false">IF(OR($F68&gt;=3,$E68=5,$D68=5,$C68=5,$G68=5,$H68=5,$I68=5,$J68=5,Customers!$W68="Yes"),"Yes","No")</f>
        <v>No</v>
      </c>
      <c r="AA68" s="15" t="str">
        <f aca="false">IF($Z68="Yes","High",$Y68)</f>
        <v>Medium</v>
      </c>
      <c r="AB68" s="18" t="n">
        <f aca="false">SUMPRODUCT($C68:$G68,Weights!$C$28:$G$28)</f>
        <v>1.45</v>
      </c>
      <c r="AC68" s="18" t="n">
        <f aca="false">SUMPRODUCT($H68:$J68,Weights!$H$28:$J$28)</f>
        <v>1.4</v>
      </c>
      <c r="AD68" s="18" t="n">
        <f aca="false">SUMPRODUCT($K68:$N68,Weights!$K$28:$N$28)</f>
        <v>3.8</v>
      </c>
      <c r="AE68" s="18" t="n">
        <f aca="false">SUMPRODUCT($O68:$Q68,Weights!$O$28:$Q$28)</f>
        <v>2.05</v>
      </c>
      <c r="AF68" s="18" t="n">
        <f aca="false">SUMPRODUCT($R68:$V68,Weights!$R$28:$V$28)</f>
        <v>2.95</v>
      </c>
      <c r="AH68" s="18" t="n">
        <f aca="false">SUMPRODUCT($AB68:$AF68,Validation!$D$7:$H$7)</f>
        <v>2.29857142857125</v>
      </c>
      <c r="AI68" s="18" t="n">
        <f aca="false">SUMPRODUCT($AB68:$AF68,Validation!$D$8:$H$8)</f>
        <v>2.08642857142875</v>
      </c>
      <c r="AJ68" s="18" t="n">
        <f aca="false">SUMPRODUCT($AB68:$AF68,Validation!$D$9:$H$9)</f>
        <v>2.29816666666725</v>
      </c>
      <c r="AK68" s="18" t="n">
        <f aca="false">SUMPRODUCT($AB68:$AF68,Validation!$D$10:$H$10)</f>
        <v>2.08683333333275</v>
      </c>
      <c r="AL68" s="18" t="n">
        <f aca="false">SUMPRODUCT($AB68:$AF68,Validation!$D$11:$H$11)</f>
        <v>1.9915625</v>
      </c>
      <c r="AM68" s="18" t="n">
        <f aca="false">SUMPRODUCT($AB68:$AF68,Validation!$D$12:$H$12)</f>
        <v>2.3934375</v>
      </c>
      <c r="AN68" s="18" t="n">
        <f aca="false">SUMPRODUCT($AB68:$AF68,Validation!$D$13:$H$13)</f>
        <v>2.2083333333333</v>
      </c>
      <c r="AO68" s="18" t="n">
        <f aca="false">SUMPRODUCT($AB68:$AF68,Validation!$D$14:$H$14)</f>
        <v>2.1766666666667</v>
      </c>
      <c r="AP68" s="18" t="n">
        <f aca="false">SUMPRODUCT($AB68:$AF68,Validation!$D$15:$H$15)</f>
        <v>2.10338235294165</v>
      </c>
      <c r="AQ68" s="18" t="n">
        <f aca="false">SUMPRODUCT($AB68:$AF68,Validation!$D$16:$H$16)</f>
        <v>2.28161764705835</v>
      </c>
      <c r="AR68" s="8" t="n">
        <f aca="false">COUNTIF($C68:$V68,"&gt;=4")</f>
        <v>5</v>
      </c>
      <c r="AS68" s="8" t="str">
        <f aca="false">IF($X68&lt;=1.6,"Low",IF($X68&lt;=2.2,"Medium","High"))</f>
        <v>Medium</v>
      </c>
      <c r="AT68" s="8" t="str">
        <f aca="false">IF($AR68=0,"Low",IF($AR68&lt;3,"Medium","High"))</f>
        <v>High</v>
      </c>
      <c r="AU68" s="8" t="str">
        <f aca="false">IF(OR($AS68="High",$AT68="High"),"High",IF(OR($AS68="Medium",$AT68="Medium"),"Medium","Low"))</f>
        <v>High</v>
      </c>
      <c r="AV68" s="15" t="str">
        <f aca="false">IF($Z68="Yes","High",$AU68)</f>
        <v>High</v>
      </c>
    </row>
    <row r="69" customFormat="false" ht="15" hidden="false" customHeight="false" outlineLevel="0" collapsed="false">
      <c r="A69" s="7" t="str">
        <f aca="false">Customers!$A69</f>
        <v>NG-10184</v>
      </c>
      <c r="B69" s="7" t="str">
        <f aca="false">Customers!$B69</f>
        <v>Personal</v>
      </c>
      <c r="C69" s="8" t="n">
        <f aca="false">INDEX(Mapping!$C$2:$C$99,MATCH(C$1&amp;"|"&amp;Customers!C69,Mapping!$D$2:$D$99,0))</f>
        <v>2</v>
      </c>
      <c r="D69" s="8" t="n">
        <f aca="false">INDEX(Mapping!$C$2:$C$99,MATCH(D$1&amp;"|"&amp;Customers!D69,Mapping!$D$2:$D$99,0))</f>
        <v>1</v>
      </c>
      <c r="E69" s="8" t="n">
        <f aca="false">INDEX(Mapping!$C$2:$C$99,MATCH(E$1&amp;"|"&amp;Customers!E69,Mapping!$D$2:$D$99,0))</f>
        <v>3</v>
      </c>
      <c r="F69" s="8" t="n">
        <f aca="false">INDEX(Mapping!$C$2:$C$99,MATCH(F$1&amp;"|"&amp;Customers!F69,Mapping!$D$2:$D$99,0))</f>
        <v>1</v>
      </c>
      <c r="G69" s="8" t="n">
        <f aca="false">INDEX(Mapping!$C$2:$C$99,MATCH(G$1&amp;"|"&amp;Customers!G69,Mapping!$D$2:$D$99,0))</f>
        <v>1</v>
      </c>
      <c r="H69" s="8" t="n">
        <f aca="false">INDEX(Mapping!$C$2:$C$99,MATCH(H$1&amp;"|"&amp;Customers!H69,Mapping!$D$2:$D$99,0))</f>
        <v>1</v>
      </c>
      <c r="I69" s="8" t="n">
        <f aca="false">INDEX(Mapping!$C$2:$C$99,MATCH(I$1&amp;"|"&amp;Customers!I69,Mapping!$D$2:$D$99,0))</f>
        <v>1</v>
      </c>
      <c r="J69" s="8" t="n">
        <f aca="false">INDEX(Mapping!$C$2:$C$99,MATCH(J$1&amp;"|"&amp;Customers!J69,Mapping!$D$2:$D$99,0))</f>
        <v>2</v>
      </c>
      <c r="K69" s="8" t="n">
        <f aca="false">INDEX(Mapping!$C$2:$C$99,MATCH(K$1&amp;"|"&amp;Customers!K69,Mapping!$D$2:$D$99,0))</f>
        <v>3</v>
      </c>
      <c r="L69" s="8" t="n">
        <f aca="false">INDEX(Mapping!$C$2:$C$99,MATCH(L$1&amp;"|"&amp;Customers!L69,Mapping!$D$2:$D$99,0))</f>
        <v>2</v>
      </c>
      <c r="M69" s="8" t="n">
        <f aca="false">INDEX(Mapping!$C$2:$C$99,MATCH(M$1&amp;"|"&amp;Customers!M69,Mapping!$D$2:$D$99,0))</f>
        <v>1</v>
      </c>
      <c r="N69" s="8" t="n">
        <f aca="false">INDEX(Mapping!$C$2:$C$99,MATCH(N$1&amp;"|"&amp;Customers!N69,Mapping!$D$2:$D$99,0))</f>
        <v>1</v>
      </c>
      <c r="O69" s="8" t="n">
        <f aca="false">INDEX(Mapping!$C$2:$C$99,MATCH(O$1&amp;"|"&amp;Customers!O69,Mapping!$D$2:$D$99,0))</f>
        <v>3</v>
      </c>
      <c r="P69" s="8" t="n">
        <f aca="false">INDEX(Mapping!$C$2:$C$99,MATCH(P$1&amp;"|"&amp;Customers!P69,Mapping!$D$2:$D$99,0))</f>
        <v>3</v>
      </c>
      <c r="Q69" s="8" t="n">
        <f aca="false">INDEX(Mapping!$C$2:$C$99,MATCH(Q$1&amp;"|"&amp;Customers!Q69,Mapping!$D$2:$D$99,0))</f>
        <v>1</v>
      </c>
      <c r="R69" s="8" t="n">
        <f aca="false">INDEX(Mapping!$C$2:$C$99,MATCH(R$1&amp;"|"&amp;Customers!R69,Mapping!$D$2:$D$99,0))</f>
        <v>2</v>
      </c>
      <c r="S69" s="8" t="n">
        <f aca="false">INDEX(Mapping!$C$2:$C$99,MATCH(S$1&amp;"|"&amp;Customers!S69,Mapping!$D$2:$D$99,0))</f>
        <v>1</v>
      </c>
      <c r="T69" s="8" t="n">
        <f aca="false">INDEX(Mapping!$C$2:$C$99,MATCH(T$1&amp;"|"&amp;Customers!T69,Mapping!$D$2:$D$99,0))</f>
        <v>1</v>
      </c>
      <c r="U69" s="8" t="n">
        <f aca="false">INDEX(Mapping!$C$2:$C$99,MATCH(U$1&amp;"|"&amp;Customers!U69,Mapping!$D$2:$D$99,0))</f>
        <v>1</v>
      </c>
      <c r="V69" s="8" t="n">
        <f aca="false">INDEX(Mapping!$C$2:$C$99,MATCH(V$1&amp;"|"&amp;Customers!V69,Mapping!$D$2:$D$99,0))</f>
        <v>1</v>
      </c>
      <c r="W69" s="17" t="n">
        <f aca="false">SUMPRODUCT($C69:$V69,Weights!$C$27:$V$27)</f>
        <v>1.6975</v>
      </c>
      <c r="X69" s="18" t="n">
        <f aca="false">ROUND($W69,2)</f>
        <v>1.7</v>
      </c>
      <c r="Y69" s="8" t="str">
        <f aca="false">IF($X69&lt;=2,"Low",IF($X69&lt;=3.49,"Medium","High"))</f>
        <v>Low</v>
      </c>
      <c r="Z69" s="8" t="str">
        <f aca="false">IF(OR($F69&gt;=3,$E69=5,$D69=5,$C69=5,$G69=5,$H69=5,$I69=5,$J69=5,Customers!$W69="Yes"),"Yes","No")</f>
        <v>No</v>
      </c>
      <c r="AA69" s="15" t="str">
        <f aca="false">IF($Z69="Yes","High",$Y69)</f>
        <v>Low</v>
      </c>
      <c r="AB69" s="18" t="n">
        <f aca="false">SUMPRODUCT($C69:$G69,Weights!$C$28:$G$28)</f>
        <v>1.7</v>
      </c>
      <c r="AC69" s="18" t="n">
        <f aca="false">SUMPRODUCT($H69:$J69,Weights!$H$28:$J$28)</f>
        <v>1.4</v>
      </c>
      <c r="AD69" s="18" t="n">
        <f aca="false">SUMPRODUCT($K69:$N69,Weights!$K$28:$N$28)</f>
        <v>1.95</v>
      </c>
      <c r="AE69" s="18" t="n">
        <f aca="false">SUMPRODUCT($O69:$Q69,Weights!$O$28:$Q$28)</f>
        <v>2.6</v>
      </c>
      <c r="AF69" s="18" t="n">
        <f aca="false">SUMPRODUCT($R69:$V69,Weights!$R$28:$V$28)</f>
        <v>1.25</v>
      </c>
      <c r="AH69" s="18" t="n">
        <f aca="false">SUMPRODUCT($AB69:$AF69,Validation!$D$7:$H$7)</f>
        <v>1.6971428571429</v>
      </c>
      <c r="AI69" s="18" t="n">
        <f aca="false">SUMPRODUCT($AB69:$AF69,Validation!$D$8:$H$8)</f>
        <v>1.6978571428571</v>
      </c>
      <c r="AJ69" s="18" t="n">
        <f aca="false">SUMPRODUCT($AB69:$AF69,Validation!$D$9:$H$9)</f>
        <v>1.73716666666645</v>
      </c>
      <c r="AK69" s="18" t="n">
        <f aca="false">SUMPRODUCT($AB69:$AF69,Validation!$D$10:$H$10)</f>
        <v>1.65783333333355</v>
      </c>
      <c r="AL69" s="18" t="n">
        <f aca="false">SUMPRODUCT($AB69:$AF69,Validation!$D$11:$H$11)</f>
        <v>1.6659375</v>
      </c>
      <c r="AM69" s="18" t="n">
        <f aca="false">SUMPRODUCT($AB69:$AF69,Validation!$D$12:$H$12)</f>
        <v>1.7290625</v>
      </c>
      <c r="AN69" s="18" t="n">
        <f aca="false">SUMPRODUCT($AB69:$AF69,Validation!$D$13:$H$13)</f>
        <v>1.59722222222195</v>
      </c>
      <c r="AO69" s="18" t="n">
        <f aca="false">SUMPRODUCT($AB69:$AF69,Validation!$D$14:$H$14)</f>
        <v>1.79777777777805</v>
      </c>
      <c r="AP69" s="18" t="n">
        <f aca="false">SUMPRODUCT($AB69:$AF69,Validation!$D$15:$H$15)</f>
        <v>1.75014705882325</v>
      </c>
      <c r="AQ69" s="18" t="n">
        <f aca="false">SUMPRODUCT($AB69:$AF69,Validation!$D$16:$H$16)</f>
        <v>1.64485294117675</v>
      </c>
      <c r="AR69" s="8" t="n">
        <f aca="false">COUNTIF($C69:$V69,"&gt;=4")</f>
        <v>0</v>
      </c>
      <c r="AS69" s="8" t="str">
        <f aca="false">IF($X69&lt;=1.6,"Low",IF($X69&lt;=2.2,"Medium","High"))</f>
        <v>Medium</v>
      </c>
      <c r="AT69" s="8" t="str">
        <f aca="false">IF($AR69=0,"Low",IF($AR69&lt;3,"Medium","High"))</f>
        <v>Low</v>
      </c>
      <c r="AU69" s="8" t="str">
        <f aca="false">IF(OR($AS69="High",$AT69="High"),"High",IF(OR($AS69="Medium",$AT69="Medium"),"Medium","Low"))</f>
        <v>Medium</v>
      </c>
      <c r="AV69" s="15" t="str">
        <f aca="false">IF($Z69="Yes","High",$AU69)</f>
        <v>Medium</v>
      </c>
    </row>
    <row r="70" customFormat="false" ht="15" hidden="false" customHeight="false" outlineLevel="0" collapsed="false">
      <c r="A70" s="7" t="str">
        <f aca="false">Customers!$A70</f>
        <v>NG-10069</v>
      </c>
      <c r="B70" s="7" t="str">
        <f aca="false">Customers!$B70</f>
        <v>Personal</v>
      </c>
      <c r="C70" s="8" t="n">
        <f aca="false">INDEX(Mapping!$C$2:$C$99,MATCH(C$1&amp;"|"&amp;Customers!C70,Mapping!$D$2:$D$99,0))</f>
        <v>1</v>
      </c>
      <c r="D70" s="8" t="n">
        <f aca="false">INDEX(Mapping!$C$2:$C$99,MATCH(D$1&amp;"|"&amp;Customers!D70,Mapping!$D$2:$D$99,0))</f>
        <v>1</v>
      </c>
      <c r="E70" s="8" t="n">
        <f aca="false">INDEX(Mapping!$C$2:$C$99,MATCH(E$1&amp;"|"&amp;Customers!E70,Mapping!$D$2:$D$99,0))</f>
        <v>3</v>
      </c>
      <c r="F70" s="8" t="n">
        <f aca="false">INDEX(Mapping!$C$2:$C$99,MATCH(F$1&amp;"|"&amp;Customers!F70,Mapping!$D$2:$D$99,0))</f>
        <v>4</v>
      </c>
      <c r="G70" s="8" t="n">
        <f aca="false">INDEX(Mapping!$C$2:$C$99,MATCH(G$1&amp;"|"&amp;Customers!G70,Mapping!$D$2:$D$99,0))</f>
        <v>1</v>
      </c>
      <c r="H70" s="8" t="n">
        <f aca="false">INDEX(Mapping!$C$2:$C$99,MATCH(H$1&amp;"|"&amp;Customers!H70,Mapping!$D$2:$D$99,0))</f>
        <v>1</v>
      </c>
      <c r="I70" s="8" t="n">
        <f aca="false">INDEX(Mapping!$C$2:$C$99,MATCH(I$1&amp;"|"&amp;Customers!I70,Mapping!$D$2:$D$99,0))</f>
        <v>1</v>
      </c>
      <c r="J70" s="8" t="n">
        <f aca="false">INDEX(Mapping!$C$2:$C$99,MATCH(J$1&amp;"|"&amp;Customers!J70,Mapping!$D$2:$D$99,0))</f>
        <v>1</v>
      </c>
      <c r="K70" s="8" t="n">
        <f aca="false">INDEX(Mapping!$C$2:$C$99,MATCH(K$1&amp;"|"&amp;Customers!K70,Mapping!$D$2:$D$99,0))</f>
        <v>1</v>
      </c>
      <c r="L70" s="8" t="n">
        <f aca="false">INDEX(Mapping!$C$2:$C$99,MATCH(L$1&amp;"|"&amp;Customers!L70,Mapping!$D$2:$D$99,0))</f>
        <v>3</v>
      </c>
      <c r="M70" s="8" t="n">
        <f aca="false">INDEX(Mapping!$C$2:$C$99,MATCH(M$1&amp;"|"&amp;Customers!M70,Mapping!$D$2:$D$99,0))</f>
        <v>1</v>
      </c>
      <c r="N70" s="8" t="n">
        <f aca="false">INDEX(Mapping!$C$2:$C$99,MATCH(N$1&amp;"|"&amp;Customers!N70,Mapping!$D$2:$D$99,0))</f>
        <v>1</v>
      </c>
      <c r="O70" s="8" t="n">
        <f aca="false">INDEX(Mapping!$C$2:$C$99,MATCH(O$1&amp;"|"&amp;Customers!O70,Mapping!$D$2:$D$99,0))</f>
        <v>3</v>
      </c>
      <c r="P70" s="8" t="n">
        <f aca="false">INDEX(Mapping!$C$2:$C$99,MATCH(P$1&amp;"|"&amp;Customers!P70,Mapping!$D$2:$D$99,0))</f>
        <v>4</v>
      </c>
      <c r="Q70" s="8" t="n">
        <f aca="false">INDEX(Mapping!$C$2:$C$99,MATCH(Q$1&amp;"|"&amp;Customers!Q70,Mapping!$D$2:$D$99,0))</f>
        <v>1</v>
      </c>
      <c r="R70" s="8" t="n">
        <f aca="false">INDEX(Mapping!$C$2:$C$99,MATCH(R$1&amp;"|"&amp;Customers!R70,Mapping!$D$2:$D$99,0))</f>
        <v>2</v>
      </c>
      <c r="S70" s="8" t="n">
        <f aca="false">INDEX(Mapping!$C$2:$C$99,MATCH(S$1&amp;"|"&amp;Customers!S70,Mapping!$D$2:$D$99,0))</f>
        <v>2</v>
      </c>
      <c r="T70" s="8" t="n">
        <f aca="false">INDEX(Mapping!$C$2:$C$99,MATCH(T$1&amp;"|"&amp;Customers!T70,Mapping!$D$2:$D$99,0))</f>
        <v>1</v>
      </c>
      <c r="U70" s="8" t="n">
        <f aca="false">INDEX(Mapping!$C$2:$C$99,MATCH(U$1&amp;"|"&amp;Customers!U70,Mapping!$D$2:$D$99,0))</f>
        <v>1</v>
      </c>
      <c r="V70" s="8" t="n">
        <f aca="false">INDEX(Mapping!$C$2:$C$99,MATCH(V$1&amp;"|"&amp;Customers!V70,Mapping!$D$2:$D$99,0))</f>
        <v>1</v>
      </c>
      <c r="W70" s="17" t="n">
        <f aca="false">SUMPRODUCT($C70:$V70,Weights!$C$27:$V$27)</f>
        <v>1.7075</v>
      </c>
      <c r="X70" s="18" t="n">
        <f aca="false">ROUND($W70,2)</f>
        <v>1.71</v>
      </c>
      <c r="Y70" s="8" t="str">
        <f aca="false">IF($X70&lt;=2,"Low",IF($X70&lt;=3.49,"Medium","High"))</f>
        <v>Low</v>
      </c>
      <c r="Z70" s="8" t="str">
        <f aca="false">IF(OR($F70&gt;=3,$E70=5,$D70=5,$C70=5,$G70=5,$H70=5,$I70=5,$J70=5,Customers!$W70="Yes"),"Yes","No")</f>
        <v>Yes</v>
      </c>
      <c r="AA70" s="15" t="str">
        <f aca="false">IF($Z70="Yes","High",$Y70)</f>
        <v>High</v>
      </c>
      <c r="AB70" s="18" t="n">
        <f aca="false">SUMPRODUCT($C70:$G70,Weights!$C$28:$G$28)</f>
        <v>2.1</v>
      </c>
      <c r="AC70" s="18" t="n">
        <f aca="false">SUMPRODUCT($H70:$J70,Weights!$H$28:$J$28)</f>
        <v>1</v>
      </c>
      <c r="AD70" s="18" t="n">
        <f aca="false">SUMPRODUCT($K70:$N70,Weights!$K$28:$N$28)</f>
        <v>1.5</v>
      </c>
      <c r="AE70" s="18" t="n">
        <f aca="false">SUMPRODUCT($O70:$Q70,Weights!$O$28:$Q$28)</f>
        <v>2.95</v>
      </c>
      <c r="AF70" s="18" t="n">
        <f aca="false">SUMPRODUCT($R70:$V70,Weights!$R$28:$V$28)</f>
        <v>1.55</v>
      </c>
      <c r="AH70" s="18" t="n">
        <f aca="false">SUMPRODUCT($AB70:$AF70,Validation!$D$7:$H$7)</f>
        <v>1.65142857142915</v>
      </c>
      <c r="AI70" s="18" t="n">
        <f aca="false">SUMPRODUCT($AB70:$AF70,Validation!$D$8:$H$8)</f>
        <v>1.76357142857085</v>
      </c>
      <c r="AJ70" s="18" t="n">
        <f aca="false">SUMPRODUCT($AB70:$AF70,Validation!$D$9:$H$9)</f>
        <v>1.80183333333285</v>
      </c>
      <c r="AK70" s="18" t="n">
        <f aca="false">SUMPRODUCT($AB70:$AF70,Validation!$D$10:$H$10)</f>
        <v>1.61316666666715</v>
      </c>
      <c r="AL70" s="18" t="n">
        <f aca="false">SUMPRODUCT($AB70:$AF70,Validation!$D$11:$H$11)</f>
        <v>1.7334375</v>
      </c>
      <c r="AM70" s="18" t="n">
        <f aca="false">SUMPRODUCT($AB70:$AF70,Validation!$D$12:$H$12)</f>
        <v>1.6815625</v>
      </c>
      <c r="AN70" s="18" t="n">
        <f aca="false">SUMPRODUCT($AB70:$AF70,Validation!$D$13:$H$13)</f>
        <v>1.56944444444415</v>
      </c>
      <c r="AO70" s="18" t="n">
        <f aca="false">SUMPRODUCT($AB70:$AF70,Validation!$D$14:$H$14)</f>
        <v>1.84555555555585</v>
      </c>
      <c r="AP70" s="18" t="n">
        <f aca="false">SUMPRODUCT($AB70:$AF70,Validation!$D$15:$H$15)</f>
        <v>1.7260294117641</v>
      </c>
      <c r="AQ70" s="18" t="n">
        <f aca="false">SUMPRODUCT($AB70:$AF70,Validation!$D$16:$H$16)</f>
        <v>1.6889705882359</v>
      </c>
      <c r="AR70" s="8" t="n">
        <f aca="false">COUNTIF($C70:$V70,"&gt;=4")</f>
        <v>2</v>
      </c>
      <c r="AS70" s="8" t="str">
        <f aca="false">IF($X70&lt;=1.6,"Low",IF($X70&lt;=2.2,"Medium","High"))</f>
        <v>Medium</v>
      </c>
      <c r="AT70" s="8" t="str">
        <f aca="false">IF($AR70=0,"Low",IF($AR70&lt;3,"Medium","High"))</f>
        <v>Medium</v>
      </c>
      <c r="AU70" s="8" t="str">
        <f aca="false">IF(OR($AS70="High",$AT70="High"),"High",IF(OR($AS70="Medium",$AT70="Medium"),"Medium","Low"))</f>
        <v>Medium</v>
      </c>
      <c r="AV70" s="15" t="str">
        <f aca="false">IF($Z70="Yes","High",$AU70)</f>
        <v>High</v>
      </c>
    </row>
    <row r="71" customFormat="false" ht="15" hidden="false" customHeight="false" outlineLevel="0" collapsed="false">
      <c r="A71" s="7" t="str">
        <f aca="false">Customers!$A71</f>
        <v>NG-10016</v>
      </c>
      <c r="B71" s="7" t="str">
        <f aca="false">Customers!$B71</f>
        <v>Personal</v>
      </c>
      <c r="C71" s="8" t="n">
        <f aca="false">INDEX(Mapping!$C$2:$C$99,MATCH(C$1&amp;"|"&amp;Customers!C71,Mapping!$D$2:$D$99,0))</f>
        <v>2</v>
      </c>
      <c r="D71" s="8" t="n">
        <f aca="false">INDEX(Mapping!$C$2:$C$99,MATCH(D$1&amp;"|"&amp;Customers!D71,Mapping!$D$2:$D$99,0))</f>
        <v>1</v>
      </c>
      <c r="E71" s="8" t="n">
        <f aca="false">INDEX(Mapping!$C$2:$C$99,MATCH(E$1&amp;"|"&amp;Customers!E71,Mapping!$D$2:$D$99,0))</f>
        <v>1</v>
      </c>
      <c r="F71" s="8" t="n">
        <f aca="false">INDEX(Mapping!$C$2:$C$99,MATCH(F$1&amp;"|"&amp;Customers!F71,Mapping!$D$2:$D$99,0))</f>
        <v>1</v>
      </c>
      <c r="G71" s="8" t="n">
        <f aca="false">INDEX(Mapping!$C$2:$C$99,MATCH(G$1&amp;"|"&amp;Customers!G71,Mapping!$D$2:$D$99,0))</f>
        <v>1</v>
      </c>
      <c r="H71" s="8" t="n">
        <f aca="false">INDEX(Mapping!$C$2:$C$99,MATCH(H$1&amp;"|"&amp;Customers!H71,Mapping!$D$2:$D$99,0))</f>
        <v>1</v>
      </c>
      <c r="I71" s="8" t="n">
        <f aca="false">INDEX(Mapping!$C$2:$C$99,MATCH(I$1&amp;"|"&amp;Customers!I71,Mapping!$D$2:$D$99,0))</f>
        <v>1</v>
      </c>
      <c r="J71" s="8" t="n">
        <f aca="false">INDEX(Mapping!$C$2:$C$99,MATCH(J$1&amp;"|"&amp;Customers!J71,Mapping!$D$2:$D$99,0))</f>
        <v>1</v>
      </c>
      <c r="K71" s="8" t="n">
        <f aca="false">INDEX(Mapping!$C$2:$C$99,MATCH(K$1&amp;"|"&amp;Customers!K71,Mapping!$D$2:$D$99,0))</f>
        <v>3</v>
      </c>
      <c r="L71" s="8" t="n">
        <f aca="false">INDEX(Mapping!$C$2:$C$99,MATCH(L$1&amp;"|"&amp;Customers!L71,Mapping!$D$2:$D$99,0))</f>
        <v>3</v>
      </c>
      <c r="M71" s="8" t="n">
        <f aca="false">INDEX(Mapping!$C$2:$C$99,MATCH(M$1&amp;"|"&amp;Customers!M71,Mapping!$D$2:$D$99,0))</f>
        <v>3</v>
      </c>
      <c r="N71" s="8" t="n">
        <f aca="false">INDEX(Mapping!$C$2:$C$99,MATCH(N$1&amp;"|"&amp;Customers!N71,Mapping!$D$2:$D$99,0))</f>
        <v>1</v>
      </c>
      <c r="O71" s="8" t="n">
        <f aca="false">INDEX(Mapping!$C$2:$C$99,MATCH(O$1&amp;"|"&amp;Customers!O71,Mapping!$D$2:$D$99,0))</f>
        <v>3</v>
      </c>
      <c r="P71" s="8" t="n">
        <f aca="false">INDEX(Mapping!$C$2:$C$99,MATCH(P$1&amp;"|"&amp;Customers!P71,Mapping!$D$2:$D$99,0))</f>
        <v>3</v>
      </c>
      <c r="Q71" s="8" t="n">
        <f aca="false">INDEX(Mapping!$C$2:$C$99,MATCH(Q$1&amp;"|"&amp;Customers!Q71,Mapping!$D$2:$D$99,0))</f>
        <v>1</v>
      </c>
      <c r="R71" s="8" t="n">
        <f aca="false">INDEX(Mapping!$C$2:$C$99,MATCH(R$1&amp;"|"&amp;Customers!R71,Mapping!$D$2:$D$99,0))</f>
        <v>3</v>
      </c>
      <c r="S71" s="8" t="n">
        <f aca="false">INDEX(Mapping!$C$2:$C$99,MATCH(S$1&amp;"|"&amp;Customers!S71,Mapping!$D$2:$D$99,0))</f>
        <v>3</v>
      </c>
      <c r="T71" s="8" t="n">
        <f aca="false">INDEX(Mapping!$C$2:$C$99,MATCH(T$1&amp;"|"&amp;Customers!T71,Mapping!$D$2:$D$99,0))</f>
        <v>2</v>
      </c>
      <c r="U71" s="8" t="n">
        <f aca="false">INDEX(Mapping!$C$2:$C$99,MATCH(U$1&amp;"|"&amp;Customers!U71,Mapping!$D$2:$D$99,0))</f>
        <v>2</v>
      </c>
      <c r="V71" s="8" t="n">
        <f aca="false">INDEX(Mapping!$C$2:$C$99,MATCH(V$1&amp;"|"&amp;Customers!V71,Mapping!$D$2:$D$99,0))</f>
        <v>1</v>
      </c>
      <c r="W71" s="17" t="n">
        <f aca="false">SUMPRODUCT($C71:$V71,Weights!$C$27:$V$27)</f>
        <v>1.7775</v>
      </c>
      <c r="X71" s="18" t="n">
        <f aca="false">ROUND($W71,2)</f>
        <v>1.78</v>
      </c>
      <c r="Y71" s="8" t="str">
        <f aca="false">IF($X71&lt;=2,"Low",IF($X71&lt;=3.49,"Medium","High"))</f>
        <v>Low</v>
      </c>
      <c r="Z71" s="8" t="str">
        <f aca="false">IF(OR($F71&gt;=3,$E71=5,$D71=5,$C71=5,$G71=5,$H71=5,$I71=5,$J71=5,Customers!$W71="Yes"),"Yes","No")</f>
        <v>No</v>
      </c>
      <c r="AA71" s="15" t="str">
        <f aca="false">IF($Z71="Yes","High",$Y71)</f>
        <v>Low</v>
      </c>
      <c r="AB71" s="18" t="n">
        <f aca="false">SUMPRODUCT($C71:$G71,Weights!$C$28:$G$28)</f>
        <v>1.2</v>
      </c>
      <c r="AC71" s="18" t="n">
        <f aca="false">SUMPRODUCT($H71:$J71,Weights!$H$28:$J$28)</f>
        <v>1</v>
      </c>
      <c r="AD71" s="18" t="n">
        <f aca="false">SUMPRODUCT($K71:$N71,Weights!$K$28:$N$28)</f>
        <v>2.7</v>
      </c>
      <c r="AE71" s="18" t="n">
        <f aca="false">SUMPRODUCT($O71:$Q71,Weights!$O$28:$Q$28)</f>
        <v>2.6</v>
      </c>
      <c r="AF71" s="18" t="n">
        <f aca="false">SUMPRODUCT($R71:$V71,Weights!$R$28:$V$28)</f>
        <v>2.45</v>
      </c>
      <c r="AH71" s="18" t="n">
        <f aca="false">SUMPRODUCT($AB71:$AF71,Validation!$D$7:$H$7)</f>
        <v>1.86000000000035</v>
      </c>
      <c r="AI71" s="18" t="n">
        <f aca="false">SUMPRODUCT($AB71:$AF71,Validation!$D$8:$H$8)</f>
        <v>1.69499999999965</v>
      </c>
      <c r="AJ71" s="18" t="n">
        <f aca="false">SUMPRODUCT($AB71:$AF71,Validation!$D$9:$H$9)</f>
        <v>1.8811666666667</v>
      </c>
      <c r="AK71" s="18" t="n">
        <f aca="false">SUMPRODUCT($AB71:$AF71,Validation!$D$10:$H$10)</f>
        <v>1.6738333333333</v>
      </c>
      <c r="AL71" s="18" t="n">
        <f aca="false">SUMPRODUCT($AB71:$AF71,Validation!$D$11:$H$11)</f>
        <v>1.6621875</v>
      </c>
      <c r="AM71" s="18" t="n">
        <f aca="false">SUMPRODUCT($AB71:$AF71,Validation!$D$12:$H$12)</f>
        <v>1.8928125</v>
      </c>
      <c r="AN71" s="18" t="n">
        <f aca="false">SUMPRODUCT($AB71:$AF71,Validation!$D$13:$H$13)</f>
        <v>1.68611111111115</v>
      </c>
      <c r="AO71" s="18" t="n">
        <f aca="false">SUMPRODUCT($AB71:$AF71,Validation!$D$14:$H$14)</f>
        <v>1.86888888888885</v>
      </c>
      <c r="AP71" s="18" t="n">
        <f aca="false">SUMPRODUCT($AB71:$AF71,Validation!$D$15:$H$15)</f>
        <v>1.6983823529411</v>
      </c>
      <c r="AQ71" s="18" t="n">
        <f aca="false">SUMPRODUCT($AB71:$AF71,Validation!$D$16:$H$16)</f>
        <v>1.8566176470589</v>
      </c>
      <c r="AR71" s="8" t="n">
        <f aca="false">COUNTIF($C71:$V71,"&gt;=4")</f>
        <v>0</v>
      </c>
      <c r="AS71" s="8" t="str">
        <f aca="false">IF($X71&lt;=1.6,"Low",IF($X71&lt;=2.2,"Medium","High"))</f>
        <v>Medium</v>
      </c>
      <c r="AT71" s="8" t="str">
        <f aca="false">IF($AR71=0,"Low",IF($AR71&lt;3,"Medium","High"))</f>
        <v>Low</v>
      </c>
      <c r="AU71" s="8" t="str">
        <f aca="false">IF(OR($AS71="High",$AT71="High"),"High",IF(OR($AS71="Medium",$AT71="Medium"),"Medium","Low"))</f>
        <v>Medium</v>
      </c>
      <c r="AV71" s="15" t="str">
        <f aca="false">IF($Z71="Yes","High",$AU71)</f>
        <v>Medium</v>
      </c>
    </row>
    <row r="72" customFormat="false" ht="15" hidden="false" customHeight="false" outlineLevel="0" collapsed="false">
      <c r="A72" s="7" t="str">
        <f aca="false">Customers!$A72</f>
        <v>NG-10329</v>
      </c>
      <c r="B72" s="7" t="str">
        <f aca="false">Customers!$B72</f>
        <v>Sole trader</v>
      </c>
      <c r="C72" s="8" t="n">
        <f aca="false">INDEX(Mapping!$C$2:$C$99,MATCH(C$1&amp;"|"&amp;Customers!C72,Mapping!$D$2:$D$99,0))</f>
        <v>2</v>
      </c>
      <c r="D72" s="8" t="n">
        <f aca="false">INDEX(Mapping!$C$2:$C$99,MATCH(D$1&amp;"|"&amp;Customers!D72,Mapping!$D$2:$D$99,0))</f>
        <v>1</v>
      </c>
      <c r="E72" s="8" t="n">
        <f aca="false">INDEX(Mapping!$C$2:$C$99,MATCH(E$1&amp;"|"&amp;Customers!E72,Mapping!$D$2:$D$99,0))</f>
        <v>2</v>
      </c>
      <c r="F72" s="8" t="n">
        <f aca="false">INDEX(Mapping!$C$2:$C$99,MATCH(F$1&amp;"|"&amp;Customers!F72,Mapping!$D$2:$D$99,0))</f>
        <v>1</v>
      </c>
      <c r="G72" s="8" t="n">
        <f aca="false">INDEX(Mapping!$C$2:$C$99,MATCH(G$1&amp;"|"&amp;Customers!G72,Mapping!$D$2:$D$99,0))</f>
        <v>1</v>
      </c>
      <c r="H72" s="8" t="n">
        <f aca="false">INDEX(Mapping!$C$2:$C$99,MATCH(H$1&amp;"|"&amp;Customers!H72,Mapping!$D$2:$D$99,0))</f>
        <v>1</v>
      </c>
      <c r="I72" s="8" t="n">
        <f aca="false">INDEX(Mapping!$C$2:$C$99,MATCH(I$1&amp;"|"&amp;Customers!I72,Mapping!$D$2:$D$99,0))</f>
        <v>1</v>
      </c>
      <c r="J72" s="8" t="n">
        <f aca="false">INDEX(Mapping!$C$2:$C$99,MATCH(J$1&amp;"|"&amp;Customers!J72,Mapping!$D$2:$D$99,0))</f>
        <v>1</v>
      </c>
      <c r="K72" s="8" t="n">
        <f aca="false">INDEX(Mapping!$C$2:$C$99,MATCH(K$1&amp;"|"&amp;Customers!K72,Mapping!$D$2:$D$99,0))</f>
        <v>4</v>
      </c>
      <c r="L72" s="8" t="n">
        <f aca="false">INDEX(Mapping!$C$2:$C$99,MATCH(L$1&amp;"|"&amp;Customers!L72,Mapping!$D$2:$D$99,0))</f>
        <v>4</v>
      </c>
      <c r="M72" s="8" t="n">
        <f aca="false">INDEX(Mapping!$C$2:$C$99,MATCH(M$1&amp;"|"&amp;Customers!M72,Mapping!$D$2:$D$99,0))</f>
        <v>3</v>
      </c>
      <c r="N72" s="8" t="n">
        <f aca="false">INDEX(Mapping!$C$2:$C$99,MATCH(N$1&amp;"|"&amp;Customers!N72,Mapping!$D$2:$D$99,0))</f>
        <v>4</v>
      </c>
      <c r="O72" s="8" t="n">
        <f aca="false">INDEX(Mapping!$C$2:$C$99,MATCH(O$1&amp;"|"&amp;Customers!O72,Mapping!$D$2:$D$99,0))</f>
        <v>3</v>
      </c>
      <c r="P72" s="8" t="n">
        <f aca="false">INDEX(Mapping!$C$2:$C$99,MATCH(P$1&amp;"|"&amp;Customers!P72,Mapping!$D$2:$D$99,0))</f>
        <v>3</v>
      </c>
      <c r="Q72" s="8" t="n">
        <f aca="false">INDEX(Mapping!$C$2:$C$99,MATCH(Q$1&amp;"|"&amp;Customers!Q72,Mapping!$D$2:$D$99,0))</f>
        <v>1</v>
      </c>
      <c r="R72" s="8" t="n">
        <f aca="false">INDEX(Mapping!$C$2:$C$99,MATCH(R$1&amp;"|"&amp;Customers!R72,Mapping!$D$2:$D$99,0))</f>
        <v>2</v>
      </c>
      <c r="S72" s="8" t="n">
        <f aca="false">INDEX(Mapping!$C$2:$C$99,MATCH(S$1&amp;"|"&amp;Customers!S72,Mapping!$D$2:$D$99,0))</f>
        <v>4</v>
      </c>
      <c r="T72" s="8" t="n">
        <f aca="false">INDEX(Mapping!$C$2:$C$99,MATCH(T$1&amp;"|"&amp;Customers!T72,Mapping!$D$2:$D$99,0))</f>
        <v>2</v>
      </c>
      <c r="U72" s="8" t="n">
        <f aca="false">INDEX(Mapping!$C$2:$C$99,MATCH(U$1&amp;"|"&amp;Customers!U72,Mapping!$D$2:$D$99,0))</f>
        <v>2</v>
      </c>
      <c r="V72" s="8" t="n">
        <f aca="false">INDEX(Mapping!$C$2:$C$99,MATCH(V$1&amp;"|"&amp;Customers!V72,Mapping!$D$2:$D$99,0))</f>
        <v>4</v>
      </c>
      <c r="W72" s="17" t="n">
        <f aca="false">SUMPRODUCT($C72:$V72,Weights!$C$27:$V$27)</f>
        <v>2.115</v>
      </c>
      <c r="X72" s="18" t="n">
        <f aca="false">ROUND($W72,2)</f>
        <v>2.12</v>
      </c>
      <c r="Y72" s="8" t="str">
        <f aca="false">IF($X72&lt;=2,"Low",IF($X72&lt;=3.49,"Medium","High"))</f>
        <v>Medium</v>
      </c>
      <c r="Z72" s="8" t="str">
        <f aca="false">IF(OR($F72&gt;=3,$E72=5,$D72=5,$C72=5,$G72=5,$H72=5,$I72=5,$J72=5,Customers!$W72="Yes"),"Yes","No")</f>
        <v>No</v>
      </c>
      <c r="AA72" s="15" t="str">
        <f aca="false">IF($Z72="Yes","High",$Y72)</f>
        <v>Medium</v>
      </c>
      <c r="AB72" s="18" t="n">
        <f aca="false">SUMPRODUCT($C72:$G72,Weights!$C$28:$G$28)</f>
        <v>1.45</v>
      </c>
      <c r="AC72" s="18" t="n">
        <f aca="false">SUMPRODUCT($H72:$J72,Weights!$H$28:$J$28)</f>
        <v>1</v>
      </c>
      <c r="AD72" s="18" t="n">
        <f aca="false">SUMPRODUCT($K72:$N72,Weights!$K$28:$N$28)</f>
        <v>3.75</v>
      </c>
      <c r="AE72" s="18" t="n">
        <f aca="false">SUMPRODUCT($O72:$Q72,Weights!$O$28:$Q$28)</f>
        <v>2.6</v>
      </c>
      <c r="AF72" s="18" t="n">
        <f aca="false">SUMPRODUCT($R72:$V72,Weights!$R$28:$V$28)</f>
        <v>2.8</v>
      </c>
      <c r="AH72" s="18" t="n">
        <f aca="false">SUMPRODUCT($AB72:$AF72,Validation!$D$7:$H$7)</f>
        <v>2.21000000000005</v>
      </c>
      <c r="AI72" s="18" t="n">
        <f aca="false">SUMPRODUCT($AB72:$AF72,Validation!$D$8:$H$8)</f>
        <v>2.01999999999995</v>
      </c>
      <c r="AJ72" s="18" t="n">
        <f aca="false">SUMPRODUCT($AB72:$AF72,Validation!$D$9:$H$9)</f>
        <v>2.26366666666705</v>
      </c>
      <c r="AK72" s="18" t="n">
        <f aca="false">SUMPRODUCT($AB72:$AF72,Validation!$D$10:$H$10)</f>
        <v>1.96633333333295</v>
      </c>
      <c r="AL72" s="18" t="n">
        <f aca="false">SUMPRODUCT($AB72:$AF72,Validation!$D$11:$H$11)</f>
        <v>1.910625</v>
      </c>
      <c r="AM72" s="18" t="n">
        <f aca="false">SUMPRODUCT($AB72:$AF72,Validation!$D$12:$H$12)</f>
        <v>2.319375</v>
      </c>
      <c r="AN72" s="18" t="n">
        <f aca="false">SUMPRODUCT($AB72:$AF72,Validation!$D$13:$H$13)</f>
        <v>2.06111111111095</v>
      </c>
      <c r="AO72" s="18" t="n">
        <f aca="false">SUMPRODUCT($AB72:$AF72,Validation!$D$14:$H$14)</f>
        <v>2.16888888888905</v>
      </c>
      <c r="AP72" s="18" t="n">
        <f aca="false">SUMPRODUCT($AB72:$AF72,Validation!$D$15:$H$15)</f>
        <v>2.0344117647061</v>
      </c>
      <c r="AQ72" s="18" t="n">
        <f aca="false">SUMPRODUCT($AB72:$AF72,Validation!$D$16:$H$16)</f>
        <v>2.1955882352939</v>
      </c>
      <c r="AR72" s="8" t="n">
        <f aca="false">COUNTIF($C72:$V72,"&gt;=4")</f>
        <v>5</v>
      </c>
      <c r="AS72" s="8" t="str">
        <f aca="false">IF($X72&lt;=1.6,"Low",IF($X72&lt;=2.2,"Medium","High"))</f>
        <v>Medium</v>
      </c>
      <c r="AT72" s="8" t="str">
        <f aca="false">IF($AR72=0,"Low",IF($AR72&lt;3,"Medium","High"))</f>
        <v>High</v>
      </c>
      <c r="AU72" s="8" t="str">
        <f aca="false">IF(OR($AS72="High",$AT72="High"),"High",IF(OR($AS72="Medium",$AT72="Medium"),"Medium","Low"))</f>
        <v>High</v>
      </c>
      <c r="AV72" s="15" t="str">
        <f aca="false">IF($Z72="Yes","High",$AU72)</f>
        <v>High</v>
      </c>
    </row>
    <row r="73" customFormat="false" ht="15" hidden="false" customHeight="false" outlineLevel="0" collapsed="false">
      <c r="A73" s="7" t="str">
        <f aca="false">Customers!$A73</f>
        <v>NG-10204</v>
      </c>
      <c r="B73" s="7" t="str">
        <f aca="false">Customers!$B73</f>
        <v>Personal</v>
      </c>
      <c r="C73" s="8" t="n">
        <f aca="false">INDEX(Mapping!$C$2:$C$99,MATCH(C$1&amp;"|"&amp;Customers!C73,Mapping!$D$2:$D$99,0))</f>
        <v>1</v>
      </c>
      <c r="D73" s="8" t="n">
        <f aca="false">INDEX(Mapping!$C$2:$C$99,MATCH(D$1&amp;"|"&amp;Customers!D73,Mapping!$D$2:$D$99,0))</f>
        <v>1</v>
      </c>
      <c r="E73" s="8" t="n">
        <f aca="false">INDEX(Mapping!$C$2:$C$99,MATCH(E$1&amp;"|"&amp;Customers!E73,Mapping!$D$2:$D$99,0))</f>
        <v>1</v>
      </c>
      <c r="F73" s="8" t="n">
        <f aca="false">INDEX(Mapping!$C$2:$C$99,MATCH(F$1&amp;"|"&amp;Customers!F73,Mapping!$D$2:$D$99,0))</f>
        <v>1</v>
      </c>
      <c r="G73" s="8" t="n">
        <f aca="false">INDEX(Mapping!$C$2:$C$99,MATCH(G$1&amp;"|"&amp;Customers!G73,Mapping!$D$2:$D$99,0))</f>
        <v>1</v>
      </c>
      <c r="H73" s="8" t="n">
        <f aca="false">INDEX(Mapping!$C$2:$C$99,MATCH(H$1&amp;"|"&amp;Customers!H73,Mapping!$D$2:$D$99,0))</f>
        <v>1</v>
      </c>
      <c r="I73" s="8" t="n">
        <f aca="false">INDEX(Mapping!$C$2:$C$99,MATCH(I$1&amp;"|"&amp;Customers!I73,Mapping!$D$2:$D$99,0))</f>
        <v>1</v>
      </c>
      <c r="J73" s="8" t="n">
        <f aca="false">INDEX(Mapping!$C$2:$C$99,MATCH(J$1&amp;"|"&amp;Customers!J73,Mapping!$D$2:$D$99,0))</f>
        <v>1</v>
      </c>
      <c r="K73" s="8" t="n">
        <f aca="false">INDEX(Mapping!$C$2:$C$99,MATCH(K$1&amp;"|"&amp;Customers!K73,Mapping!$D$2:$D$99,0))</f>
        <v>2</v>
      </c>
      <c r="L73" s="8" t="n">
        <f aca="false">INDEX(Mapping!$C$2:$C$99,MATCH(L$1&amp;"|"&amp;Customers!L73,Mapping!$D$2:$D$99,0))</f>
        <v>1</v>
      </c>
      <c r="M73" s="8" t="n">
        <f aca="false">INDEX(Mapping!$C$2:$C$99,MATCH(M$1&amp;"|"&amp;Customers!M73,Mapping!$D$2:$D$99,0))</f>
        <v>2</v>
      </c>
      <c r="N73" s="8" t="n">
        <f aca="false">INDEX(Mapping!$C$2:$C$99,MATCH(N$1&amp;"|"&amp;Customers!N73,Mapping!$D$2:$D$99,0))</f>
        <v>2</v>
      </c>
      <c r="O73" s="8" t="n">
        <f aca="false">INDEX(Mapping!$C$2:$C$99,MATCH(O$1&amp;"|"&amp;Customers!O73,Mapping!$D$2:$D$99,0))</f>
        <v>3</v>
      </c>
      <c r="P73" s="8" t="n">
        <f aca="false">INDEX(Mapping!$C$2:$C$99,MATCH(P$1&amp;"|"&amp;Customers!P73,Mapping!$D$2:$D$99,0))</f>
        <v>3</v>
      </c>
      <c r="Q73" s="8" t="n">
        <f aca="false">INDEX(Mapping!$C$2:$C$99,MATCH(Q$1&amp;"|"&amp;Customers!Q73,Mapping!$D$2:$D$99,0))</f>
        <v>1</v>
      </c>
      <c r="R73" s="8" t="n">
        <f aca="false">INDEX(Mapping!$C$2:$C$99,MATCH(R$1&amp;"|"&amp;Customers!R73,Mapping!$D$2:$D$99,0))</f>
        <v>1</v>
      </c>
      <c r="S73" s="8" t="n">
        <f aca="false">INDEX(Mapping!$C$2:$C$99,MATCH(S$1&amp;"|"&amp;Customers!S73,Mapping!$D$2:$D$99,0))</f>
        <v>4</v>
      </c>
      <c r="T73" s="8" t="n">
        <f aca="false">INDEX(Mapping!$C$2:$C$99,MATCH(T$1&amp;"|"&amp;Customers!T73,Mapping!$D$2:$D$99,0))</f>
        <v>2</v>
      </c>
      <c r="U73" s="8" t="n">
        <f aca="false">INDEX(Mapping!$C$2:$C$99,MATCH(U$1&amp;"|"&amp;Customers!U73,Mapping!$D$2:$D$99,0))</f>
        <v>2</v>
      </c>
      <c r="V73" s="8" t="n">
        <f aca="false">INDEX(Mapping!$C$2:$C$99,MATCH(V$1&amp;"|"&amp;Customers!V73,Mapping!$D$2:$D$99,0))</f>
        <v>1</v>
      </c>
      <c r="W73" s="17" t="n">
        <f aca="false">SUMPRODUCT($C73:$V73,Weights!$C$27:$V$27)</f>
        <v>1.4975</v>
      </c>
      <c r="X73" s="18" t="n">
        <f aca="false">ROUND($W73,2)</f>
        <v>1.5</v>
      </c>
      <c r="Y73" s="8" t="str">
        <f aca="false">IF($X73&lt;=2,"Low",IF($X73&lt;=3.49,"Medium","High"))</f>
        <v>Low</v>
      </c>
      <c r="Z73" s="8" t="str">
        <f aca="false">IF(OR($F73&gt;=3,$E73=5,$D73=5,$C73=5,$G73=5,$H73=5,$I73=5,$J73=5,Customers!$W73="Yes"),"Yes","No")</f>
        <v>No</v>
      </c>
      <c r="AA73" s="15" t="str">
        <f aca="false">IF($Z73="Yes","High",$Y73)</f>
        <v>Low</v>
      </c>
      <c r="AB73" s="18" t="n">
        <f aca="false">SUMPRODUCT($C73:$G73,Weights!$C$28:$G$28)</f>
        <v>1</v>
      </c>
      <c r="AC73" s="18" t="n">
        <f aca="false">SUMPRODUCT($H73:$J73,Weights!$H$28:$J$28)</f>
        <v>1</v>
      </c>
      <c r="AD73" s="18" t="n">
        <f aca="false">SUMPRODUCT($K73:$N73,Weights!$K$28:$N$28)</f>
        <v>1.75</v>
      </c>
      <c r="AE73" s="18" t="n">
        <f aca="false">SUMPRODUCT($O73:$Q73,Weights!$O$28:$Q$28)</f>
        <v>2.6</v>
      </c>
      <c r="AF73" s="18" t="n">
        <f aca="false">SUMPRODUCT($R73:$V73,Weights!$R$28:$V$28)</f>
        <v>2.25</v>
      </c>
      <c r="AH73" s="18" t="n">
        <f aca="false">SUMPRODUCT($AB73:$AF73,Validation!$D$7:$H$7)</f>
        <v>1.5685714285721</v>
      </c>
      <c r="AI73" s="18" t="n">
        <f aca="false">SUMPRODUCT($AB73:$AF73,Validation!$D$8:$H$8)</f>
        <v>1.4264285714279</v>
      </c>
      <c r="AJ73" s="18" t="n">
        <f aca="false">SUMPRODUCT($AB73:$AF73,Validation!$D$9:$H$9)</f>
        <v>1.56383333333305</v>
      </c>
      <c r="AK73" s="18" t="n">
        <f aca="false">SUMPRODUCT($AB73:$AF73,Validation!$D$10:$H$10)</f>
        <v>1.43116666666695</v>
      </c>
      <c r="AL73" s="18" t="n">
        <f aca="false">SUMPRODUCT($AB73:$AF73,Validation!$D$11:$H$11)</f>
        <v>1.4659375</v>
      </c>
      <c r="AM73" s="18" t="n">
        <f aca="false">SUMPRODUCT($AB73:$AF73,Validation!$D$12:$H$12)</f>
        <v>1.5290625</v>
      </c>
      <c r="AN73" s="18" t="n">
        <f aca="false">SUMPRODUCT($AB73:$AF73,Validation!$D$13:$H$13)</f>
        <v>1.37500000000025</v>
      </c>
      <c r="AO73" s="18" t="n">
        <f aca="false">SUMPRODUCT($AB73:$AF73,Validation!$D$14:$H$14)</f>
        <v>1.61999999999975</v>
      </c>
      <c r="AP73" s="18" t="n">
        <f aca="false">SUMPRODUCT($AB73:$AF73,Validation!$D$15:$H$15)</f>
        <v>1.40897058823495</v>
      </c>
      <c r="AQ73" s="18" t="n">
        <f aca="false">SUMPRODUCT($AB73:$AF73,Validation!$D$16:$H$16)</f>
        <v>1.58602941176505</v>
      </c>
      <c r="AR73" s="8" t="n">
        <f aca="false">COUNTIF($C73:$V73,"&gt;=4")</f>
        <v>1</v>
      </c>
      <c r="AS73" s="8" t="str">
        <f aca="false">IF($X73&lt;=1.6,"Low",IF($X73&lt;=2.2,"Medium","High"))</f>
        <v>Low</v>
      </c>
      <c r="AT73" s="8" t="str">
        <f aca="false">IF($AR73=0,"Low",IF($AR73&lt;3,"Medium","High"))</f>
        <v>Medium</v>
      </c>
      <c r="AU73" s="8" t="str">
        <f aca="false">IF(OR($AS73="High",$AT73="High"),"High",IF(OR($AS73="Medium",$AT73="Medium"),"Medium","Low"))</f>
        <v>Medium</v>
      </c>
      <c r="AV73" s="15" t="str">
        <f aca="false">IF($Z73="Yes","High",$AU73)</f>
        <v>Medium</v>
      </c>
    </row>
    <row r="74" customFormat="false" ht="15" hidden="false" customHeight="false" outlineLevel="0" collapsed="false">
      <c r="A74" s="7" t="str">
        <f aca="false">Customers!$A74</f>
        <v>NG-10307</v>
      </c>
      <c r="B74" s="7" t="str">
        <f aca="false">Customers!$B74</f>
        <v>Sole trader</v>
      </c>
      <c r="C74" s="8" t="n">
        <f aca="false">INDEX(Mapping!$C$2:$C$99,MATCH(C$1&amp;"|"&amp;Customers!C74,Mapping!$D$2:$D$99,0))</f>
        <v>2</v>
      </c>
      <c r="D74" s="8" t="n">
        <f aca="false">INDEX(Mapping!$C$2:$C$99,MATCH(D$1&amp;"|"&amp;Customers!D74,Mapping!$D$2:$D$99,0))</f>
        <v>1</v>
      </c>
      <c r="E74" s="8" t="n">
        <f aca="false">INDEX(Mapping!$C$2:$C$99,MATCH(E$1&amp;"|"&amp;Customers!E74,Mapping!$D$2:$D$99,0))</f>
        <v>3</v>
      </c>
      <c r="F74" s="8" t="n">
        <f aca="false">INDEX(Mapping!$C$2:$C$99,MATCH(F$1&amp;"|"&amp;Customers!F74,Mapping!$D$2:$D$99,0))</f>
        <v>1</v>
      </c>
      <c r="G74" s="8" t="n">
        <f aca="false">INDEX(Mapping!$C$2:$C$99,MATCH(G$1&amp;"|"&amp;Customers!G74,Mapping!$D$2:$D$99,0))</f>
        <v>1</v>
      </c>
      <c r="H74" s="8" t="n">
        <f aca="false">INDEX(Mapping!$C$2:$C$99,MATCH(H$1&amp;"|"&amp;Customers!H74,Mapping!$D$2:$D$99,0))</f>
        <v>1</v>
      </c>
      <c r="I74" s="8" t="n">
        <f aca="false">INDEX(Mapping!$C$2:$C$99,MATCH(I$1&amp;"|"&amp;Customers!I74,Mapping!$D$2:$D$99,0))</f>
        <v>1</v>
      </c>
      <c r="J74" s="8" t="n">
        <f aca="false">INDEX(Mapping!$C$2:$C$99,MATCH(J$1&amp;"|"&amp;Customers!J74,Mapping!$D$2:$D$99,0))</f>
        <v>1</v>
      </c>
      <c r="K74" s="8" t="n">
        <f aca="false">INDEX(Mapping!$C$2:$C$99,MATCH(K$1&amp;"|"&amp;Customers!K74,Mapping!$D$2:$D$99,0))</f>
        <v>4</v>
      </c>
      <c r="L74" s="8" t="n">
        <f aca="false">INDEX(Mapping!$C$2:$C$99,MATCH(L$1&amp;"|"&amp;Customers!L74,Mapping!$D$2:$D$99,0))</f>
        <v>5</v>
      </c>
      <c r="M74" s="8" t="n">
        <f aca="false">INDEX(Mapping!$C$2:$C$99,MATCH(M$1&amp;"|"&amp;Customers!M74,Mapping!$D$2:$D$99,0))</f>
        <v>3</v>
      </c>
      <c r="N74" s="8" t="n">
        <f aca="false">INDEX(Mapping!$C$2:$C$99,MATCH(N$1&amp;"|"&amp;Customers!N74,Mapping!$D$2:$D$99,0))</f>
        <v>1</v>
      </c>
      <c r="O74" s="8" t="n">
        <f aca="false">INDEX(Mapping!$C$2:$C$99,MATCH(O$1&amp;"|"&amp;Customers!O74,Mapping!$D$2:$D$99,0))</f>
        <v>3</v>
      </c>
      <c r="P74" s="8" t="n">
        <f aca="false">INDEX(Mapping!$C$2:$C$99,MATCH(P$1&amp;"|"&amp;Customers!P74,Mapping!$D$2:$D$99,0))</f>
        <v>4</v>
      </c>
      <c r="Q74" s="8" t="n">
        <f aca="false">INDEX(Mapping!$C$2:$C$99,MATCH(Q$1&amp;"|"&amp;Customers!Q74,Mapping!$D$2:$D$99,0))</f>
        <v>1</v>
      </c>
      <c r="R74" s="8" t="n">
        <f aca="false">INDEX(Mapping!$C$2:$C$99,MATCH(R$1&amp;"|"&amp;Customers!R74,Mapping!$D$2:$D$99,0))</f>
        <v>2</v>
      </c>
      <c r="S74" s="8" t="n">
        <f aca="false">INDEX(Mapping!$C$2:$C$99,MATCH(S$1&amp;"|"&amp;Customers!S74,Mapping!$D$2:$D$99,0))</f>
        <v>3</v>
      </c>
      <c r="T74" s="8" t="n">
        <f aca="false">INDEX(Mapping!$C$2:$C$99,MATCH(T$1&amp;"|"&amp;Customers!T74,Mapping!$D$2:$D$99,0))</f>
        <v>1</v>
      </c>
      <c r="U74" s="8" t="n">
        <f aca="false">INDEX(Mapping!$C$2:$C$99,MATCH(U$1&amp;"|"&amp;Customers!U74,Mapping!$D$2:$D$99,0))</f>
        <v>2</v>
      </c>
      <c r="V74" s="8" t="n">
        <f aca="false">INDEX(Mapping!$C$2:$C$99,MATCH(V$1&amp;"|"&amp;Customers!V74,Mapping!$D$2:$D$99,0))</f>
        <v>1</v>
      </c>
      <c r="W74" s="17" t="n">
        <f aca="false">SUMPRODUCT($C74:$V74,Weights!$C$27:$V$27)</f>
        <v>2.065</v>
      </c>
      <c r="X74" s="18" t="n">
        <f aca="false">ROUND($W74,2)</f>
        <v>2.07</v>
      </c>
      <c r="Y74" s="8" t="str">
        <f aca="false">IF($X74&lt;=2,"Low",IF($X74&lt;=3.49,"Medium","High"))</f>
        <v>Medium</v>
      </c>
      <c r="Z74" s="8" t="str">
        <f aca="false">IF(OR($F74&gt;=3,$E74=5,$D74=5,$C74=5,$G74=5,$H74=5,$I74=5,$J74=5,Customers!$W74="Yes"),"Yes","No")</f>
        <v>No</v>
      </c>
      <c r="AA74" s="15" t="str">
        <f aca="false">IF($Z74="Yes","High",$Y74)</f>
        <v>Medium</v>
      </c>
      <c r="AB74" s="18" t="n">
        <f aca="false">SUMPRODUCT($C74:$G74,Weights!$C$28:$G$28)</f>
        <v>1.7</v>
      </c>
      <c r="AC74" s="18" t="n">
        <f aca="false">SUMPRODUCT($H74:$J74,Weights!$H$28:$J$28)</f>
        <v>1</v>
      </c>
      <c r="AD74" s="18" t="n">
        <f aca="false">SUMPRODUCT($K74:$N74,Weights!$K$28:$N$28)</f>
        <v>3.55</v>
      </c>
      <c r="AE74" s="18" t="n">
        <f aca="false">SUMPRODUCT($O74:$Q74,Weights!$O$28:$Q$28)</f>
        <v>2.95</v>
      </c>
      <c r="AF74" s="18" t="n">
        <f aca="false">SUMPRODUCT($R74:$V74,Weights!$R$28:$V$28)</f>
        <v>2</v>
      </c>
      <c r="AH74" s="18" t="n">
        <f aca="false">SUMPRODUCT($AB74:$AF74,Validation!$D$7:$H$7)</f>
        <v>2.11714285714275</v>
      </c>
      <c r="AI74" s="18" t="n">
        <f aca="false">SUMPRODUCT($AB74:$AF74,Validation!$D$8:$H$8)</f>
        <v>2.01285714285725</v>
      </c>
      <c r="AJ74" s="18" t="n">
        <f aca="false">SUMPRODUCT($AB74:$AF74,Validation!$D$9:$H$9)</f>
        <v>2.2070000000002</v>
      </c>
      <c r="AK74" s="18" t="n">
        <f aca="false">SUMPRODUCT($AB74:$AF74,Validation!$D$10:$H$10)</f>
        <v>1.9229999999998</v>
      </c>
      <c r="AL74" s="18" t="n">
        <f aca="false">SUMPRODUCT($AB74:$AF74,Validation!$D$11:$H$11)</f>
        <v>1.879375</v>
      </c>
      <c r="AM74" s="18" t="n">
        <f aca="false">SUMPRODUCT($AB74:$AF74,Validation!$D$12:$H$12)</f>
        <v>2.250625</v>
      </c>
      <c r="AN74" s="18" t="n">
        <f aca="false">SUMPRODUCT($AB74:$AF74,Validation!$D$13:$H$13)</f>
        <v>1.9666666666662</v>
      </c>
      <c r="AO74" s="18" t="n">
        <f aca="false">SUMPRODUCT($AB74:$AF74,Validation!$D$14:$H$14)</f>
        <v>2.1633333333338</v>
      </c>
      <c r="AP74" s="18" t="n">
        <f aca="false">SUMPRODUCT($AB74:$AF74,Validation!$D$15:$H$15)</f>
        <v>2.07264705882355</v>
      </c>
      <c r="AQ74" s="18" t="n">
        <f aca="false">SUMPRODUCT($AB74:$AF74,Validation!$D$16:$H$16)</f>
        <v>2.05735294117645</v>
      </c>
      <c r="AR74" s="8" t="n">
        <f aca="false">COUNTIF($C74:$V74,"&gt;=4")</f>
        <v>3</v>
      </c>
      <c r="AS74" s="8" t="str">
        <f aca="false">IF($X74&lt;=1.6,"Low",IF($X74&lt;=2.2,"Medium","High"))</f>
        <v>Medium</v>
      </c>
      <c r="AT74" s="8" t="str">
        <f aca="false">IF($AR74=0,"Low",IF($AR74&lt;3,"Medium","High"))</f>
        <v>High</v>
      </c>
      <c r="AU74" s="8" t="str">
        <f aca="false">IF(OR($AS74="High",$AT74="High"),"High",IF(OR($AS74="Medium",$AT74="Medium"),"Medium","Low"))</f>
        <v>High</v>
      </c>
      <c r="AV74" s="15" t="str">
        <f aca="false">IF($Z74="Yes","High",$AU74)</f>
        <v>High</v>
      </c>
    </row>
    <row r="75" customFormat="false" ht="15" hidden="false" customHeight="false" outlineLevel="0" collapsed="false">
      <c r="A75" s="7" t="str">
        <f aca="false">Customers!$A75</f>
        <v>NG-10239</v>
      </c>
      <c r="B75" s="7" t="str">
        <f aca="false">Customers!$B75</f>
        <v>Personal</v>
      </c>
      <c r="C75" s="8" t="n">
        <f aca="false">INDEX(Mapping!$C$2:$C$99,MATCH(C$1&amp;"|"&amp;Customers!C75,Mapping!$D$2:$D$99,0))</f>
        <v>1</v>
      </c>
      <c r="D75" s="8" t="n">
        <f aca="false">INDEX(Mapping!$C$2:$C$99,MATCH(D$1&amp;"|"&amp;Customers!D75,Mapping!$D$2:$D$99,0))</f>
        <v>1</v>
      </c>
      <c r="E75" s="8" t="n">
        <f aca="false">INDEX(Mapping!$C$2:$C$99,MATCH(E$1&amp;"|"&amp;Customers!E75,Mapping!$D$2:$D$99,0))</f>
        <v>1</v>
      </c>
      <c r="F75" s="8" t="n">
        <f aca="false">INDEX(Mapping!$C$2:$C$99,MATCH(F$1&amp;"|"&amp;Customers!F75,Mapping!$D$2:$D$99,0))</f>
        <v>1</v>
      </c>
      <c r="G75" s="8" t="n">
        <f aca="false">INDEX(Mapping!$C$2:$C$99,MATCH(G$1&amp;"|"&amp;Customers!G75,Mapping!$D$2:$D$99,0))</f>
        <v>1</v>
      </c>
      <c r="H75" s="8" t="n">
        <f aca="false">INDEX(Mapping!$C$2:$C$99,MATCH(H$1&amp;"|"&amp;Customers!H75,Mapping!$D$2:$D$99,0))</f>
        <v>1</v>
      </c>
      <c r="I75" s="8" t="n">
        <f aca="false">INDEX(Mapping!$C$2:$C$99,MATCH(I$1&amp;"|"&amp;Customers!I75,Mapping!$D$2:$D$99,0))</f>
        <v>1</v>
      </c>
      <c r="J75" s="8" t="n">
        <f aca="false">INDEX(Mapping!$C$2:$C$99,MATCH(J$1&amp;"|"&amp;Customers!J75,Mapping!$D$2:$D$99,0))</f>
        <v>2</v>
      </c>
      <c r="K75" s="8" t="n">
        <f aca="false">INDEX(Mapping!$C$2:$C$99,MATCH(K$1&amp;"|"&amp;Customers!K75,Mapping!$D$2:$D$99,0))</f>
        <v>2</v>
      </c>
      <c r="L75" s="8" t="n">
        <f aca="false">INDEX(Mapping!$C$2:$C$99,MATCH(L$1&amp;"|"&amp;Customers!L75,Mapping!$D$2:$D$99,0))</f>
        <v>2</v>
      </c>
      <c r="M75" s="8" t="n">
        <f aca="false">INDEX(Mapping!$C$2:$C$99,MATCH(M$1&amp;"|"&amp;Customers!M75,Mapping!$D$2:$D$99,0))</f>
        <v>3</v>
      </c>
      <c r="N75" s="8" t="n">
        <f aca="false">INDEX(Mapping!$C$2:$C$99,MATCH(N$1&amp;"|"&amp;Customers!N75,Mapping!$D$2:$D$99,0))</f>
        <v>1</v>
      </c>
      <c r="O75" s="8" t="n">
        <f aca="false">INDEX(Mapping!$C$2:$C$99,MATCH(O$1&amp;"|"&amp;Customers!O75,Mapping!$D$2:$D$99,0))</f>
        <v>4</v>
      </c>
      <c r="P75" s="8" t="n">
        <f aca="false">INDEX(Mapping!$C$2:$C$99,MATCH(P$1&amp;"|"&amp;Customers!P75,Mapping!$D$2:$D$99,0))</f>
        <v>3</v>
      </c>
      <c r="Q75" s="8" t="n">
        <f aca="false">INDEX(Mapping!$C$2:$C$99,MATCH(Q$1&amp;"|"&amp;Customers!Q75,Mapping!$D$2:$D$99,0))</f>
        <v>1</v>
      </c>
      <c r="R75" s="8" t="n">
        <f aca="false">INDEX(Mapping!$C$2:$C$99,MATCH(R$1&amp;"|"&amp;Customers!R75,Mapping!$D$2:$D$99,0))</f>
        <v>1</v>
      </c>
      <c r="S75" s="8" t="n">
        <f aca="false">INDEX(Mapping!$C$2:$C$99,MATCH(S$1&amp;"|"&amp;Customers!S75,Mapping!$D$2:$D$99,0))</f>
        <v>1</v>
      </c>
      <c r="T75" s="8" t="n">
        <f aca="false">INDEX(Mapping!$C$2:$C$99,MATCH(T$1&amp;"|"&amp;Customers!T75,Mapping!$D$2:$D$99,0))</f>
        <v>2</v>
      </c>
      <c r="U75" s="8" t="n">
        <f aca="false">INDEX(Mapping!$C$2:$C$99,MATCH(U$1&amp;"|"&amp;Customers!U75,Mapping!$D$2:$D$99,0))</f>
        <v>3</v>
      </c>
      <c r="V75" s="8" t="n">
        <f aca="false">INDEX(Mapping!$C$2:$C$99,MATCH(V$1&amp;"|"&amp;Customers!V75,Mapping!$D$2:$D$99,0))</f>
        <v>1</v>
      </c>
      <c r="W75" s="17" t="n">
        <f aca="false">SUMPRODUCT($C75:$V75,Weights!$C$27:$V$27)</f>
        <v>1.6</v>
      </c>
      <c r="X75" s="18" t="n">
        <f aca="false">ROUND($W75,2)</f>
        <v>1.6</v>
      </c>
      <c r="Y75" s="8" t="str">
        <f aca="false">IF($X75&lt;=2,"Low",IF($X75&lt;=3.49,"Medium","High"))</f>
        <v>Low</v>
      </c>
      <c r="Z75" s="8" t="str">
        <f aca="false">IF(OR($F75&gt;=3,$E75=5,$D75=5,$C75=5,$G75=5,$H75=5,$I75=5,$J75=5,Customers!$W75="Yes"),"Yes","No")</f>
        <v>No</v>
      </c>
      <c r="AA75" s="15" t="str">
        <f aca="false">IF($Z75="Yes","High",$Y75)</f>
        <v>Low</v>
      </c>
      <c r="AB75" s="18" t="n">
        <f aca="false">SUMPRODUCT($C75:$G75,Weights!$C$28:$G$28)</f>
        <v>1</v>
      </c>
      <c r="AC75" s="18" t="n">
        <f aca="false">SUMPRODUCT($H75:$J75,Weights!$H$28:$J$28)</f>
        <v>1.4</v>
      </c>
      <c r="AD75" s="18" t="n">
        <f aca="false">SUMPRODUCT($K75:$N75,Weights!$K$28:$N$28)</f>
        <v>2.1</v>
      </c>
      <c r="AE75" s="18" t="n">
        <f aca="false">SUMPRODUCT($O75:$Q75,Weights!$O$28:$Q$28)</f>
        <v>3.05</v>
      </c>
      <c r="AF75" s="18" t="n">
        <f aca="false">SUMPRODUCT($R75:$V75,Weights!$R$28:$V$28)</f>
        <v>1.5</v>
      </c>
      <c r="AH75" s="18" t="n">
        <f aca="false">SUMPRODUCT($AB75:$AF75,Validation!$D$7:$H$7)</f>
        <v>1.6857142857145</v>
      </c>
      <c r="AI75" s="18" t="n">
        <f aca="false">SUMPRODUCT($AB75:$AF75,Validation!$D$8:$H$8)</f>
        <v>1.5142857142855</v>
      </c>
      <c r="AJ75" s="18" t="n">
        <f aca="false">SUMPRODUCT($AB75:$AF75,Validation!$D$9:$H$9)</f>
        <v>1.62666666666635</v>
      </c>
      <c r="AK75" s="18" t="n">
        <f aca="false">SUMPRODUCT($AB75:$AF75,Validation!$D$10:$H$10)</f>
        <v>1.57333333333365</v>
      </c>
      <c r="AL75" s="18" t="n">
        <f aca="false">SUMPRODUCT($AB75:$AF75,Validation!$D$11:$H$11)</f>
        <v>1.5375</v>
      </c>
      <c r="AM75" s="18" t="n">
        <f aca="false">SUMPRODUCT($AB75:$AF75,Validation!$D$12:$H$12)</f>
        <v>1.6625</v>
      </c>
      <c r="AN75" s="18" t="n">
        <f aca="false">SUMPRODUCT($AB75:$AF75,Validation!$D$13:$H$13)</f>
        <v>1.4388888888889</v>
      </c>
      <c r="AO75" s="18" t="n">
        <f aca="false">SUMPRODUCT($AB75:$AF75,Validation!$D$14:$H$14)</f>
        <v>1.7611111111111</v>
      </c>
      <c r="AP75" s="18" t="n">
        <f aca="false">SUMPRODUCT($AB75:$AF75,Validation!$D$15:$H$15)</f>
        <v>1.611764705882</v>
      </c>
      <c r="AQ75" s="18" t="n">
        <f aca="false">SUMPRODUCT($AB75:$AF75,Validation!$D$16:$H$16)</f>
        <v>1.588235294118</v>
      </c>
      <c r="AR75" s="8" t="n">
        <f aca="false">COUNTIF($C75:$V75,"&gt;=4")</f>
        <v>1</v>
      </c>
      <c r="AS75" s="8" t="str">
        <f aca="false">IF($X75&lt;=1.6,"Low",IF($X75&lt;=2.2,"Medium","High"))</f>
        <v>Low</v>
      </c>
      <c r="AT75" s="8" t="str">
        <f aca="false">IF($AR75=0,"Low",IF($AR75&lt;3,"Medium","High"))</f>
        <v>Medium</v>
      </c>
      <c r="AU75" s="8" t="str">
        <f aca="false">IF(OR($AS75="High",$AT75="High"),"High",IF(OR($AS75="Medium",$AT75="Medium"),"Medium","Low"))</f>
        <v>Medium</v>
      </c>
      <c r="AV75" s="15" t="str">
        <f aca="false">IF($Z75="Yes","High",$AU75)</f>
        <v>Medium</v>
      </c>
    </row>
    <row r="76" customFormat="false" ht="15" hidden="false" customHeight="false" outlineLevel="0" collapsed="false">
      <c r="A76" s="7" t="str">
        <f aca="false">Customers!$A76</f>
        <v>NG-10298</v>
      </c>
      <c r="B76" s="7" t="str">
        <f aca="false">Customers!$B76</f>
        <v>Personal</v>
      </c>
      <c r="C76" s="8" t="n">
        <f aca="false">INDEX(Mapping!$C$2:$C$99,MATCH(C$1&amp;"|"&amp;Customers!C76,Mapping!$D$2:$D$99,0))</f>
        <v>2</v>
      </c>
      <c r="D76" s="8" t="n">
        <f aca="false">INDEX(Mapping!$C$2:$C$99,MATCH(D$1&amp;"|"&amp;Customers!D76,Mapping!$D$2:$D$99,0))</f>
        <v>1</v>
      </c>
      <c r="E76" s="8" t="n">
        <f aca="false">INDEX(Mapping!$C$2:$C$99,MATCH(E$1&amp;"|"&amp;Customers!E76,Mapping!$D$2:$D$99,0))</f>
        <v>3</v>
      </c>
      <c r="F76" s="8" t="n">
        <f aca="false">INDEX(Mapping!$C$2:$C$99,MATCH(F$1&amp;"|"&amp;Customers!F76,Mapping!$D$2:$D$99,0))</f>
        <v>1</v>
      </c>
      <c r="G76" s="8" t="n">
        <f aca="false">INDEX(Mapping!$C$2:$C$99,MATCH(G$1&amp;"|"&amp;Customers!G76,Mapping!$D$2:$D$99,0))</f>
        <v>1</v>
      </c>
      <c r="H76" s="8" t="n">
        <f aca="false">INDEX(Mapping!$C$2:$C$99,MATCH(H$1&amp;"|"&amp;Customers!H76,Mapping!$D$2:$D$99,0))</f>
        <v>1</v>
      </c>
      <c r="I76" s="8" t="n">
        <f aca="false">INDEX(Mapping!$C$2:$C$99,MATCH(I$1&amp;"|"&amp;Customers!I76,Mapping!$D$2:$D$99,0))</f>
        <v>1</v>
      </c>
      <c r="J76" s="8" t="n">
        <f aca="false">INDEX(Mapping!$C$2:$C$99,MATCH(J$1&amp;"|"&amp;Customers!J76,Mapping!$D$2:$D$99,0))</f>
        <v>1</v>
      </c>
      <c r="K76" s="8" t="n">
        <f aca="false">INDEX(Mapping!$C$2:$C$99,MATCH(K$1&amp;"|"&amp;Customers!K76,Mapping!$D$2:$D$99,0))</f>
        <v>3</v>
      </c>
      <c r="L76" s="8" t="n">
        <f aca="false">INDEX(Mapping!$C$2:$C$99,MATCH(L$1&amp;"|"&amp;Customers!L76,Mapping!$D$2:$D$99,0))</f>
        <v>2</v>
      </c>
      <c r="M76" s="8" t="n">
        <f aca="false">INDEX(Mapping!$C$2:$C$99,MATCH(M$1&amp;"|"&amp;Customers!M76,Mapping!$D$2:$D$99,0))</f>
        <v>3</v>
      </c>
      <c r="N76" s="8" t="n">
        <f aca="false">INDEX(Mapping!$C$2:$C$99,MATCH(N$1&amp;"|"&amp;Customers!N76,Mapping!$D$2:$D$99,0))</f>
        <v>1</v>
      </c>
      <c r="O76" s="8" t="n">
        <f aca="false">INDEX(Mapping!$C$2:$C$99,MATCH(O$1&amp;"|"&amp;Customers!O76,Mapping!$D$2:$D$99,0))</f>
        <v>3</v>
      </c>
      <c r="P76" s="8" t="n">
        <f aca="false">INDEX(Mapping!$C$2:$C$99,MATCH(P$1&amp;"|"&amp;Customers!P76,Mapping!$D$2:$D$99,0))</f>
        <v>3</v>
      </c>
      <c r="Q76" s="8" t="n">
        <f aca="false">INDEX(Mapping!$C$2:$C$99,MATCH(Q$1&amp;"|"&amp;Customers!Q76,Mapping!$D$2:$D$99,0))</f>
        <v>3</v>
      </c>
      <c r="R76" s="8" t="n">
        <f aca="false">INDEX(Mapping!$C$2:$C$99,MATCH(R$1&amp;"|"&amp;Customers!R76,Mapping!$D$2:$D$99,0))</f>
        <v>1</v>
      </c>
      <c r="S76" s="8" t="n">
        <f aca="false">INDEX(Mapping!$C$2:$C$99,MATCH(S$1&amp;"|"&amp;Customers!S76,Mapping!$D$2:$D$99,0))</f>
        <v>2</v>
      </c>
      <c r="T76" s="8" t="n">
        <f aca="false">INDEX(Mapping!$C$2:$C$99,MATCH(T$1&amp;"|"&amp;Customers!T76,Mapping!$D$2:$D$99,0))</f>
        <v>1</v>
      </c>
      <c r="U76" s="8" t="n">
        <f aca="false">INDEX(Mapping!$C$2:$C$99,MATCH(U$1&amp;"|"&amp;Customers!U76,Mapping!$D$2:$D$99,0))</f>
        <v>2</v>
      </c>
      <c r="V76" s="8" t="n">
        <f aca="false">INDEX(Mapping!$C$2:$C$99,MATCH(V$1&amp;"|"&amp;Customers!V76,Mapping!$D$2:$D$99,0))</f>
        <v>1</v>
      </c>
      <c r="W76" s="17" t="n">
        <f aca="false">SUMPRODUCT($C76:$V76,Weights!$C$27:$V$27)</f>
        <v>1.7675</v>
      </c>
      <c r="X76" s="18" t="n">
        <f aca="false">ROUND($W76,2)</f>
        <v>1.77</v>
      </c>
      <c r="Y76" s="8" t="str">
        <f aca="false">IF($X76&lt;=2,"Low",IF($X76&lt;=3.49,"Medium","High"))</f>
        <v>Low</v>
      </c>
      <c r="Z76" s="8" t="str">
        <f aca="false">IF(OR($F76&gt;=3,$E76=5,$D76=5,$C76=5,$G76=5,$H76=5,$I76=5,$J76=5,Customers!$W76="Yes"),"Yes","No")</f>
        <v>No</v>
      </c>
      <c r="AA76" s="15" t="str">
        <f aca="false">IF($Z76="Yes","High",$Y76)</f>
        <v>Low</v>
      </c>
      <c r="AB76" s="18" t="n">
        <f aca="false">SUMPRODUCT($C76:$G76,Weights!$C$28:$G$28)</f>
        <v>1.7</v>
      </c>
      <c r="AC76" s="18" t="n">
        <f aca="false">SUMPRODUCT($H76:$J76,Weights!$H$28:$J$28)</f>
        <v>1</v>
      </c>
      <c r="AD76" s="18" t="n">
        <f aca="false">SUMPRODUCT($K76:$N76,Weights!$K$28:$N$28)</f>
        <v>2.45</v>
      </c>
      <c r="AE76" s="18" t="n">
        <f aca="false">SUMPRODUCT($O76:$Q76,Weights!$O$28:$Q$28)</f>
        <v>3</v>
      </c>
      <c r="AF76" s="18" t="n">
        <f aca="false">SUMPRODUCT($R76:$V76,Weights!$R$28:$V$28)</f>
        <v>1.45</v>
      </c>
      <c r="AH76" s="18" t="n">
        <f aca="false">SUMPRODUCT($AB76:$AF76,Validation!$D$7:$H$7)</f>
        <v>1.777142857143</v>
      </c>
      <c r="AI76" s="18" t="n">
        <f aca="false">SUMPRODUCT($AB76:$AF76,Validation!$D$8:$H$8)</f>
        <v>1.757857142857</v>
      </c>
      <c r="AJ76" s="18" t="n">
        <f aca="false">SUMPRODUCT($AB76:$AF76,Validation!$D$9:$H$9)</f>
        <v>1.86983333333315</v>
      </c>
      <c r="AK76" s="18" t="n">
        <f aca="false">SUMPRODUCT($AB76:$AF76,Validation!$D$10:$H$10)</f>
        <v>1.66516666666685</v>
      </c>
      <c r="AL76" s="18" t="n">
        <f aca="false">SUMPRODUCT($AB76:$AF76,Validation!$D$11:$H$11)</f>
        <v>1.6821875</v>
      </c>
      <c r="AM76" s="18" t="n">
        <f aca="false">SUMPRODUCT($AB76:$AF76,Validation!$D$12:$H$12)</f>
        <v>1.8528125</v>
      </c>
      <c r="AN76" s="18" t="n">
        <f aca="false">SUMPRODUCT($AB76:$AF76,Validation!$D$13:$H$13)</f>
        <v>1.63055555555515</v>
      </c>
      <c r="AO76" s="18" t="n">
        <f aca="false">SUMPRODUCT($AB76:$AF76,Validation!$D$14:$H$14)</f>
        <v>1.90444444444485</v>
      </c>
      <c r="AP76" s="18" t="n">
        <f aca="false">SUMPRODUCT($AB76:$AF76,Validation!$D$15:$H$15)</f>
        <v>1.80485294117615</v>
      </c>
      <c r="AQ76" s="18" t="n">
        <f aca="false">SUMPRODUCT($AB76:$AF76,Validation!$D$16:$H$16)</f>
        <v>1.73014705882385</v>
      </c>
      <c r="AR76" s="8" t="n">
        <f aca="false">COUNTIF($C76:$V76,"&gt;=4")</f>
        <v>0</v>
      </c>
      <c r="AS76" s="8" t="str">
        <f aca="false">IF($X76&lt;=1.6,"Low",IF($X76&lt;=2.2,"Medium","High"))</f>
        <v>Medium</v>
      </c>
      <c r="AT76" s="8" t="str">
        <f aca="false">IF($AR76=0,"Low",IF($AR76&lt;3,"Medium","High"))</f>
        <v>Low</v>
      </c>
      <c r="AU76" s="8" t="str">
        <f aca="false">IF(OR($AS76="High",$AT76="High"),"High",IF(OR($AS76="Medium",$AT76="Medium"),"Medium","Low"))</f>
        <v>Medium</v>
      </c>
      <c r="AV76" s="15" t="str">
        <f aca="false">IF($Z76="Yes","High",$AU76)</f>
        <v>Medium</v>
      </c>
    </row>
    <row r="77" customFormat="false" ht="15" hidden="false" customHeight="false" outlineLevel="0" collapsed="false">
      <c r="A77" s="7" t="str">
        <f aca="false">Customers!$A77</f>
        <v>NG-10139</v>
      </c>
      <c r="B77" s="7" t="str">
        <f aca="false">Customers!$B77</f>
        <v>Personal</v>
      </c>
      <c r="C77" s="8" t="n">
        <f aca="false">INDEX(Mapping!$C$2:$C$99,MATCH(C$1&amp;"|"&amp;Customers!C77,Mapping!$D$2:$D$99,0))</f>
        <v>1</v>
      </c>
      <c r="D77" s="8" t="n">
        <f aca="false">INDEX(Mapping!$C$2:$C$99,MATCH(D$1&amp;"|"&amp;Customers!D77,Mapping!$D$2:$D$99,0))</f>
        <v>1</v>
      </c>
      <c r="E77" s="8" t="n">
        <f aca="false">INDEX(Mapping!$C$2:$C$99,MATCH(E$1&amp;"|"&amp;Customers!E77,Mapping!$D$2:$D$99,0))</f>
        <v>1</v>
      </c>
      <c r="F77" s="8" t="n">
        <f aca="false">INDEX(Mapping!$C$2:$C$99,MATCH(F$1&amp;"|"&amp;Customers!F77,Mapping!$D$2:$D$99,0))</f>
        <v>1</v>
      </c>
      <c r="G77" s="8" t="n">
        <f aca="false">INDEX(Mapping!$C$2:$C$99,MATCH(G$1&amp;"|"&amp;Customers!G77,Mapping!$D$2:$D$99,0))</f>
        <v>1</v>
      </c>
      <c r="H77" s="8" t="n">
        <f aca="false">INDEX(Mapping!$C$2:$C$99,MATCH(H$1&amp;"|"&amp;Customers!H77,Mapping!$D$2:$D$99,0))</f>
        <v>1</v>
      </c>
      <c r="I77" s="8" t="n">
        <f aca="false">INDEX(Mapping!$C$2:$C$99,MATCH(I$1&amp;"|"&amp;Customers!I77,Mapping!$D$2:$D$99,0))</f>
        <v>1</v>
      </c>
      <c r="J77" s="8" t="n">
        <f aca="false">INDEX(Mapping!$C$2:$C$99,MATCH(J$1&amp;"|"&amp;Customers!J77,Mapping!$D$2:$D$99,0))</f>
        <v>2</v>
      </c>
      <c r="K77" s="8" t="n">
        <f aca="false">INDEX(Mapping!$C$2:$C$99,MATCH(K$1&amp;"|"&amp;Customers!K77,Mapping!$D$2:$D$99,0))</f>
        <v>1</v>
      </c>
      <c r="L77" s="8" t="n">
        <f aca="false">INDEX(Mapping!$C$2:$C$99,MATCH(L$1&amp;"|"&amp;Customers!L77,Mapping!$D$2:$D$99,0))</f>
        <v>2</v>
      </c>
      <c r="M77" s="8" t="n">
        <f aca="false">INDEX(Mapping!$C$2:$C$99,MATCH(M$1&amp;"|"&amp;Customers!M77,Mapping!$D$2:$D$99,0))</f>
        <v>1</v>
      </c>
      <c r="N77" s="8" t="n">
        <f aca="false">INDEX(Mapping!$C$2:$C$99,MATCH(N$1&amp;"|"&amp;Customers!N77,Mapping!$D$2:$D$99,0))</f>
        <v>1</v>
      </c>
      <c r="O77" s="8" t="n">
        <f aca="false">INDEX(Mapping!$C$2:$C$99,MATCH(O$1&amp;"|"&amp;Customers!O77,Mapping!$D$2:$D$99,0))</f>
        <v>4</v>
      </c>
      <c r="P77" s="8" t="n">
        <f aca="false">INDEX(Mapping!$C$2:$C$99,MATCH(P$1&amp;"|"&amp;Customers!P77,Mapping!$D$2:$D$99,0))</f>
        <v>3</v>
      </c>
      <c r="Q77" s="8" t="n">
        <f aca="false">INDEX(Mapping!$C$2:$C$99,MATCH(Q$1&amp;"|"&amp;Customers!Q77,Mapping!$D$2:$D$99,0))</f>
        <v>1</v>
      </c>
      <c r="R77" s="8" t="n">
        <f aca="false">INDEX(Mapping!$C$2:$C$99,MATCH(R$1&amp;"|"&amp;Customers!R77,Mapping!$D$2:$D$99,0))</f>
        <v>1</v>
      </c>
      <c r="S77" s="8" t="n">
        <f aca="false">INDEX(Mapping!$C$2:$C$99,MATCH(S$1&amp;"|"&amp;Customers!S77,Mapping!$D$2:$D$99,0))</f>
        <v>2</v>
      </c>
      <c r="T77" s="8" t="n">
        <f aca="false">INDEX(Mapping!$C$2:$C$99,MATCH(T$1&amp;"|"&amp;Customers!T77,Mapping!$D$2:$D$99,0))</f>
        <v>1</v>
      </c>
      <c r="U77" s="8" t="n">
        <f aca="false">INDEX(Mapping!$C$2:$C$99,MATCH(U$1&amp;"|"&amp;Customers!U77,Mapping!$D$2:$D$99,0))</f>
        <v>1</v>
      </c>
      <c r="V77" s="8" t="n">
        <f aca="false">INDEX(Mapping!$C$2:$C$99,MATCH(V$1&amp;"|"&amp;Customers!V77,Mapping!$D$2:$D$99,0))</f>
        <v>1</v>
      </c>
      <c r="W77" s="17" t="n">
        <f aca="false">SUMPRODUCT($C77:$V77,Weights!$C$27:$V$27)</f>
        <v>1.4</v>
      </c>
      <c r="X77" s="18" t="n">
        <f aca="false">ROUND($W77,2)</f>
        <v>1.4</v>
      </c>
      <c r="Y77" s="8" t="str">
        <f aca="false">IF($X77&lt;=2,"Low",IF($X77&lt;=3.49,"Medium","High"))</f>
        <v>Low</v>
      </c>
      <c r="Z77" s="8" t="str">
        <f aca="false">IF(OR($F77&gt;=3,$E77=5,$D77=5,$C77=5,$G77=5,$H77=5,$I77=5,$J77=5,Customers!$W77="Yes"),"Yes","No")</f>
        <v>No</v>
      </c>
      <c r="AA77" s="15" t="str">
        <f aca="false">IF($Z77="Yes","High",$Y77)</f>
        <v>Low</v>
      </c>
      <c r="AB77" s="18" t="n">
        <f aca="false">SUMPRODUCT($C77:$G77,Weights!$C$28:$G$28)</f>
        <v>1</v>
      </c>
      <c r="AC77" s="18" t="n">
        <f aca="false">SUMPRODUCT($H77:$J77,Weights!$H$28:$J$28)</f>
        <v>1.4</v>
      </c>
      <c r="AD77" s="18" t="n">
        <f aca="false">SUMPRODUCT($K77:$N77,Weights!$K$28:$N$28)</f>
        <v>1.25</v>
      </c>
      <c r="AE77" s="18" t="n">
        <f aca="false">SUMPRODUCT($O77:$Q77,Weights!$O$28:$Q$28)</f>
        <v>3.05</v>
      </c>
      <c r="AF77" s="18" t="n">
        <f aca="false">SUMPRODUCT($R77:$V77,Weights!$R$28:$V$28)</f>
        <v>1.3</v>
      </c>
      <c r="AH77" s="18" t="n">
        <f aca="false">SUMPRODUCT($AB77:$AF77,Validation!$D$7:$H$7)</f>
        <v>1.45714285714335</v>
      </c>
      <c r="AI77" s="18" t="n">
        <f aca="false">SUMPRODUCT($AB77:$AF77,Validation!$D$8:$H$8)</f>
        <v>1.34285714285665</v>
      </c>
      <c r="AJ77" s="18" t="n">
        <f aca="false">SUMPRODUCT($AB77:$AF77,Validation!$D$9:$H$9)</f>
        <v>1.3999999999994</v>
      </c>
      <c r="AK77" s="18" t="n">
        <f aca="false">SUMPRODUCT($AB77:$AF77,Validation!$D$10:$H$10)</f>
        <v>1.4000000000006</v>
      </c>
      <c r="AL77" s="18" t="n">
        <f aca="false">SUMPRODUCT($AB77:$AF77,Validation!$D$11:$H$11)</f>
        <v>1.41875</v>
      </c>
      <c r="AM77" s="18" t="n">
        <f aca="false">SUMPRODUCT($AB77:$AF77,Validation!$D$12:$H$12)</f>
        <v>1.38125</v>
      </c>
      <c r="AN77" s="18" t="n">
        <f aca="false">SUMPRODUCT($AB77:$AF77,Validation!$D$13:$H$13)</f>
        <v>1.2166666666668</v>
      </c>
      <c r="AO77" s="18" t="n">
        <f aca="false">SUMPRODUCT($AB77:$AF77,Validation!$D$14:$H$14)</f>
        <v>1.5833333333332</v>
      </c>
      <c r="AP77" s="18" t="n">
        <f aca="false">SUMPRODUCT($AB77:$AF77,Validation!$D$15:$H$15)</f>
        <v>1.41176470588175</v>
      </c>
      <c r="AQ77" s="18" t="n">
        <f aca="false">SUMPRODUCT($AB77:$AF77,Validation!$D$16:$H$16)</f>
        <v>1.38823529411825</v>
      </c>
      <c r="AR77" s="8" t="n">
        <f aca="false">COUNTIF($C77:$V77,"&gt;=4")</f>
        <v>1</v>
      </c>
      <c r="AS77" s="8" t="str">
        <f aca="false">IF($X77&lt;=1.6,"Low",IF($X77&lt;=2.2,"Medium","High"))</f>
        <v>Low</v>
      </c>
      <c r="AT77" s="8" t="str">
        <f aca="false">IF($AR77=0,"Low",IF($AR77&lt;3,"Medium","High"))</f>
        <v>Medium</v>
      </c>
      <c r="AU77" s="8" t="str">
        <f aca="false">IF(OR($AS77="High",$AT77="High"),"High",IF(OR($AS77="Medium",$AT77="Medium"),"Medium","Low"))</f>
        <v>Medium</v>
      </c>
      <c r="AV77" s="15" t="str">
        <f aca="false">IF($Z77="Yes","High",$AU77)</f>
        <v>Medium</v>
      </c>
    </row>
    <row r="78" customFormat="false" ht="15" hidden="false" customHeight="false" outlineLevel="0" collapsed="false">
      <c r="A78" s="7" t="str">
        <f aca="false">Customers!$A78</f>
        <v>NG-10386</v>
      </c>
      <c r="B78" s="7" t="str">
        <f aca="false">Customers!$B78</f>
        <v>Limited company</v>
      </c>
      <c r="C78" s="8" t="n">
        <f aca="false">INDEX(Mapping!$C$2:$C$99,MATCH(C$1&amp;"|"&amp;Customers!C78,Mapping!$D$2:$D$99,0))</f>
        <v>3</v>
      </c>
      <c r="D78" s="8" t="n">
        <f aca="false">INDEX(Mapping!$C$2:$C$99,MATCH(D$1&amp;"|"&amp;Customers!D78,Mapping!$D$2:$D$99,0))</f>
        <v>3</v>
      </c>
      <c r="E78" s="8" t="n">
        <f aca="false">INDEX(Mapping!$C$2:$C$99,MATCH(E$1&amp;"|"&amp;Customers!E78,Mapping!$D$2:$D$99,0))</f>
        <v>2</v>
      </c>
      <c r="F78" s="8" t="n">
        <f aca="false">INDEX(Mapping!$C$2:$C$99,MATCH(F$1&amp;"|"&amp;Customers!F78,Mapping!$D$2:$D$99,0))</f>
        <v>1</v>
      </c>
      <c r="G78" s="8" t="n">
        <f aca="false">INDEX(Mapping!$C$2:$C$99,MATCH(G$1&amp;"|"&amp;Customers!G78,Mapping!$D$2:$D$99,0))</f>
        <v>1</v>
      </c>
      <c r="H78" s="8" t="n">
        <f aca="false">INDEX(Mapping!$C$2:$C$99,MATCH(H$1&amp;"|"&amp;Customers!H78,Mapping!$D$2:$D$99,0))</f>
        <v>1</v>
      </c>
      <c r="I78" s="8" t="n">
        <f aca="false">INDEX(Mapping!$C$2:$C$99,MATCH(I$1&amp;"|"&amp;Customers!I78,Mapping!$D$2:$D$99,0))</f>
        <v>2</v>
      </c>
      <c r="J78" s="8" t="n">
        <f aca="false">INDEX(Mapping!$C$2:$C$99,MATCH(J$1&amp;"|"&amp;Customers!J78,Mapping!$D$2:$D$99,0))</f>
        <v>2</v>
      </c>
      <c r="K78" s="8" t="n">
        <f aca="false">INDEX(Mapping!$C$2:$C$99,MATCH(K$1&amp;"|"&amp;Customers!K78,Mapping!$D$2:$D$99,0))</f>
        <v>5</v>
      </c>
      <c r="L78" s="8" t="n">
        <f aca="false">INDEX(Mapping!$C$2:$C$99,MATCH(L$1&amp;"|"&amp;Customers!L78,Mapping!$D$2:$D$99,0))</f>
        <v>3</v>
      </c>
      <c r="M78" s="8" t="n">
        <f aca="false">INDEX(Mapping!$C$2:$C$99,MATCH(M$1&amp;"|"&amp;Customers!M78,Mapping!$D$2:$D$99,0))</f>
        <v>3</v>
      </c>
      <c r="N78" s="8" t="n">
        <f aca="false">INDEX(Mapping!$C$2:$C$99,MATCH(N$1&amp;"|"&amp;Customers!N78,Mapping!$D$2:$D$99,0))</f>
        <v>3</v>
      </c>
      <c r="O78" s="8" t="n">
        <f aca="false">INDEX(Mapping!$C$2:$C$99,MATCH(O$1&amp;"|"&amp;Customers!O78,Mapping!$D$2:$D$99,0))</f>
        <v>3</v>
      </c>
      <c r="P78" s="8" t="n">
        <f aca="false">INDEX(Mapping!$C$2:$C$99,MATCH(P$1&amp;"|"&amp;Customers!P78,Mapping!$D$2:$D$99,0))</f>
        <v>3</v>
      </c>
      <c r="Q78" s="8" t="n">
        <f aca="false">INDEX(Mapping!$C$2:$C$99,MATCH(Q$1&amp;"|"&amp;Customers!Q78,Mapping!$D$2:$D$99,0))</f>
        <v>1</v>
      </c>
      <c r="R78" s="8" t="n">
        <f aca="false">INDEX(Mapping!$C$2:$C$99,MATCH(R$1&amp;"|"&amp;Customers!R78,Mapping!$D$2:$D$99,0))</f>
        <v>2</v>
      </c>
      <c r="S78" s="8" t="n">
        <f aca="false">INDEX(Mapping!$C$2:$C$99,MATCH(S$1&amp;"|"&amp;Customers!S78,Mapping!$D$2:$D$99,0))</f>
        <v>1</v>
      </c>
      <c r="T78" s="8" t="n">
        <f aca="false">INDEX(Mapping!$C$2:$C$99,MATCH(T$1&amp;"|"&amp;Customers!T78,Mapping!$D$2:$D$99,0))</f>
        <v>2</v>
      </c>
      <c r="U78" s="8" t="n">
        <f aca="false">INDEX(Mapping!$C$2:$C$99,MATCH(U$1&amp;"|"&amp;Customers!U78,Mapping!$D$2:$D$99,0))</f>
        <v>3</v>
      </c>
      <c r="V78" s="8" t="n">
        <f aca="false">INDEX(Mapping!$C$2:$C$99,MATCH(V$1&amp;"|"&amp;Customers!V78,Mapping!$D$2:$D$99,0))</f>
        <v>2</v>
      </c>
      <c r="W78" s="17" t="n">
        <f aca="false">SUMPRODUCT($C78:$V78,Weights!$C$27:$V$27)</f>
        <v>2.2925</v>
      </c>
      <c r="X78" s="18" t="n">
        <f aca="false">ROUND($W78,2)</f>
        <v>2.29</v>
      </c>
      <c r="Y78" s="8" t="str">
        <f aca="false">IF($X78&lt;=2,"Low",IF($X78&lt;=3.49,"Medium","High"))</f>
        <v>Medium</v>
      </c>
      <c r="Z78" s="8" t="str">
        <f aca="false">IF(OR($F78&gt;=3,$E78=5,$D78=5,$C78=5,$G78=5,$H78=5,$I78=5,$J78=5,Customers!$W78="Yes"),"Yes","No")</f>
        <v>No</v>
      </c>
      <c r="AA78" s="15" t="str">
        <f aca="false">IF($Z78="Yes","High",$Y78)</f>
        <v>Medium</v>
      </c>
      <c r="AB78" s="18" t="n">
        <f aca="false">SUMPRODUCT($C78:$G78,Weights!$C$28:$G$28)</f>
        <v>2.05</v>
      </c>
      <c r="AC78" s="18" t="n">
        <f aca="false">SUMPRODUCT($H78:$J78,Weights!$H$28:$J$28)</f>
        <v>1.6</v>
      </c>
      <c r="AD78" s="18" t="n">
        <f aca="false">SUMPRODUCT($K78:$N78,Weights!$K$28:$N$28)</f>
        <v>3.7</v>
      </c>
      <c r="AE78" s="18" t="n">
        <f aca="false">SUMPRODUCT($O78:$Q78,Weights!$O$28:$Q$28)</f>
        <v>2.6</v>
      </c>
      <c r="AF78" s="18" t="n">
        <f aca="false">SUMPRODUCT($R78:$V78,Weights!$R$28:$V$28)</f>
        <v>1.85</v>
      </c>
      <c r="AH78" s="18" t="n">
        <f aca="false">SUMPRODUCT($AB78:$AF78,Validation!$D$7:$H$7)</f>
        <v>2.32714285714235</v>
      </c>
      <c r="AI78" s="18" t="n">
        <f aca="false">SUMPRODUCT($AB78:$AF78,Validation!$D$8:$H$8)</f>
        <v>2.25785714285765</v>
      </c>
      <c r="AJ78" s="18" t="n">
        <f aca="false">SUMPRODUCT($AB78:$AF78,Validation!$D$9:$H$9)</f>
        <v>2.3848333333337</v>
      </c>
      <c r="AK78" s="18" t="n">
        <f aca="false">SUMPRODUCT($AB78:$AF78,Validation!$D$10:$H$10)</f>
        <v>2.2001666666663</v>
      </c>
      <c r="AL78" s="18" t="n">
        <f aca="false">SUMPRODUCT($AB78:$AF78,Validation!$D$11:$H$11)</f>
        <v>2.1165625</v>
      </c>
      <c r="AM78" s="18" t="n">
        <f aca="false">SUMPRODUCT($AB78:$AF78,Validation!$D$12:$H$12)</f>
        <v>2.4684375</v>
      </c>
      <c r="AN78" s="18" t="n">
        <f aca="false">SUMPRODUCT($AB78:$AF78,Validation!$D$13:$H$13)</f>
        <v>2.2583333333328</v>
      </c>
      <c r="AO78" s="18" t="n">
        <f aca="false">SUMPRODUCT($AB78:$AF78,Validation!$D$14:$H$14)</f>
        <v>2.3266666666672</v>
      </c>
      <c r="AP78" s="18" t="n">
        <f aca="false">SUMPRODUCT($AB78:$AF78,Validation!$D$15:$H$15)</f>
        <v>2.34455882352965</v>
      </c>
      <c r="AQ78" s="18" t="n">
        <f aca="false">SUMPRODUCT($AB78:$AF78,Validation!$D$16:$H$16)</f>
        <v>2.24044117647035</v>
      </c>
      <c r="AR78" s="8" t="n">
        <f aca="false">COUNTIF($C78:$V78,"&gt;=4")</f>
        <v>1</v>
      </c>
      <c r="AS78" s="8" t="str">
        <f aca="false">IF($X78&lt;=1.6,"Low",IF($X78&lt;=2.2,"Medium","High"))</f>
        <v>High</v>
      </c>
      <c r="AT78" s="8" t="str">
        <f aca="false">IF($AR78=0,"Low",IF($AR78&lt;3,"Medium","High"))</f>
        <v>Medium</v>
      </c>
      <c r="AU78" s="8" t="str">
        <f aca="false">IF(OR($AS78="High",$AT78="High"),"High",IF(OR($AS78="Medium",$AT78="Medium"),"Medium","Low"))</f>
        <v>High</v>
      </c>
      <c r="AV78" s="15" t="str">
        <f aca="false">IF($Z78="Yes","High",$AU78)</f>
        <v>High</v>
      </c>
    </row>
    <row r="79" customFormat="false" ht="15" hidden="false" customHeight="false" outlineLevel="0" collapsed="false">
      <c r="A79" s="7" t="str">
        <f aca="false">Customers!$A79</f>
        <v>NG-10378</v>
      </c>
      <c r="B79" s="7" t="str">
        <f aca="false">Customers!$B79</f>
        <v>Limited company</v>
      </c>
      <c r="C79" s="8" t="n">
        <f aca="false">INDEX(Mapping!$C$2:$C$99,MATCH(C$1&amp;"|"&amp;Customers!C79,Mapping!$D$2:$D$99,0))</f>
        <v>4</v>
      </c>
      <c r="D79" s="8" t="n">
        <f aca="false">INDEX(Mapping!$C$2:$C$99,MATCH(D$1&amp;"|"&amp;Customers!D79,Mapping!$D$2:$D$99,0))</f>
        <v>3</v>
      </c>
      <c r="E79" s="8" t="n">
        <f aca="false">INDEX(Mapping!$C$2:$C$99,MATCH(E$1&amp;"|"&amp;Customers!E79,Mapping!$D$2:$D$99,0))</f>
        <v>3</v>
      </c>
      <c r="F79" s="8" t="n">
        <f aca="false">INDEX(Mapping!$C$2:$C$99,MATCH(F$1&amp;"|"&amp;Customers!F79,Mapping!$D$2:$D$99,0))</f>
        <v>5</v>
      </c>
      <c r="G79" s="8" t="n">
        <f aca="false">INDEX(Mapping!$C$2:$C$99,MATCH(G$1&amp;"|"&amp;Customers!G79,Mapping!$D$2:$D$99,0))</f>
        <v>1</v>
      </c>
      <c r="H79" s="8" t="n">
        <f aca="false">INDEX(Mapping!$C$2:$C$99,MATCH(H$1&amp;"|"&amp;Customers!H79,Mapping!$D$2:$D$99,0))</f>
        <v>1</v>
      </c>
      <c r="I79" s="8" t="n">
        <f aca="false">INDEX(Mapping!$C$2:$C$99,MATCH(I$1&amp;"|"&amp;Customers!I79,Mapping!$D$2:$D$99,0))</f>
        <v>1</v>
      </c>
      <c r="J79" s="8" t="n">
        <f aca="false">INDEX(Mapping!$C$2:$C$99,MATCH(J$1&amp;"|"&amp;Customers!J79,Mapping!$D$2:$D$99,0))</f>
        <v>1</v>
      </c>
      <c r="K79" s="8" t="n">
        <f aca="false">INDEX(Mapping!$C$2:$C$99,MATCH(K$1&amp;"|"&amp;Customers!K79,Mapping!$D$2:$D$99,0))</f>
        <v>4</v>
      </c>
      <c r="L79" s="8" t="n">
        <f aca="false">INDEX(Mapping!$C$2:$C$99,MATCH(L$1&amp;"|"&amp;Customers!L79,Mapping!$D$2:$D$99,0))</f>
        <v>5</v>
      </c>
      <c r="M79" s="8" t="n">
        <f aca="false">INDEX(Mapping!$C$2:$C$99,MATCH(M$1&amp;"|"&amp;Customers!M79,Mapping!$D$2:$D$99,0))</f>
        <v>2</v>
      </c>
      <c r="N79" s="8" t="n">
        <f aca="false">INDEX(Mapping!$C$2:$C$99,MATCH(N$1&amp;"|"&amp;Customers!N79,Mapping!$D$2:$D$99,0))</f>
        <v>5</v>
      </c>
      <c r="O79" s="8" t="n">
        <f aca="false">INDEX(Mapping!$C$2:$C$99,MATCH(O$1&amp;"|"&amp;Customers!O79,Mapping!$D$2:$D$99,0))</f>
        <v>2</v>
      </c>
      <c r="P79" s="8" t="n">
        <f aca="false">INDEX(Mapping!$C$2:$C$99,MATCH(P$1&amp;"|"&amp;Customers!P79,Mapping!$D$2:$D$99,0))</f>
        <v>3</v>
      </c>
      <c r="Q79" s="8" t="n">
        <f aca="false">INDEX(Mapping!$C$2:$C$99,MATCH(Q$1&amp;"|"&amp;Customers!Q79,Mapping!$D$2:$D$99,0))</f>
        <v>1</v>
      </c>
      <c r="R79" s="8" t="n">
        <f aca="false">INDEX(Mapping!$C$2:$C$99,MATCH(R$1&amp;"|"&amp;Customers!R79,Mapping!$D$2:$D$99,0))</f>
        <v>3</v>
      </c>
      <c r="S79" s="8" t="n">
        <f aca="false">INDEX(Mapping!$C$2:$C$99,MATCH(S$1&amp;"|"&amp;Customers!S79,Mapping!$D$2:$D$99,0))</f>
        <v>3</v>
      </c>
      <c r="T79" s="8" t="n">
        <f aca="false">INDEX(Mapping!$C$2:$C$99,MATCH(T$1&amp;"|"&amp;Customers!T79,Mapping!$D$2:$D$99,0))</f>
        <v>1</v>
      </c>
      <c r="U79" s="8" t="n">
        <f aca="false">INDEX(Mapping!$C$2:$C$99,MATCH(U$1&amp;"|"&amp;Customers!U79,Mapping!$D$2:$D$99,0))</f>
        <v>2</v>
      </c>
      <c r="V79" s="8" t="n">
        <f aca="false">INDEX(Mapping!$C$2:$C$99,MATCH(V$1&amp;"|"&amp;Customers!V79,Mapping!$D$2:$D$99,0))</f>
        <v>1</v>
      </c>
      <c r="W79" s="17" t="n">
        <f aca="false">SUMPRODUCT($C79:$V79,Weights!$C$27:$V$27)</f>
        <v>2.5725</v>
      </c>
      <c r="X79" s="18" t="n">
        <f aca="false">ROUND($W79,2)</f>
        <v>2.57</v>
      </c>
      <c r="Y79" s="8" t="str">
        <f aca="false">IF($X79&lt;=2,"Low",IF($X79&lt;=3.49,"Medium","High"))</f>
        <v>Medium</v>
      </c>
      <c r="Z79" s="8" t="str">
        <f aca="false">IF(OR($F79&gt;=3,$E79=5,$D79=5,$C79=5,$G79=5,$H79=5,$I79=5,$J79=5,Customers!$W79="Yes"),"Yes","No")</f>
        <v>Yes</v>
      </c>
      <c r="AA79" s="15" t="str">
        <f aca="false">IF($Z79="Yes","High",$Y79)</f>
        <v>High</v>
      </c>
      <c r="AB79" s="18" t="n">
        <f aca="false">SUMPRODUCT($C79:$G79,Weights!$C$28:$G$28)</f>
        <v>3.3</v>
      </c>
      <c r="AC79" s="18" t="n">
        <f aca="false">SUMPRODUCT($H79:$J79,Weights!$H$28:$J$28)</f>
        <v>1</v>
      </c>
      <c r="AD79" s="18" t="n">
        <f aca="false">SUMPRODUCT($K79:$N79,Weights!$K$28:$N$28)</f>
        <v>3.9</v>
      </c>
      <c r="AE79" s="18" t="n">
        <f aca="false">SUMPRODUCT($O79:$Q79,Weights!$O$28:$Q$28)</f>
        <v>2.15</v>
      </c>
      <c r="AF79" s="18" t="n">
        <f aca="false">SUMPRODUCT($R79:$V79,Weights!$R$28:$V$28)</f>
        <v>2.25</v>
      </c>
      <c r="AH79" s="18" t="n">
        <f aca="false">SUMPRODUCT($AB79:$AF79,Validation!$D$7:$H$7)</f>
        <v>2.46857142857105</v>
      </c>
      <c r="AI79" s="18" t="n">
        <f aca="false">SUMPRODUCT($AB79:$AF79,Validation!$D$8:$H$8)</f>
        <v>2.67642857142895</v>
      </c>
      <c r="AJ79" s="18" t="n">
        <f aca="false">SUMPRODUCT($AB79:$AF79,Validation!$D$9:$H$9)</f>
        <v>2.78216666666725</v>
      </c>
      <c r="AK79" s="18" t="n">
        <f aca="false">SUMPRODUCT($AB79:$AF79,Validation!$D$10:$H$10)</f>
        <v>2.36283333333275</v>
      </c>
      <c r="AL79" s="18" t="n">
        <f aca="false">SUMPRODUCT($AB79:$AF79,Validation!$D$11:$H$11)</f>
        <v>2.4065625</v>
      </c>
      <c r="AM79" s="18" t="n">
        <f aca="false">SUMPRODUCT($AB79:$AF79,Validation!$D$12:$H$12)</f>
        <v>2.7384375</v>
      </c>
      <c r="AN79" s="18" t="n">
        <f aca="false">SUMPRODUCT($AB79:$AF79,Validation!$D$13:$H$13)</f>
        <v>2.61944444444345</v>
      </c>
      <c r="AO79" s="18" t="n">
        <f aca="false">SUMPRODUCT($AB79:$AF79,Validation!$D$14:$H$14)</f>
        <v>2.52555555555655</v>
      </c>
      <c r="AP79" s="18" t="n">
        <f aca="false">SUMPRODUCT($AB79:$AF79,Validation!$D$15:$H$15)</f>
        <v>2.6104411764709</v>
      </c>
      <c r="AQ79" s="18" t="n">
        <f aca="false">SUMPRODUCT($AB79:$AF79,Validation!$D$16:$H$16)</f>
        <v>2.5345588235291</v>
      </c>
      <c r="AR79" s="8" t="n">
        <f aca="false">COUNTIF($C79:$V79,"&gt;=4")</f>
        <v>5</v>
      </c>
      <c r="AS79" s="8" t="str">
        <f aca="false">IF($X79&lt;=1.6,"Low",IF($X79&lt;=2.2,"Medium","High"))</f>
        <v>High</v>
      </c>
      <c r="AT79" s="8" t="str">
        <f aca="false">IF($AR79=0,"Low",IF($AR79&lt;3,"Medium","High"))</f>
        <v>High</v>
      </c>
      <c r="AU79" s="8" t="str">
        <f aca="false">IF(OR($AS79="High",$AT79="High"),"High",IF(OR($AS79="Medium",$AT79="Medium"),"Medium","Low"))</f>
        <v>High</v>
      </c>
      <c r="AV79" s="15" t="str">
        <f aca="false">IF($Z79="Yes","High",$AU79)</f>
        <v>High</v>
      </c>
    </row>
    <row r="80" customFormat="false" ht="15" hidden="false" customHeight="false" outlineLevel="0" collapsed="false">
      <c r="A80" s="7" t="str">
        <f aca="false">Customers!$A80</f>
        <v>NG-10188</v>
      </c>
      <c r="B80" s="7" t="str">
        <f aca="false">Customers!$B80</f>
        <v>Personal</v>
      </c>
      <c r="C80" s="8" t="n">
        <f aca="false">INDEX(Mapping!$C$2:$C$99,MATCH(C$1&amp;"|"&amp;Customers!C80,Mapping!$D$2:$D$99,0))</f>
        <v>1</v>
      </c>
      <c r="D80" s="8" t="n">
        <f aca="false">INDEX(Mapping!$C$2:$C$99,MATCH(D$1&amp;"|"&amp;Customers!D80,Mapping!$D$2:$D$99,0))</f>
        <v>1</v>
      </c>
      <c r="E80" s="8" t="n">
        <f aca="false">INDEX(Mapping!$C$2:$C$99,MATCH(E$1&amp;"|"&amp;Customers!E80,Mapping!$D$2:$D$99,0))</f>
        <v>1</v>
      </c>
      <c r="F80" s="8" t="n">
        <f aca="false">INDEX(Mapping!$C$2:$C$99,MATCH(F$1&amp;"|"&amp;Customers!F80,Mapping!$D$2:$D$99,0))</f>
        <v>1</v>
      </c>
      <c r="G80" s="8" t="n">
        <f aca="false">INDEX(Mapping!$C$2:$C$99,MATCH(G$1&amp;"|"&amp;Customers!G80,Mapping!$D$2:$D$99,0))</f>
        <v>1</v>
      </c>
      <c r="H80" s="8" t="n">
        <f aca="false">INDEX(Mapping!$C$2:$C$99,MATCH(H$1&amp;"|"&amp;Customers!H80,Mapping!$D$2:$D$99,0))</f>
        <v>1</v>
      </c>
      <c r="I80" s="8" t="n">
        <f aca="false">INDEX(Mapping!$C$2:$C$99,MATCH(I$1&amp;"|"&amp;Customers!I80,Mapping!$D$2:$D$99,0))</f>
        <v>1</v>
      </c>
      <c r="J80" s="8" t="n">
        <f aca="false">INDEX(Mapping!$C$2:$C$99,MATCH(J$1&amp;"|"&amp;Customers!J80,Mapping!$D$2:$D$99,0))</f>
        <v>1</v>
      </c>
      <c r="K80" s="8" t="n">
        <f aca="false">INDEX(Mapping!$C$2:$C$99,MATCH(K$1&amp;"|"&amp;Customers!K80,Mapping!$D$2:$D$99,0))</f>
        <v>2</v>
      </c>
      <c r="L80" s="8" t="n">
        <f aca="false">INDEX(Mapping!$C$2:$C$99,MATCH(L$1&amp;"|"&amp;Customers!L80,Mapping!$D$2:$D$99,0))</f>
        <v>3</v>
      </c>
      <c r="M80" s="8" t="n">
        <f aca="false">INDEX(Mapping!$C$2:$C$99,MATCH(M$1&amp;"|"&amp;Customers!M80,Mapping!$D$2:$D$99,0))</f>
        <v>3</v>
      </c>
      <c r="N80" s="8" t="n">
        <f aca="false">INDEX(Mapping!$C$2:$C$99,MATCH(N$1&amp;"|"&amp;Customers!N80,Mapping!$D$2:$D$99,0))</f>
        <v>2</v>
      </c>
      <c r="O80" s="8" t="n">
        <f aca="false">INDEX(Mapping!$C$2:$C$99,MATCH(O$1&amp;"|"&amp;Customers!O80,Mapping!$D$2:$D$99,0))</f>
        <v>3</v>
      </c>
      <c r="P80" s="8" t="n">
        <f aca="false">INDEX(Mapping!$C$2:$C$99,MATCH(P$1&amp;"|"&amp;Customers!P80,Mapping!$D$2:$D$99,0))</f>
        <v>3</v>
      </c>
      <c r="Q80" s="8" t="n">
        <f aca="false">INDEX(Mapping!$C$2:$C$99,MATCH(Q$1&amp;"|"&amp;Customers!Q80,Mapping!$D$2:$D$99,0))</f>
        <v>2</v>
      </c>
      <c r="R80" s="8" t="n">
        <f aca="false">INDEX(Mapping!$C$2:$C$99,MATCH(R$1&amp;"|"&amp;Customers!R80,Mapping!$D$2:$D$99,0))</f>
        <v>1</v>
      </c>
      <c r="S80" s="8" t="n">
        <f aca="false">INDEX(Mapping!$C$2:$C$99,MATCH(S$1&amp;"|"&amp;Customers!S80,Mapping!$D$2:$D$99,0))</f>
        <v>2</v>
      </c>
      <c r="T80" s="8" t="n">
        <f aca="false">INDEX(Mapping!$C$2:$C$99,MATCH(T$1&amp;"|"&amp;Customers!T80,Mapping!$D$2:$D$99,0))</f>
        <v>1</v>
      </c>
      <c r="U80" s="8" t="n">
        <f aca="false">INDEX(Mapping!$C$2:$C$99,MATCH(U$1&amp;"|"&amp;Customers!U80,Mapping!$D$2:$D$99,0))</f>
        <v>5</v>
      </c>
      <c r="V80" s="8" t="n">
        <f aca="false">INDEX(Mapping!$C$2:$C$99,MATCH(V$1&amp;"|"&amp;Customers!V80,Mapping!$D$2:$D$99,0))</f>
        <v>1</v>
      </c>
      <c r="W80" s="17" t="n">
        <f aca="false">SUMPRODUCT($C80:$V80,Weights!$C$27:$V$27)</f>
        <v>1.615</v>
      </c>
      <c r="X80" s="18" t="n">
        <f aca="false">ROUND($W80,2)</f>
        <v>1.62</v>
      </c>
      <c r="Y80" s="8" t="str">
        <f aca="false">IF($X80&lt;=2,"Low",IF($X80&lt;=3.49,"Medium","High"))</f>
        <v>Low</v>
      </c>
      <c r="Z80" s="8" t="str">
        <f aca="false">IF(OR($F80&gt;=3,$E80=5,$D80=5,$C80=5,$G80=5,$H80=5,$I80=5,$J80=5,Customers!$W80="Yes"),"Yes","No")</f>
        <v>No</v>
      </c>
      <c r="AA80" s="15" t="str">
        <f aca="false">IF($Z80="Yes","High",$Y80)</f>
        <v>Low</v>
      </c>
      <c r="AB80" s="18" t="n">
        <f aca="false">SUMPRODUCT($C80:$G80,Weights!$C$28:$G$28)</f>
        <v>1</v>
      </c>
      <c r="AC80" s="18" t="n">
        <f aca="false">SUMPRODUCT($H80:$J80,Weights!$H$28:$J$28)</f>
        <v>1</v>
      </c>
      <c r="AD80" s="18" t="n">
        <f aca="false">SUMPRODUCT($K80:$N80,Weights!$K$28:$N$28)</f>
        <v>2.5</v>
      </c>
      <c r="AE80" s="18" t="n">
        <f aca="false">SUMPRODUCT($O80:$Q80,Weights!$O$28:$Q$28)</f>
        <v>2.8</v>
      </c>
      <c r="AF80" s="18" t="n">
        <f aca="false">SUMPRODUCT($R80:$V80,Weights!$R$28:$V$28)</f>
        <v>1.9</v>
      </c>
      <c r="AH80" s="18" t="n">
        <f aca="false">SUMPRODUCT($AB80:$AF80,Validation!$D$7:$H$7)</f>
        <v>1.7028571428574</v>
      </c>
      <c r="AI80" s="18" t="n">
        <f aca="false">SUMPRODUCT($AB80:$AF80,Validation!$D$8:$H$8)</f>
        <v>1.5271428571426</v>
      </c>
      <c r="AJ80" s="18" t="n">
        <f aca="false">SUMPRODUCT($AB80:$AF80,Validation!$D$9:$H$9)</f>
        <v>1.6969999999999</v>
      </c>
      <c r="AK80" s="18" t="n">
        <f aca="false">SUMPRODUCT($AB80:$AF80,Validation!$D$10:$H$10)</f>
        <v>1.5330000000001</v>
      </c>
      <c r="AL80" s="18" t="n">
        <f aca="false">SUMPRODUCT($AB80:$AF80,Validation!$D$11:$H$11)</f>
        <v>1.504375</v>
      </c>
      <c r="AM80" s="18" t="n">
        <f aca="false">SUMPRODUCT($AB80:$AF80,Validation!$D$12:$H$12)</f>
        <v>1.725625</v>
      </c>
      <c r="AN80" s="18" t="n">
        <f aca="false">SUMPRODUCT($AB80:$AF80,Validation!$D$13:$H$13)</f>
        <v>1.4833333333333</v>
      </c>
      <c r="AO80" s="18" t="n">
        <f aca="false">SUMPRODUCT($AB80:$AF80,Validation!$D$14:$H$14)</f>
        <v>1.7466666666667</v>
      </c>
      <c r="AP80" s="18" t="n">
        <f aca="false">SUMPRODUCT($AB80:$AF80,Validation!$D$15:$H$15)</f>
        <v>1.5814705882351</v>
      </c>
      <c r="AQ80" s="18" t="n">
        <f aca="false">SUMPRODUCT($AB80:$AF80,Validation!$D$16:$H$16)</f>
        <v>1.6485294117649</v>
      </c>
      <c r="AR80" s="8" t="n">
        <f aca="false">COUNTIF($C80:$V80,"&gt;=4")</f>
        <v>1</v>
      </c>
      <c r="AS80" s="8" t="str">
        <f aca="false">IF($X80&lt;=1.6,"Low",IF($X80&lt;=2.2,"Medium","High"))</f>
        <v>Medium</v>
      </c>
      <c r="AT80" s="8" t="str">
        <f aca="false">IF($AR80=0,"Low",IF($AR80&lt;3,"Medium","High"))</f>
        <v>Medium</v>
      </c>
      <c r="AU80" s="8" t="str">
        <f aca="false">IF(OR($AS80="High",$AT80="High"),"High",IF(OR($AS80="Medium",$AT80="Medium"),"Medium","Low"))</f>
        <v>Medium</v>
      </c>
      <c r="AV80" s="15" t="str">
        <f aca="false">IF($Z80="Yes","High",$AU80)</f>
        <v>Medium</v>
      </c>
    </row>
    <row r="81" customFormat="false" ht="15" hidden="false" customHeight="false" outlineLevel="0" collapsed="false">
      <c r="A81" s="7" t="str">
        <f aca="false">Customers!$A81</f>
        <v>NG-10279</v>
      </c>
      <c r="B81" s="7" t="str">
        <f aca="false">Customers!$B81</f>
        <v>Personal</v>
      </c>
      <c r="C81" s="8" t="n">
        <f aca="false">INDEX(Mapping!$C$2:$C$99,MATCH(C$1&amp;"|"&amp;Customers!C81,Mapping!$D$2:$D$99,0))</f>
        <v>1</v>
      </c>
      <c r="D81" s="8" t="n">
        <f aca="false">INDEX(Mapping!$C$2:$C$99,MATCH(D$1&amp;"|"&amp;Customers!D81,Mapping!$D$2:$D$99,0))</f>
        <v>1</v>
      </c>
      <c r="E81" s="8" t="n">
        <f aca="false">INDEX(Mapping!$C$2:$C$99,MATCH(E$1&amp;"|"&amp;Customers!E81,Mapping!$D$2:$D$99,0))</f>
        <v>1</v>
      </c>
      <c r="F81" s="8" t="n">
        <f aca="false">INDEX(Mapping!$C$2:$C$99,MATCH(F$1&amp;"|"&amp;Customers!F81,Mapping!$D$2:$D$99,0))</f>
        <v>1</v>
      </c>
      <c r="G81" s="8" t="n">
        <f aca="false">INDEX(Mapping!$C$2:$C$99,MATCH(G$1&amp;"|"&amp;Customers!G81,Mapping!$D$2:$D$99,0))</f>
        <v>1</v>
      </c>
      <c r="H81" s="8" t="n">
        <f aca="false">INDEX(Mapping!$C$2:$C$99,MATCH(H$1&amp;"|"&amp;Customers!H81,Mapping!$D$2:$D$99,0))</f>
        <v>1</v>
      </c>
      <c r="I81" s="8" t="n">
        <f aca="false">INDEX(Mapping!$C$2:$C$99,MATCH(I$1&amp;"|"&amp;Customers!I81,Mapping!$D$2:$D$99,0))</f>
        <v>2</v>
      </c>
      <c r="J81" s="8" t="n">
        <f aca="false">INDEX(Mapping!$C$2:$C$99,MATCH(J$1&amp;"|"&amp;Customers!J81,Mapping!$D$2:$D$99,0))</f>
        <v>1</v>
      </c>
      <c r="K81" s="8" t="n">
        <f aca="false">INDEX(Mapping!$C$2:$C$99,MATCH(K$1&amp;"|"&amp;Customers!K81,Mapping!$D$2:$D$99,0))</f>
        <v>1</v>
      </c>
      <c r="L81" s="8" t="n">
        <f aca="false">INDEX(Mapping!$C$2:$C$99,MATCH(L$1&amp;"|"&amp;Customers!L81,Mapping!$D$2:$D$99,0))</f>
        <v>2</v>
      </c>
      <c r="M81" s="8" t="n">
        <f aca="false">INDEX(Mapping!$C$2:$C$99,MATCH(M$1&amp;"|"&amp;Customers!M81,Mapping!$D$2:$D$99,0))</f>
        <v>2</v>
      </c>
      <c r="N81" s="8" t="n">
        <f aca="false">INDEX(Mapping!$C$2:$C$99,MATCH(N$1&amp;"|"&amp;Customers!N81,Mapping!$D$2:$D$99,0))</f>
        <v>2</v>
      </c>
      <c r="O81" s="8" t="n">
        <f aca="false">INDEX(Mapping!$C$2:$C$99,MATCH(O$1&amp;"|"&amp;Customers!O81,Mapping!$D$2:$D$99,0))</f>
        <v>4</v>
      </c>
      <c r="P81" s="8" t="n">
        <f aca="false">INDEX(Mapping!$C$2:$C$99,MATCH(P$1&amp;"|"&amp;Customers!P81,Mapping!$D$2:$D$99,0))</f>
        <v>3</v>
      </c>
      <c r="Q81" s="8" t="n">
        <f aca="false">INDEX(Mapping!$C$2:$C$99,MATCH(Q$1&amp;"|"&amp;Customers!Q81,Mapping!$D$2:$D$99,0))</f>
        <v>1</v>
      </c>
      <c r="R81" s="8" t="n">
        <f aca="false">INDEX(Mapping!$C$2:$C$99,MATCH(R$1&amp;"|"&amp;Customers!R81,Mapping!$D$2:$D$99,0))</f>
        <v>1</v>
      </c>
      <c r="S81" s="8" t="n">
        <f aca="false">INDEX(Mapping!$C$2:$C$99,MATCH(S$1&amp;"|"&amp;Customers!S81,Mapping!$D$2:$D$99,0))</f>
        <v>2</v>
      </c>
      <c r="T81" s="8" t="n">
        <f aca="false">INDEX(Mapping!$C$2:$C$99,MATCH(T$1&amp;"|"&amp;Customers!T81,Mapping!$D$2:$D$99,0))</f>
        <v>4</v>
      </c>
      <c r="U81" s="8" t="n">
        <f aca="false">INDEX(Mapping!$C$2:$C$99,MATCH(U$1&amp;"|"&amp;Customers!U81,Mapping!$D$2:$D$99,0))</f>
        <v>5</v>
      </c>
      <c r="V81" s="8" t="n">
        <f aca="false">INDEX(Mapping!$C$2:$C$99,MATCH(V$1&amp;"|"&amp;Customers!V81,Mapping!$D$2:$D$99,0))</f>
        <v>1</v>
      </c>
      <c r="W81" s="17" t="n">
        <f aca="false">SUMPRODUCT($C81:$V81,Weights!$C$27:$V$27)</f>
        <v>1.61</v>
      </c>
      <c r="X81" s="18" t="n">
        <f aca="false">ROUND($W81,2)</f>
        <v>1.61</v>
      </c>
      <c r="Y81" s="8" t="str">
        <f aca="false">IF($X81&lt;=2,"Low",IF($X81&lt;=3.49,"Medium","High"))</f>
        <v>Low</v>
      </c>
      <c r="Z81" s="8" t="str">
        <f aca="false">IF(OR($F81&gt;=3,$E81=5,$D81=5,$C81=5,$G81=5,$H81=5,$I81=5,$J81=5,Customers!$W81="Yes"),"Yes","No")</f>
        <v>No</v>
      </c>
      <c r="AA81" s="15" t="str">
        <f aca="false">IF($Z81="Yes","High",$Y81)</f>
        <v>Low</v>
      </c>
      <c r="AB81" s="18" t="n">
        <f aca="false">SUMPRODUCT($C81:$G81,Weights!$C$28:$G$28)</f>
        <v>1</v>
      </c>
      <c r="AC81" s="18" t="n">
        <f aca="false">SUMPRODUCT($H81:$J81,Weights!$H$28:$J$28)</f>
        <v>1.2</v>
      </c>
      <c r="AD81" s="18" t="n">
        <f aca="false">SUMPRODUCT($K81:$N81,Weights!$K$28:$N$28)</f>
        <v>1.65</v>
      </c>
      <c r="AE81" s="18" t="n">
        <f aca="false">SUMPRODUCT($O81:$Q81,Weights!$O$28:$Q$28)</f>
        <v>3.05</v>
      </c>
      <c r="AF81" s="18" t="n">
        <f aca="false">SUMPRODUCT($R81:$V81,Weights!$R$28:$V$28)</f>
        <v>2.5</v>
      </c>
      <c r="AH81" s="18" t="n">
        <f aca="false">SUMPRODUCT($AB81:$AF81,Validation!$D$7:$H$7)</f>
        <v>1.69714285714375</v>
      </c>
      <c r="AI81" s="18" t="n">
        <f aca="false">SUMPRODUCT($AB81:$AF81,Validation!$D$8:$H$8)</f>
        <v>1.52285714285625</v>
      </c>
      <c r="AJ81" s="18" t="n">
        <f aca="false">SUMPRODUCT($AB81:$AF81,Validation!$D$9:$H$9)</f>
        <v>1.6646666666662</v>
      </c>
      <c r="AK81" s="18" t="n">
        <f aca="false">SUMPRODUCT($AB81:$AF81,Validation!$D$10:$H$10)</f>
        <v>1.5553333333338</v>
      </c>
      <c r="AL81" s="18" t="n">
        <f aca="false">SUMPRODUCT($AB81:$AF81,Validation!$D$11:$H$11)</f>
        <v>1.605</v>
      </c>
      <c r="AM81" s="18" t="n">
        <f aca="false">SUMPRODUCT($AB81:$AF81,Validation!$D$12:$H$12)</f>
        <v>1.615</v>
      </c>
      <c r="AN81" s="18" t="n">
        <f aca="false">SUMPRODUCT($AB81:$AF81,Validation!$D$13:$H$13)</f>
        <v>1.4500000000004</v>
      </c>
      <c r="AO81" s="18" t="n">
        <f aca="false">SUMPRODUCT($AB81:$AF81,Validation!$D$14:$H$14)</f>
        <v>1.7699999999996</v>
      </c>
      <c r="AP81" s="18" t="n">
        <f aca="false">SUMPRODUCT($AB81:$AF81,Validation!$D$15:$H$15)</f>
        <v>1.50529411764655</v>
      </c>
      <c r="AQ81" s="18" t="n">
        <f aca="false">SUMPRODUCT($AB81:$AF81,Validation!$D$16:$H$16)</f>
        <v>1.71470588235345</v>
      </c>
      <c r="AR81" s="8" t="n">
        <f aca="false">COUNTIF($C81:$V81,"&gt;=4")</f>
        <v>3</v>
      </c>
      <c r="AS81" s="8" t="str">
        <f aca="false">IF($X81&lt;=1.6,"Low",IF($X81&lt;=2.2,"Medium","High"))</f>
        <v>Medium</v>
      </c>
      <c r="AT81" s="8" t="str">
        <f aca="false">IF($AR81=0,"Low",IF($AR81&lt;3,"Medium","High"))</f>
        <v>High</v>
      </c>
      <c r="AU81" s="8" t="str">
        <f aca="false">IF(OR($AS81="High",$AT81="High"),"High",IF(OR($AS81="Medium",$AT81="Medium"),"Medium","Low"))</f>
        <v>High</v>
      </c>
      <c r="AV81" s="15" t="str">
        <f aca="false">IF($Z81="Yes","High",$AU81)</f>
        <v>High</v>
      </c>
    </row>
    <row r="82" customFormat="false" ht="15" hidden="false" customHeight="false" outlineLevel="0" collapsed="false">
      <c r="A82" s="7" t="str">
        <f aca="false">Customers!$A82</f>
        <v>NG-10096</v>
      </c>
      <c r="B82" s="7" t="str">
        <f aca="false">Customers!$B82</f>
        <v>Personal</v>
      </c>
      <c r="C82" s="8" t="n">
        <f aca="false">INDEX(Mapping!$C$2:$C$99,MATCH(C$1&amp;"|"&amp;Customers!C82,Mapping!$D$2:$D$99,0))</f>
        <v>1</v>
      </c>
      <c r="D82" s="8" t="n">
        <f aca="false">INDEX(Mapping!$C$2:$C$99,MATCH(D$1&amp;"|"&amp;Customers!D82,Mapping!$D$2:$D$99,0))</f>
        <v>1</v>
      </c>
      <c r="E82" s="8" t="n">
        <f aca="false">INDEX(Mapping!$C$2:$C$99,MATCH(E$1&amp;"|"&amp;Customers!E82,Mapping!$D$2:$D$99,0))</f>
        <v>1</v>
      </c>
      <c r="F82" s="8" t="n">
        <f aca="false">INDEX(Mapping!$C$2:$C$99,MATCH(F$1&amp;"|"&amp;Customers!F82,Mapping!$D$2:$D$99,0))</f>
        <v>1</v>
      </c>
      <c r="G82" s="8" t="n">
        <f aca="false">INDEX(Mapping!$C$2:$C$99,MATCH(G$1&amp;"|"&amp;Customers!G82,Mapping!$D$2:$D$99,0))</f>
        <v>1</v>
      </c>
      <c r="H82" s="8" t="n">
        <f aca="false">INDEX(Mapping!$C$2:$C$99,MATCH(H$1&amp;"|"&amp;Customers!H82,Mapping!$D$2:$D$99,0))</f>
        <v>1</v>
      </c>
      <c r="I82" s="8" t="n">
        <f aca="false">INDEX(Mapping!$C$2:$C$99,MATCH(I$1&amp;"|"&amp;Customers!I82,Mapping!$D$2:$D$99,0))</f>
        <v>1</v>
      </c>
      <c r="J82" s="8" t="n">
        <f aca="false">INDEX(Mapping!$C$2:$C$99,MATCH(J$1&amp;"|"&amp;Customers!J82,Mapping!$D$2:$D$99,0))</f>
        <v>2</v>
      </c>
      <c r="K82" s="8" t="n">
        <f aca="false">INDEX(Mapping!$C$2:$C$99,MATCH(K$1&amp;"|"&amp;Customers!K82,Mapping!$D$2:$D$99,0))</f>
        <v>1</v>
      </c>
      <c r="L82" s="8" t="n">
        <f aca="false">INDEX(Mapping!$C$2:$C$99,MATCH(L$1&amp;"|"&amp;Customers!L82,Mapping!$D$2:$D$99,0))</f>
        <v>3</v>
      </c>
      <c r="M82" s="8" t="n">
        <f aca="false">INDEX(Mapping!$C$2:$C$99,MATCH(M$1&amp;"|"&amp;Customers!M82,Mapping!$D$2:$D$99,0))</f>
        <v>2</v>
      </c>
      <c r="N82" s="8" t="n">
        <f aca="false">INDEX(Mapping!$C$2:$C$99,MATCH(N$1&amp;"|"&amp;Customers!N82,Mapping!$D$2:$D$99,0))</f>
        <v>1</v>
      </c>
      <c r="O82" s="8" t="n">
        <f aca="false">INDEX(Mapping!$C$2:$C$99,MATCH(O$1&amp;"|"&amp;Customers!O82,Mapping!$D$2:$D$99,0))</f>
        <v>3</v>
      </c>
      <c r="P82" s="8" t="n">
        <f aca="false">INDEX(Mapping!$C$2:$C$99,MATCH(P$1&amp;"|"&amp;Customers!P82,Mapping!$D$2:$D$99,0))</f>
        <v>3</v>
      </c>
      <c r="Q82" s="8" t="n">
        <f aca="false">INDEX(Mapping!$C$2:$C$99,MATCH(Q$1&amp;"|"&amp;Customers!Q82,Mapping!$D$2:$D$99,0))</f>
        <v>1</v>
      </c>
      <c r="R82" s="8" t="n">
        <f aca="false">INDEX(Mapping!$C$2:$C$99,MATCH(R$1&amp;"|"&amp;Customers!R82,Mapping!$D$2:$D$99,0))</f>
        <v>2</v>
      </c>
      <c r="S82" s="8" t="n">
        <f aca="false">INDEX(Mapping!$C$2:$C$99,MATCH(S$1&amp;"|"&amp;Customers!S82,Mapping!$D$2:$D$99,0))</f>
        <v>2</v>
      </c>
      <c r="T82" s="8" t="n">
        <f aca="false">INDEX(Mapping!$C$2:$C$99,MATCH(T$1&amp;"|"&amp;Customers!T82,Mapping!$D$2:$D$99,0))</f>
        <v>1</v>
      </c>
      <c r="U82" s="8" t="n">
        <f aca="false">INDEX(Mapping!$C$2:$C$99,MATCH(U$1&amp;"|"&amp;Customers!U82,Mapping!$D$2:$D$99,0))</f>
        <v>1</v>
      </c>
      <c r="V82" s="8" t="n">
        <f aca="false">INDEX(Mapping!$C$2:$C$99,MATCH(V$1&amp;"|"&amp;Customers!V82,Mapping!$D$2:$D$99,0))</f>
        <v>1</v>
      </c>
      <c r="W82" s="17" t="n">
        <f aca="false">SUMPRODUCT($C82:$V82,Weights!$C$27:$V$27)</f>
        <v>1.4925</v>
      </c>
      <c r="X82" s="18" t="n">
        <f aca="false">ROUND($W82,2)</f>
        <v>1.49</v>
      </c>
      <c r="Y82" s="8" t="str">
        <f aca="false">IF($X82&lt;=2,"Low",IF($X82&lt;=3.49,"Medium","High"))</f>
        <v>Low</v>
      </c>
      <c r="Z82" s="8" t="str">
        <f aca="false">IF(OR($F82&gt;=3,$E82=5,$D82=5,$C82=5,$G82=5,$H82=5,$I82=5,$J82=5,Customers!$W82="Yes"),"Yes","No")</f>
        <v>No</v>
      </c>
      <c r="AA82" s="15" t="str">
        <f aca="false">IF($Z82="Yes","High",$Y82)</f>
        <v>Low</v>
      </c>
      <c r="AB82" s="18" t="n">
        <f aca="false">SUMPRODUCT($C82:$G82,Weights!$C$28:$G$28)</f>
        <v>1</v>
      </c>
      <c r="AC82" s="18" t="n">
        <f aca="false">SUMPRODUCT($H82:$J82,Weights!$H$28:$J$28)</f>
        <v>1.4</v>
      </c>
      <c r="AD82" s="18" t="n">
        <f aca="false">SUMPRODUCT($K82:$N82,Weights!$K$28:$N$28)</f>
        <v>1.75</v>
      </c>
      <c r="AE82" s="18" t="n">
        <f aca="false">SUMPRODUCT($O82:$Q82,Weights!$O$28:$Q$28)</f>
        <v>2.6</v>
      </c>
      <c r="AF82" s="18" t="n">
        <f aca="false">SUMPRODUCT($R82:$V82,Weights!$R$28:$V$28)</f>
        <v>1.55</v>
      </c>
      <c r="AH82" s="18" t="n">
        <f aca="false">SUMPRODUCT($AB82:$AF82,Validation!$D$7:$H$7)</f>
        <v>1.5628571428574</v>
      </c>
      <c r="AI82" s="18" t="n">
        <f aca="false">SUMPRODUCT($AB82:$AF82,Validation!$D$8:$H$8)</f>
        <v>1.4221428571426</v>
      </c>
      <c r="AJ82" s="18" t="n">
        <f aca="false">SUMPRODUCT($AB82:$AF82,Validation!$D$9:$H$9)</f>
        <v>1.50483333333305</v>
      </c>
      <c r="AK82" s="18" t="n">
        <f aca="false">SUMPRODUCT($AB82:$AF82,Validation!$D$10:$H$10)</f>
        <v>1.48016666666695</v>
      </c>
      <c r="AL82" s="18" t="n">
        <f aca="false">SUMPRODUCT($AB82:$AF82,Validation!$D$11:$H$11)</f>
        <v>1.4603125</v>
      </c>
      <c r="AM82" s="18" t="n">
        <f aca="false">SUMPRODUCT($AB82:$AF82,Validation!$D$12:$H$12)</f>
        <v>1.5246875</v>
      </c>
      <c r="AN82" s="18" t="n">
        <f aca="false">SUMPRODUCT($AB82:$AF82,Validation!$D$13:$H$13)</f>
        <v>1.36944444444455</v>
      </c>
      <c r="AO82" s="18" t="n">
        <f aca="false">SUMPRODUCT($AB82:$AF82,Validation!$D$14:$H$14)</f>
        <v>1.61555555555545</v>
      </c>
      <c r="AP82" s="18" t="n">
        <f aca="false">SUMPRODUCT($AB82:$AF82,Validation!$D$15:$H$15)</f>
        <v>1.48573529411735</v>
      </c>
      <c r="AQ82" s="18" t="n">
        <f aca="false">SUMPRODUCT($AB82:$AF82,Validation!$D$16:$H$16)</f>
        <v>1.49926470588265</v>
      </c>
      <c r="AR82" s="8" t="n">
        <f aca="false">COUNTIF($C82:$V82,"&gt;=4")</f>
        <v>0</v>
      </c>
      <c r="AS82" s="8" t="str">
        <f aca="false">IF($X82&lt;=1.6,"Low",IF($X82&lt;=2.2,"Medium","High"))</f>
        <v>Low</v>
      </c>
      <c r="AT82" s="8" t="str">
        <f aca="false">IF($AR82=0,"Low",IF($AR82&lt;3,"Medium","High"))</f>
        <v>Low</v>
      </c>
      <c r="AU82" s="8" t="str">
        <f aca="false">IF(OR($AS82="High",$AT82="High"),"High",IF(OR($AS82="Medium",$AT82="Medium"),"Medium","Low"))</f>
        <v>Low</v>
      </c>
      <c r="AV82" s="15" t="str">
        <f aca="false">IF($Z82="Yes","High",$AU82)</f>
        <v>Low</v>
      </c>
    </row>
    <row r="83" customFormat="false" ht="15" hidden="false" customHeight="false" outlineLevel="0" collapsed="false">
      <c r="A83" s="7" t="str">
        <f aca="false">Customers!$A83</f>
        <v>NG-10021</v>
      </c>
      <c r="B83" s="7" t="str">
        <f aca="false">Customers!$B83</f>
        <v>Personal</v>
      </c>
      <c r="C83" s="8" t="n">
        <f aca="false">INDEX(Mapping!$C$2:$C$99,MATCH(C$1&amp;"|"&amp;Customers!C83,Mapping!$D$2:$D$99,0))</f>
        <v>2</v>
      </c>
      <c r="D83" s="8" t="n">
        <f aca="false">INDEX(Mapping!$C$2:$C$99,MATCH(D$1&amp;"|"&amp;Customers!D83,Mapping!$D$2:$D$99,0))</f>
        <v>1</v>
      </c>
      <c r="E83" s="8" t="n">
        <f aca="false">INDEX(Mapping!$C$2:$C$99,MATCH(E$1&amp;"|"&amp;Customers!E83,Mapping!$D$2:$D$99,0))</f>
        <v>1</v>
      </c>
      <c r="F83" s="8" t="n">
        <f aca="false">INDEX(Mapping!$C$2:$C$99,MATCH(F$1&amp;"|"&amp;Customers!F83,Mapping!$D$2:$D$99,0))</f>
        <v>1</v>
      </c>
      <c r="G83" s="8" t="n">
        <f aca="false">INDEX(Mapping!$C$2:$C$99,MATCH(G$1&amp;"|"&amp;Customers!G83,Mapping!$D$2:$D$99,0))</f>
        <v>1</v>
      </c>
      <c r="H83" s="8" t="n">
        <f aca="false">INDEX(Mapping!$C$2:$C$99,MATCH(H$1&amp;"|"&amp;Customers!H83,Mapping!$D$2:$D$99,0))</f>
        <v>1</v>
      </c>
      <c r="I83" s="8" t="n">
        <f aca="false">INDEX(Mapping!$C$2:$C$99,MATCH(I$1&amp;"|"&amp;Customers!I83,Mapping!$D$2:$D$99,0))</f>
        <v>1</v>
      </c>
      <c r="J83" s="8" t="n">
        <f aca="false">INDEX(Mapping!$C$2:$C$99,MATCH(J$1&amp;"|"&amp;Customers!J83,Mapping!$D$2:$D$99,0))</f>
        <v>2</v>
      </c>
      <c r="K83" s="8" t="n">
        <f aca="false">INDEX(Mapping!$C$2:$C$99,MATCH(K$1&amp;"|"&amp;Customers!K83,Mapping!$D$2:$D$99,0))</f>
        <v>1</v>
      </c>
      <c r="L83" s="8" t="n">
        <f aca="false">INDEX(Mapping!$C$2:$C$99,MATCH(L$1&amp;"|"&amp;Customers!L83,Mapping!$D$2:$D$99,0))</f>
        <v>2</v>
      </c>
      <c r="M83" s="8" t="n">
        <f aca="false">INDEX(Mapping!$C$2:$C$99,MATCH(M$1&amp;"|"&amp;Customers!M83,Mapping!$D$2:$D$99,0))</f>
        <v>2</v>
      </c>
      <c r="N83" s="8" t="n">
        <f aca="false">INDEX(Mapping!$C$2:$C$99,MATCH(N$1&amp;"|"&amp;Customers!N83,Mapping!$D$2:$D$99,0))</f>
        <v>3</v>
      </c>
      <c r="O83" s="8" t="n">
        <f aca="false">INDEX(Mapping!$C$2:$C$99,MATCH(O$1&amp;"|"&amp;Customers!O83,Mapping!$D$2:$D$99,0))</f>
        <v>4</v>
      </c>
      <c r="P83" s="8" t="n">
        <f aca="false">INDEX(Mapping!$C$2:$C$99,MATCH(P$1&amp;"|"&amp;Customers!P83,Mapping!$D$2:$D$99,0))</f>
        <v>3</v>
      </c>
      <c r="Q83" s="8" t="n">
        <f aca="false">INDEX(Mapping!$C$2:$C$99,MATCH(Q$1&amp;"|"&amp;Customers!Q83,Mapping!$D$2:$D$99,0))</f>
        <v>1</v>
      </c>
      <c r="R83" s="8" t="n">
        <f aca="false">INDEX(Mapping!$C$2:$C$99,MATCH(R$1&amp;"|"&amp;Customers!R83,Mapping!$D$2:$D$99,0))</f>
        <v>1</v>
      </c>
      <c r="S83" s="8" t="n">
        <f aca="false">INDEX(Mapping!$C$2:$C$99,MATCH(S$1&amp;"|"&amp;Customers!S83,Mapping!$D$2:$D$99,0))</f>
        <v>3</v>
      </c>
      <c r="T83" s="8" t="n">
        <f aca="false">INDEX(Mapping!$C$2:$C$99,MATCH(T$1&amp;"|"&amp;Customers!T83,Mapping!$D$2:$D$99,0))</f>
        <v>1</v>
      </c>
      <c r="U83" s="8" t="n">
        <f aca="false">INDEX(Mapping!$C$2:$C$99,MATCH(U$1&amp;"|"&amp;Customers!U83,Mapping!$D$2:$D$99,0))</f>
        <v>1</v>
      </c>
      <c r="V83" s="8" t="n">
        <f aca="false">INDEX(Mapping!$C$2:$C$99,MATCH(V$1&amp;"|"&amp;Customers!V83,Mapping!$D$2:$D$99,0))</f>
        <v>4</v>
      </c>
      <c r="W83" s="17" t="n">
        <f aca="false">SUMPRODUCT($C83:$V83,Weights!$C$27:$V$27)</f>
        <v>1.66</v>
      </c>
      <c r="X83" s="18" t="n">
        <f aca="false">ROUND($W83,2)</f>
        <v>1.66</v>
      </c>
      <c r="Y83" s="8" t="str">
        <f aca="false">IF($X83&lt;=2,"Low",IF($X83&lt;=3.49,"Medium","High"))</f>
        <v>Low</v>
      </c>
      <c r="Z83" s="8" t="str">
        <f aca="false">IF(OR($F83&gt;=3,$E83=5,$D83=5,$C83=5,$G83=5,$H83=5,$I83=5,$J83=5,Customers!$W83="Yes"),"Yes","No")</f>
        <v>No</v>
      </c>
      <c r="AA83" s="15" t="str">
        <f aca="false">IF($Z83="Yes","High",$Y83)</f>
        <v>Low</v>
      </c>
      <c r="AB83" s="18" t="n">
        <f aca="false">SUMPRODUCT($C83:$G83,Weights!$C$28:$G$28)</f>
        <v>1.2</v>
      </c>
      <c r="AC83" s="18" t="n">
        <f aca="false">SUMPRODUCT($H83:$J83,Weights!$H$28:$J$28)</f>
        <v>1.4</v>
      </c>
      <c r="AD83" s="18" t="n">
        <f aca="false">SUMPRODUCT($K83:$N83,Weights!$K$28:$N$28)</f>
        <v>1.8</v>
      </c>
      <c r="AE83" s="18" t="n">
        <f aca="false">SUMPRODUCT($O83:$Q83,Weights!$O$28:$Q$28)</f>
        <v>3.05</v>
      </c>
      <c r="AF83" s="18" t="n">
        <f aca="false">SUMPRODUCT($R83:$V83,Weights!$R$28:$V$28)</f>
        <v>1.9</v>
      </c>
      <c r="AH83" s="18" t="n">
        <f aca="false">SUMPRODUCT($AB83:$AF83,Validation!$D$7:$H$7)</f>
        <v>1.7257142857148</v>
      </c>
      <c r="AI83" s="18" t="n">
        <f aca="false">SUMPRODUCT($AB83:$AF83,Validation!$D$8:$H$8)</f>
        <v>1.5942857142852</v>
      </c>
      <c r="AJ83" s="18" t="n">
        <f aca="false">SUMPRODUCT($AB83:$AF83,Validation!$D$9:$H$9)</f>
        <v>1.69466666666625</v>
      </c>
      <c r="AK83" s="18" t="n">
        <f aca="false">SUMPRODUCT($AB83:$AF83,Validation!$D$10:$H$10)</f>
        <v>1.62533333333375</v>
      </c>
      <c r="AL83" s="18" t="n">
        <f aca="false">SUMPRODUCT($AB83:$AF83,Validation!$D$11:$H$11)</f>
        <v>1.6425</v>
      </c>
      <c r="AM83" s="18" t="n">
        <f aca="false">SUMPRODUCT($AB83:$AF83,Validation!$D$12:$H$12)</f>
        <v>1.6775</v>
      </c>
      <c r="AN83" s="18" t="n">
        <f aca="false">SUMPRODUCT($AB83:$AF83,Validation!$D$13:$H$13)</f>
        <v>1.5055555555557</v>
      </c>
      <c r="AO83" s="18" t="n">
        <f aca="false">SUMPRODUCT($AB83:$AF83,Validation!$D$14:$H$14)</f>
        <v>1.8144444444443</v>
      </c>
      <c r="AP83" s="18" t="n">
        <f aca="false">SUMPRODUCT($AB83:$AF83,Validation!$D$15:$H$15)</f>
        <v>1.6317647058819</v>
      </c>
      <c r="AQ83" s="18" t="n">
        <f aca="false">SUMPRODUCT($AB83:$AF83,Validation!$D$16:$H$16)</f>
        <v>1.6882352941181</v>
      </c>
      <c r="AR83" s="8" t="n">
        <f aca="false">COUNTIF($C83:$V83,"&gt;=4")</f>
        <v>2</v>
      </c>
      <c r="AS83" s="8" t="str">
        <f aca="false">IF($X83&lt;=1.6,"Low",IF($X83&lt;=2.2,"Medium","High"))</f>
        <v>Medium</v>
      </c>
      <c r="AT83" s="8" t="str">
        <f aca="false">IF($AR83=0,"Low",IF($AR83&lt;3,"Medium","High"))</f>
        <v>Medium</v>
      </c>
      <c r="AU83" s="8" t="str">
        <f aca="false">IF(OR($AS83="High",$AT83="High"),"High",IF(OR($AS83="Medium",$AT83="Medium"),"Medium","Low"))</f>
        <v>Medium</v>
      </c>
      <c r="AV83" s="15" t="str">
        <f aca="false">IF($Z83="Yes","High",$AU83)</f>
        <v>Medium</v>
      </c>
    </row>
    <row r="84" customFormat="false" ht="15" hidden="false" customHeight="false" outlineLevel="0" collapsed="false">
      <c r="A84" s="7" t="str">
        <f aca="false">Customers!$A84</f>
        <v>NG-10068</v>
      </c>
      <c r="B84" s="7" t="str">
        <f aca="false">Customers!$B84</f>
        <v>Personal</v>
      </c>
      <c r="C84" s="8" t="n">
        <f aca="false">INDEX(Mapping!$C$2:$C$99,MATCH(C$1&amp;"|"&amp;Customers!C84,Mapping!$D$2:$D$99,0))</f>
        <v>1</v>
      </c>
      <c r="D84" s="8" t="n">
        <f aca="false">INDEX(Mapping!$C$2:$C$99,MATCH(D$1&amp;"|"&amp;Customers!D84,Mapping!$D$2:$D$99,0))</f>
        <v>1</v>
      </c>
      <c r="E84" s="8" t="n">
        <f aca="false">INDEX(Mapping!$C$2:$C$99,MATCH(E$1&amp;"|"&amp;Customers!E84,Mapping!$D$2:$D$99,0))</f>
        <v>3</v>
      </c>
      <c r="F84" s="8" t="n">
        <f aca="false">INDEX(Mapping!$C$2:$C$99,MATCH(F$1&amp;"|"&amp;Customers!F84,Mapping!$D$2:$D$99,0))</f>
        <v>1</v>
      </c>
      <c r="G84" s="8" t="n">
        <f aca="false">INDEX(Mapping!$C$2:$C$99,MATCH(G$1&amp;"|"&amp;Customers!G84,Mapping!$D$2:$D$99,0))</f>
        <v>1</v>
      </c>
      <c r="H84" s="8" t="n">
        <f aca="false">INDEX(Mapping!$C$2:$C$99,MATCH(H$1&amp;"|"&amp;Customers!H84,Mapping!$D$2:$D$99,0))</f>
        <v>1</v>
      </c>
      <c r="I84" s="8" t="n">
        <f aca="false">INDEX(Mapping!$C$2:$C$99,MATCH(I$1&amp;"|"&amp;Customers!I84,Mapping!$D$2:$D$99,0))</f>
        <v>2</v>
      </c>
      <c r="J84" s="8" t="n">
        <f aca="false">INDEX(Mapping!$C$2:$C$99,MATCH(J$1&amp;"|"&amp;Customers!J84,Mapping!$D$2:$D$99,0))</f>
        <v>1</v>
      </c>
      <c r="K84" s="8" t="n">
        <f aca="false">INDEX(Mapping!$C$2:$C$99,MATCH(K$1&amp;"|"&amp;Customers!K84,Mapping!$D$2:$D$99,0))</f>
        <v>1</v>
      </c>
      <c r="L84" s="8" t="n">
        <f aca="false">INDEX(Mapping!$C$2:$C$99,MATCH(L$1&amp;"|"&amp;Customers!L84,Mapping!$D$2:$D$99,0))</f>
        <v>2</v>
      </c>
      <c r="M84" s="8" t="n">
        <f aca="false">INDEX(Mapping!$C$2:$C$99,MATCH(M$1&amp;"|"&amp;Customers!M84,Mapping!$D$2:$D$99,0))</f>
        <v>3</v>
      </c>
      <c r="N84" s="8" t="n">
        <f aca="false">INDEX(Mapping!$C$2:$C$99,MATCH(N$1&amp;"|"&amp;Customers!N84,Mapping!$D$2:$D$99,0))</f>
        <v>1</v>
      </c>
      <c r="O84" s="8" t="n">
        <f aca="false">INDEX(Mapping!$C$2:$C$99,MATCH(O$1&amp;"|"&amp;Customers!O84,Mapping!$D$2:$D$99,0))</f>
        <v>4</v>
      </c>
      <c r="P84" s="8" t="n">
        <f aca="false">INDEX(Mapping!$C$2:$C$99,MATCH(P$1&amp;"|"&amp;Customers!P84,Mapping!$D$2:$D$99,0))</f>
        <v>4</v>
      </c>
      <c r="Q84" s="8" t="n">
        <f aca="false">INDEX(Mapping!$C$2:$C$99,MATCH(Q$1&amp;"|"&amp;Customers!Q84,Mapping!$D$2:$D$99,0))</f>
        <v>1</v>
      </c>
      <c r="R84" s="8" t="n">
        <f aca="false">INDEX(Mapping!$C$2:$C$99,MATCH(R$1&amp;"|"&amp;Customers!R84,Mapping!$D$2:$D$99,0))</f>
        <v>1</v>
      </c>
      <c r="S84" s="8" t="n">
        <f aca="false">INDEX(Mapping!$C$2:$C$99,MATCH(S$1&amp;"|"&amp;Customers!S84,Mapping!$D$2:$D$99,0))</f>
        <v>2</v>
      </c>
      <c r="T84" s="8" t="n">
        <f aca="false">INDEX(Mapping!$C$2:$C$99,MATCH(T$1&amp;"|"&amp;Customers!T84,Mapping!$D$2:$D$99,0))</f>
        <v>1</v>
      </c>
      <c r="U84" s="8" t="n">
        <f aca="false">INDEX(Mapping!$C$2:$C$99,MATCH(U$1&amp;"|"&amp;Customers!U84,Mapping!$D$2:$D$99,0))</f>
        <v>1</v>
      </c>
      <c r="V84" s="8" t="n">
        <f aca="false">INDEX(Mapping!$C$2:$C$99,MATCH(V$1&amp;"|"&amp;Customers!V84,Mapping!$D$2:$D$99,0))</f>
        <v>1</v>
      </c>
      <c r="W84" s="17" t="n">
        <f aca="false">SUMPRODUCT($C84:$V84,Weights!$C$27:$V$27)</f>
        <v>1.635</v>
      </c>
      <c r="X84" s="18" t="n">
        <f aca="false">ROUND($W84,2)</f>
        <v>1.64</v>
      </c>
      <c r="Y84" s="8" t="str">
        <f aca="false">IF($X84&lt;=2,"Low",IF($X84&lt;=3.49,"Medium","High"))</f>
        <v>Low</v>
      </c>
      <c r="Z84" s="8" t="str">
        <f aca="false">IF(OR($F84&gt;=3,$E84=5,$D84=5,$C84=5,$G84=5,$H84=5,$I84=5,$J84=5,Customers!$W84="Yes"),"Yes","No")</f>
        <v>No</v>
      </c>
      <c r="AA84" s="15" t="str">
        <f aca="false">IF($Z84="Yes","High",$Y84)</f>
        <v>Low</v>
      </c>
      <c r="AB84" s="18" t="n">
        <f aca="false">SUMPRODUCT($C84:$G84,Weights!$C$28:$G$28)</f>
        <v>1.5</v>
      </c>
      <c r="AC84" s="18" t="n">
        <f aca="false">SUMPRODUCT($H84:$J84,Weights!$H$28:$J$28)</f>
        <v>1.2</v>
      </c>
      <c r="AD84" s="18" t="n">
        <f aca="false">SUMPRODUCT($K84:$N84,Weights!$K$28:$N$28)</f>
        <v>1.75</v>
      </c>
      <c r="AE84" s="18" t="n">
        <f aca="false">SUMPRODUCT($O84:$Q84,Weights!$O$28:$Q$28)</f>
        <v>3.4</v>
      </c>
      <c r="AF84" s="18" t="n">
        <f aca="false">SUMPRODUCT($R84:$V84,Weights!$R$28:$V$28)</f>
        <v>1.3</v>
      </c>
      <c r="AH84" s="18" t="n">
        <f aca="false">SUMPRODUCT($AB84:$AF84,Validation!$D$7:$H$7)</f>
        <v>1.65428571428615</v>
      </c>
      <c r="AI84" s="18" t="n">
        <f aca="false">SUMPRODUCT($AB84:$AF84,Validation!$D$8:$H$8)</f>
        <v>1.61571428571385</v>
      </c>
      <c r="AJ84" s="18" t="n">
        <f aca="false">SUMPRODUCT($AB84:$AF84,Validation!$D$9:$H$9)</f>
        <v>1.69299999999945</v>
      </c>
      <c r="AK84" s="18" t="n">
        <f aca="false">SUMPRODUCT($AB84:$AF84,Validation!$D$10:$H$10)</f>
        <v>1.57700000000055</v>
      </c>
      <c r="AL84" s="18" t="n">
        <f aca="false">SUMPRODUCT($AB84:$AF84,Validation!$D$11:$H$11)</f>
        <v>1.620625</v>
      </c>
      <c r="AM84" s="18" t="n">
        <f aca="false">SUMPRODUCT($AB84:$AF84,Validation!$D$12:$H$12)</f>
        <v>1.649375</v>
      </c>
      <c r="AN84" s="18" t="n">
        <f aca="false">SUMPRODUCT($AB84:$AF84,Validation!$D$13:$H$13)</f>
        <v>1.4388888888887</v>
      </c>
      <c r="AO84" s="18" t="n">
        <f aca="false">SUMPRODUCT($AB84:$AF84,Validation!$D$14:$H$14)</f>
        <v>1.8311111111113</v>
      </c>
      <c r="AP84" s="18" t="n">
        <f aca="false">SUMPRODUCT($AB84:$AF84,Validation!$D$15:$H$15)</f>
        <v>1.67441176470525</v>
      </c>
      <c r="AQ84" s="18" t="n">
        <f aca="false">SUMPRODUCT($AB84:$AF84,Validation!$D$16:$H$16)</f>
        <v>1.59558823529475</v>
      </c>
      <c r="AR84" s="8" t="n">
        <f aca="false">COUNTIF($C84:$V84,"&gt;=4")</f>
        <v>2</v>
      </c>
      <c r="AS84" s="8" t="str">
        <f aca="false">IF($X84&lt;=1.6,"Low",IF($X84&lt;=2.2,"Medium","High"))</f>
        <v>Medium</v>
      </c>
      <c r="AT84" s="8" t="str">
        <f aca="false">IF($AR84=0,"Low",IF($AR84&lt;3,"Medium","High"))</f>
        <v>Medium</v>
      </c>
      <c r="AU84" s="8" t="str">
        <f aca="false">IF(OR($AS84="High",$AT84="High"),"High",IF(OR($AS84="Medium",$AT84="Medium"),"Medium","Low"))</f>
        <v>Medium</v>
      </c>
      <c r="AV84" s="15" t="str">
        <f aca="false">IF($Z84="Yes","High",$AU84)</f>
        <v>Medium</v>
      </c>
    </row>
    <row r="85" customFormat="false" ht="15" hidden="false" customHeight="false" outlineLevel="0" collapsed="false">
      <c r="A85" s="7" t="str">
        <f aca="false">Customers!$A85</f>
        <v>NG-10336</v>
      </c>
      <c r="B85" s="7" t="str">
        <f aca="false">Customers!$B85</f>
        <v>Sole trader</v>
      </c>
      <c r="C85" s="8" t="n">
        <f aca="false">INDEX(Mapping!$C$2:$C$99,MATCH(C$1&amp;"|"&amp;Customers!C85,Mapping!$D$2:$D$99,0))</f>
        <v>2</v>
      </c>
      <c r="D85" s="8" t="n">
        <f aca="false">INDEX(Mapping!$C$2:$C$99,MATCH(D$1&amp;"|"&amp;Customers!D85,Mapping!$D$2:$D$99,0))</f>
        <v>1</v>
      </c>
      <c r="E85" s="8" t="n">
        <f aca="false">INDEX(Mapping!$C$2:$C$99,MATCH(E$1&amp;"|"&amp;Customers!E85,Mapping!$D$2:$D$99,0))</f>
        <v>3</v>
      </c>
      <c r="F85" s="8" t="n">
        <f aca="false">INDEX(Mapping!$C$2:$C$99,MATCH(F$1&amp;"|"&amp;Customers!F85,Mapping!$D$2:$D$99,0))</f>
        <v>1</v>
      </c>
      <c r="G85" s="8" t="n">
        <f aca="false">INDEX(Mapping!$C$2:$C$99,MATCH(G$1&amp;"|"&amp;Customers!G85,Mapping!$D$2:$D$99,0))</f>
        <v>1</v>
      </c>
      <c r="H85" s="8" t="n">
        <f aca="false">INDEX(Mapping!$C$2:$C$99,MATCH(H$1&amp;"|"&amp;Customers!H85,Mapping!$D$2:$D$99,0))</f>
        <v>1</v>
      </c>
      <c r="I85" s="8" t="n">
        <f aca="false">INDEX(Mapping!$C$2:$C$99,MATCH(I$1&amp;"|"&amp;Customers!I85,Mapping!$D$2:$D$99,0))</f>
        <v>1</v>
      </c>
      <c r="J85" s="8" t="n">
        <f aca="false">INDEX(Mapping!$C$2:$C$99,MATCH(J$1&amp;"|"&amp;Customers!J85,Mapping!$D$2:$D$99,0))</f>
        <v>1</v>
      </c>
      <c r="K85" s="8" t="n">
        <f aca="false">INDEX(Mapping!$C$2:$C$99,MATCH(K$1&amp;"|"&amp;Customers!K85,Mapping!$D$2:$D$99,0))</f>
        <v>4</v>
      </c>
      <c r="L85" s="8" t="n">
        <f aca="false">INDEX(Mapping!$C$2:$C$99,MATCH(L$1&amp;"|"&amp;Customers!L85,Mapping!$D$2:$D$99,0))</f>
        <v>3</v>
      </c>
      <c r="M85" s="8" t="n">
        <f aca="false">INDEX(Mapping!$C$2:$C$99,MATCH(M$1&amp;"|"&amp;Customers!M85,Mapping!$D$2:$D$99,0))</f>
        <v>1</v>
      </c>
      <c r="N85" s="8" t="n">
        <f aca="false">INDEX(Mapping!$C$2:$C$99,MATCH(N$1&amp;"|"&amp;Customers!N85,Mapping!$D$2:$D$99,0))</f>
        <v>3</v>
      </c>
      <c r="O85" s="8" t="n">
        <f aca="false">INDEX(Mapping!$C$2:$C$99,MATCH(O$1&amp;"|"&amp;Customers!O85,Mapping!$D$2:$D$99,0))</f>
        <v>1</v>
      </c>
      <c r="P85" s="8" t="n">
        <f aca="false">INDEX(Mapping!$C$2:$C$99,MATCH(P$1&amp;"|"&amp;Customers!P85,Mapping!$D$2:$D$99,0))</f>
        <v>3</v>
      </c>
      <c r="Q85" s="8" t="n">
        <f aca="false">INDEX(Mapping!$C$2:$C$99,MATCH(Q$1&amp;"|"&amp;Customers!Q85,Mapping!$D$2:$D$99,0))</f>
        <v>1</v>
      </c>
      <c r="R85" s="8" t="n">
        <f aca="false">INDEX(Mapping!$C$2:$C$99,MATCH(R$1&amp;"|"&amp;Customers!R85,Mapping!$D$2:$D$99,0))</f>
        <v>2</v>
      </c>
      <c r="S85" s="8" t="n">
        <f aca="false">INDEX(Mapping!$C$2:$C$99,MATCH(S$1&amp;"|"&amp;Customers!S85,Mapping!$D$2:$D$99,0))</f>
        <v>4</v>
      </c>
      <c r="T85" s="8" t="n">
        <f aca="false">INDEX(Mapping!$C$2:$C$99,MATCH(T$1&amp;"|"&amp;Customers!T85,Mapping!$D$2:$D$99,0))</f>
        <v>1</v>
      </c>
      <c r="U85" s="8" t="n">
        <f aca="false">INDEX(Mapping!$C$2:$C$99,MATCH(U$1&amp;"|"&amp;Customers!U85,Mapping!$D$2:$D$99,0))</f>
        <v>3</v>
      </c>
      <c r="V85" s="8" t="n">
        <f aca="false">INDEX(Mapping!$C$2:$C$99,MATCH(V$1&amp;"|"&amp;Customers!V85,Mapping!$D$2:$D$99,0))</f>
        <v>1</v>
      </c>
      <c r="W85" s="17" t="n">
        <f aca="false">SUMPRODUCT($C85:$V85,Weights!$C$27:$V$27)</f>
        <v>1.8675</v>
      </c>
      <c r="X85" s="18" t="n">
        <f aca="false">ROUND($W85,2)</f>
        <v>1.87</v>
      </c>
      <c r="Y85" s="8" t="str">
        <f aca="false">IF($X85&lt;=2,"Low",IF($X85&lt;=3.49,"Medium","High"))</f>
        <v>Low</v>
      </c>
      <c r="Z85" s="8" t="str">
        <f aca="false">IF(OR($F85&gt;=3,$E85=5,$D85=5,$C85=5,$G85=5,$H85=5,$I85=5,$J85=5,Customers!$W85="Yes"),"Yes","No")</f>
        <v>No</v>
      </c>
      <c r="AA85" s="15" t="str">
        <f aca="false">IF($Z85="Yes","High",$Y85)</f>
        <v>Low</v>
      </c>
      <c r="AB85" s="18" t="n">
        <f aca="false">SUMPRODUCT($C85:$G85,Weights!$C$28:$G$28)</f>
        <v>1.7</v>
      </c>
      <c r="AC85" s="18" t="n">
        <f aca="false">SUMPRODUCT($H85:$J85,Weights!$H$28:$J$28)</f>
        <v>1</v>
      </c>
      <c r="AD85" s="18" t="n">
        <f aca="false">SUMPRODUCT($K85:$N85,Weights!$K$28:$N$28)</f>
        <v>2.85</v>
      </c>
      <c r="AE85" s="18" t="n">
        <f aca="false">SUMPRODUCT($O85:$Q85,Weights!$O$28:$Q$28)</f>
        <v>1.7</v>
      </c>
      <c r="AF85" s="18" t="n">
        <f aca="false">SUMPRODUCT($R85:$V85,Weights!$R$28:$V$28)</f>
        <v>2.45</v>
      </c>
      <c r="AH85" s="18" t="n">
        <f aca="false">SUMPRODUCT($AB85:$AF85,Validation!$D$7:$H$7)</f>
        <v>1.8914285714286</v>
      </c>
      <c r="AI85" s="18" t="n">
        <f aca="false">SUMPRODUCT($AB85:$AF85,Validation!$D$8:$H$8)</f>
        <v>1.8435714285714</v>
      </c>
      <c r="AJ85" s="18" t="n">
        <f aca="false">SUMPRODUCT($AB85:$AF85,Validation!$D$9:$H$9)</f>
        <v>1.98316666666705</v>
      </c>
      <c r="AK85" s="18" t="n">
        <f aca="false">SUMPRODUCT($AB85:$AF85,Validation!$D$10:$H$10)</f>
        <v>1.75183333333295</v>
      </c>
      <c r="AL85" s="18" t="n">
        <f aca="false">SUMPRODUCT($AB85:$AF85,Validation!$D$11:$H$11)</f>
        <v>1.7446875</v>
      </c>
      <c r="AM85" s="18" t="n">
        <f aca="false">SUMPRODUCT($AB85:$AF85,Validation!$D$12:$H$12)</f>
        <v>1.9903125</v>
      </c>
      <c r="AN85" s="18" t="n">
        <f aca="false">SUMPRODUCT($AB85:$AF85,Validation!$D$13:$H$13)</f>
        <v>1.88611111111095</v>
      </c>
      <c r="AO85" s="18" t="n">
        <f aca="false">SUMPRODUCT($AB85:$AF85,Validation!$D$14:$H$14)</f>
        <v>1.84888888888905</v>
      </c>
      <c r="AP85" s="18" t="n">
        <f aca="false">SUMPRODUCT($AB85:$AF85,Validation!$D$15:$H$15)</f>
        <v>1.79897058823555</v>
      </c>
      <c r="AQ85" s="18" t="n">
        <f aca="false">SUMPRODUCT($AB85:$AF85,Validation!$D$16:$H$16)</f>
        <v>1.93602941176445</v>
      </c>
      <c r="AR85" s="8" t="n">
        <f aca="false">COUNTIF($C85:$V85,"&gt;=4")</f>
        <v>2</v>
      </c>
      <c r="AS85" s="8" t="str">
        <f aca="false">IF($X85&lt;=1.6,"Low",IF($X85&lt;=2.2,"Medium","High"))</f>
        <v>Medium</v>
      </c>
      <c r="AT85" s="8" t="str">
        <f aca="false">IF($AR85=0,"Low",IF($AR85&lt;3,"Medium","High"))</f>
        <v>Medium</v>
      </c>
      <c r="AU85" s="8" t="str">
        <f aca="false">IF(OR($AS85="High",$AT85="High"),"High",IF(OR($AS85="Medium",$AT85="Medium"),"Medium","Low"))</f>
        <v>Medium</v>
      </c>
      <c r="AV85" s="15" t="str">
        <f aca="false">IF($Z85="Yes","High",$AU85)</f>
        <v>Medium</v>
      </c>
    </row>
    <row r="86" customFormat="false" ht="15" hidden="false" customHeight="false" outlineLevel="0" collapsed="false">
      <c r="A86" s="7" t="str">
        <f aca="false">Customers!$A86</f>
        <v>NG-10130</v>
      </c>
      <c r="B86" s="7" t="str">
        <f aca="false">Customers!$B86</f>
        <v>Personal</v>
      </c>
      <c r="C86" s="8" t="n">
        <f aca="false">INDEX(Mapping!$C$2:$C$99,MATCH(C$1&amp;"|"&amp;Customers!C86,Mapping!$D$2:$D$99,0))</f>
        <v>1</v>
      </c>
      <c r="D86" s="8" t="n">
        <f aca="false">INDEX(Mapping!$C$2:$C$99,MATCH(D$1&amp;"|"&amp;Customers!D86,Mapping!$D$2:$D$99,0))</f>
        <v>1</v>
      </c>
      <c r="E86" s="8" t="n">
        <f aca="false">INDEX(Mapping!$C$2:$C$99,MATCH(E$1&amp;"|"&amp;Customers!E86,Mapping!$D$2:$D$99,0))</f>
        <v>1</v>
      </c>
      <c r="F86" s="8" t="n">
        <f aca="false">INDEX(Mapping!$C$2:$C$99,MATCH(F$1&amp;"|"&amp;Customers!F86,Mapping!$D$2:$D$99,0))</f>
        <v>1</v>
      </c>
      <c r="G86" s="8" t="n">
        <f aca="false">INDEX(Mapping!$C$2:$C$99,MATCH(G$1&amp;"|"&amp;Customers!G86,Mapping!$D$2:$D$99,0))</f>
        <v>1</v>
      </c>
      <c r="H86" s="8" t="n">
        <f aca="false">INDEX(Mapping!$C$2:$C$99,MATCH(H$1&amp;"|"&amp;Customers!H86,Mapping!$D$2:$D$99,0))</f>
        <v>1</v>
      </c>
      <c r="I86" s="8" t="n">
        <f aca="false">INDEX(Mapping!$C$2:$C$99,MATCH(I$1&amp;"|"&amp;Customers!I86,Mapping!$D$2:$D$99,0))</f>
        <v>1</v>
      </c>
      <c r="J86" s="8" t="n">
        <f aca="false">INDEX(Mapping!$C$2:$C$99,MATCH(J$1&amp;"|"&amp;Customers!J86,Mapping!$D$2:$D$99,0))</f>
        <v>1</v>
      </c>
      <c r="K86" s="8" t="n">
        <f aca="false">INDEX(Mapping!$C$2:$C$99,MATCH(K$1&amp;"|"&amp;Customers!K86,Mapping!$D$2:$D$99,0))</f>
        <v>2</v>
      </c>
      <c r="L86" s="8" t="n">
        <f aca="false">INDEX(Mapping!$C$2:$C$99,MATCH(L$1&amp;"|"&amp;Customers!L86,Mapping!$D$2:$D$99,0))</f>
        <v>2</v>
      </c>
      <c r="M86" s="8" t="n">
        <f aca="false">INDEX(Mapping!$C$2:$C$99,MATCH(M$1&amp;"|"&amp;Customers!M86,Mapping!$D$2:$D$99,0))</f>
        <v>1</v>
      </c>
      <c r="N86" s="8" t="n">
        <f aca="false">INDEX(Mapping!$C$2:$C$99,MATCH(N$1&amp;"|"&amp;Customers!N86,Mapping!$D$2:$D$99,0))</f>
        <v>2</v>
      </c>
      <c r="O86" s="8" t="n">
        <f aca="false">INDEX(Mapping!$C$2:$C$99,MATCH(O$1&amp;"|"&amp;Customers!O86,Mapping!$D$2:$D$99,0))</f>
        <v>4</v>
      </c>
      <c r="P86" s="8" t="n">
        <f aca="false">INDEX(Mapping!$C$2:$C$99,MATCH(P$1&amp;"|"&amp;Customers!P86,Mapping!$D$2:$D$99,0))</f>
        <v>4</v>
      </c>
      <c r="Q86" s="8" t="n">
        <f aca="false">INDEX(Mapping!$C$2:$C$99,MATCH(Q$1&amp;"|"&amp;Customers!Q86,Mapping!$D$2:$D$99,0))</f>
        <v>3</v>
      </c>
      <c r="R86" s="8" t="n">
        <f aca="false">INDEX(Mapping!$C$2:$C$99,MATCH(R$1&amp;"|"&amp;Customers!R86,Mapping!$D$2:$D$99,0))</f>
        <v>1</v>
      </c>
      <c r="S86" s="8" t="n">
        <f aca="false">INDEX(Mapping!$C$2:$C$99,MATCH(S$1&amp;"|"&amp;Customers!S86,Mapping!$D$2:$D$99,0))</f>
        <v>2</v>
      </c>
      <c r="T86" s="8" t="n">
        <f aca="false">INDEX(Mapping!$C$2:$C$99,MATCH(T$1&amp;"|"&amp;Customers!T86,Mapping!$D$2:$D$99,0))</f>
        <v>1</v>
      </c>
      <c r="U86" s="8" t="n">
        <f aca="false">INDEX(Mapping!$C$2:$C$99,MATCH(U$1&amp;"|"&amp;Customers!U86,Mapping!$D$2:$D$99,0))</f>
        <v>1</v>
      </c>
      <c r="V86" s="8" t="n">
        <f aca="false">INDEX(Mapping!$C$2:$C$99,MATCH(V$1&amp;"|"&amp;Customers!V86,Mapping!$D$2:$D$99,0))</f>
        <v>1</v>
      </c>
      <c r="W86" s="17" t="n">
        <f aca="false">SUMPRODUCT($C86:$V86,Weights!$C$27:$V$27)</f>
        <v>1.475</v>
      </c>
      <c r="X86" s="18" t="n">
        <f aca="false">ROUND($W86,2)</f>
        <v>1.48</v>
      </c>
      <c r="Y86" s="8" t="str">
        <f aca="false">IF($X86&lt;=2,"Low",IF($X86&lt;=3.49,"Medium","High"))</f>
        <v>Low</v>
      </c>
      <c r="Z86" s="8" t="str">
        <f aca="false">IF(OR($F86&gt;=3,$E86=5,$D86=5,$C86=5,$G86=5,$H86=5,$I86=5,$J86=5,Customers!$W86="Yes"),"Yes","No")</f>
        <v>No</v>
      </c>
      <c r="AA86" s="15" t="str">
        <f aca="false">IF($Z86="Yes","High",$Y86)</f>
        <v>Low</v>
      </c>
      <c r="AB86" s="18" t="n">
        <f aca="false">SUMPRODUCT($C86:$G86,Weights!$C$28:$G$28)</f>
        <v>1</v>
      </c>
      <c r="AC86" s="18" t="n">
        <f aca="false">SUMPRODUCT($H86:$J86,Weights!$H$28:$J$28)</f>
        <v>1</v>
      </c>
      <c r="AD86" s="18" t="n">
        <f aca="false">SUMPRODUCT($K86:$N86,Weights!$K$28:$N$28)</f>
        <v>1.75</v>
      </c>
      <c r="AE86" s="18" t="n">
        <f aca="false">SUMPRODUCT($O86:$Q86,Weights!$O$28:$Q$28)</f>
        <v>3.8</v>
      </c>
      <c r="AF86" s="18" t="n">
        <f aca="false">SUMPRODUCT($R86:$V86,Weights!$R$28:$V$28)</f>
        <v>1.3</v>
      </c>
      <c r="AH86" s="18" t="n">
        <f aca="false">SUMPRODUCT($AB86:$AF86,Validation!$D$7:$H$7)</f>
        <v>1.54285714285775</v>
      </c>
      <c r="AI86" s="18" t="n">
        <f aca="false">SUMPRODUCT($AB86:$AF86,Validation!$D$8:$H$8)</f>
        <v>1.40714285714225</v>
      </c>
      <c r="AJ86" s="18" t="n">
        <f aca="false">SUMPRODUCT($AB86:$AF86,Validation!$D$9:$H$9)</f>
        <v>1.53833333333265</v>
      </c>
      <c r="AK86" s="18" t="n">
        <f aca="false">SUMPRODUCT($AB86:$AF86,Validation!$D$10:$H$10)</f>
        <v>1.41166666666735</v>
      </c>
      <c r="AL86" s="18" t="n">
        <f aca="false">SUMPRODUCT($AB86:$AF86,Validation!$D$11:$H$11)</f>
        <v>1.440625</v>
      </c>
      <c r="AM86" s="18" t="n">
        <f aca="false">SUMPRODUCT($AB86:$AF86,Validation!$D$12:$H$12)</f>
        <v>1.509375</v>
      </c>
      <c r="AN86" s="18" t="n">
        <f aca="false">SUMPRODUCT($AB86:$AF86,Validation!$D$13:$H$13)</f>
        <v>1.2166666666666</v>
      </c>
      <c r="AO86" s="18" t="n">
        <f aca="false">SUMPRODUCT($AB86:$AF86,Validation!$D$14:$H$14)</f>
        <v>1.7333333333334</v>
      </c>
      <c r="AP86" s="18" t="n">
        <f aca="false">SUMPRODUCT($AB86:$AF86,Validation!$D$15:$H$15)</f>
        <v>1.49558823529335</v>
      </c>
      <c r="AQ86" s="18" t="n">
        <f aca="false">SUMPRODUCT($AB86:$AF86,Validation!$D$16:$H$16)</f>
        <v>1.45441176470665</v>
      </c>
      <c r="AR86" s="8" t="n">
        <f aca="false">COUNTIF($C86:$V86,"&gt;=4")</f>
        <v>2</v>
      </c>
      <c r="AS86" s="8" t="str">
        <f aca="false">IF($X86&lt;=1.6,"Low",IF($X86&lt;=2.2,"Medium","High"))</f>
        <v>Low</v>
      </c>
      <c r="AT86" s="8" t="str">
        <f aca="false">IF($AR86=0,"Low",IF($AR86&lt;3,"Medium","High"))</f>
        <v>Medium</v>
      </c>
      <c r="AU86" s="8" t="str">
        <f aca="false">IF(OR($AS86="High",$AT86="High"),"High",IF(OR($AS86="Medium",$AT86="Medium"),"Medium","Low"))</f>
        <v>Medium</v>
      </c>
      <c r="AV86" s="15" t="str">
        <f aca="false">IF($Z86="Yes","High",$AU86)</f>
        <v>Medium</v>
      </c>
    </row>
    <row r="87" customFormat="false" ht="15" hidden="false" customHeight="false" outlineLevel="0" collapsed="false">
      <c r="A87" s="7" t="str">
        <f aca="false">Customers!$A87</f>
        <v>NG-10119</v>
      </c>
      <c r="B87" s="7" t="str">
        <f aca="false">Customers!$B87</f>
        <v>Personal</v>
      </c>
      <c r="C87" s="8" t="n">
        <f aca="false">INDEX(Mapping!$C$2:$C$99,MATCH(C$1&amp;"|"&amp;Customers!C87,Mapping!$D$2:$D$99,0))</f>
        <v>1</v>
      </c>
      <c r="D87" s="8" t="n">
        <f aca="false">INDEX(Mapping!$C$2:$C$99,MATCH(D$1&amp;"|"&amp;Customers!D87,Mapping!$D$2:$D$99,0))</f>
        <v>1</v>
      </c>
      <c r="E87" s="8" t="n">
        <f aca="false">INDEX(Mapping!$C$2:$C$99,MATCH(E$1&amp;"|"&amp;Customers!E87,Mapping!$D$2:$D$99,0))</f>
        <v>3</v>
      </c>
      <c r="F87" s="8" t="n">
        <f aca="false">INDEX(Mapping!$C$2:$C$99,MATCH(F$1&amp;"|"&amp;Customers!F87,Mapping!$D$2:$D$99,0))</f>
        <v>1</v>
      </c>
      <c r="G87" s="8" t="n">
        <f aca="false">INDEX(Mapping!$C$2:$C$99,MATCH(G$1&amp;"|"&amp;Customers!G87,Mapping!$D$2:$D$99,0))</f>
        <v>1</v>
      </c>
      <c r="H87" s="8" t="n">
        <f aca="false">INDEX(Mapping!$C$2:$C$99,MATCH(H$1&amp;"|"&amp;Customers!H87,Mapping!$D$2:$D$99,0))</f>
        <v>1</v>
      </c>
      <c r="I87" s="8" t="n">
        <f aca="false">INDEX(Mapping!$C$2:$C$99,MATCH(I$1&amp;"|"&amp;Customers!I87,Mapping!$D$2:$D$99,0))</f>
        <v>2</v>
      </c>
      <c r="J87" s="8" t="n">
        <f aca="false">INDEX(Mapping!$C$2:$C$99,MATCH(J$1&amp;"|"&amp;Customers!J87,Mapping!$D$2:$D$99,0))</f>
        <v>1</v>
      </c>
      <c r="K87" s="8" t="n">
        <f aca="false">INDEX(Mapping!$C$2:$C$99,MATCH(K$1&amp;"|"&amp;Customers!K87,Mapping!$D$2:$D$99,0))</f>
        <v>2</v>
      </c>
      <c r="L87" s="8" t="n">
        <f aca="false">INDEX(Mapping!$C$2:$C$99,MATCH(L$1&amp;"|"&amp;Customers!L87,Mapping!$D$2:$D$99,0))</f>
        <v>3</v>
      </c>
      <c r="M87" s="8" t="n">
        <f aca="false">INDEX(Mapping!$C$2:$C$99,MATCH(M$1&amp;"|"&amp;Customers!M87,Mapping!$D$2:$D$99,0))</f>
        <v>3</v>
      </c>
      <c r="N87" s="8" t="n">
        <f aca="false">INDEX(Mapping!$C$2:$C$99,MATCH(N$1&amp;"|"&amp;Customers!N87,Mapping!$D$2:$D$99,0))</f>
        <v>1</v>
      </c>
      <c r="O87" s="8" t="n">
        <f aca="false">INDEX(Mapping!$C$2:$C$99,MATCH(O$1&amp;"|"&amp;Customers!O87,Mapping!$D$2:$D$99,0))</f>
        <v>3</v>
      </c>
      <c r="P87" s="8" t="n">
        <f aca="false">INDEX(Mapping!$C$2:$C$99,MATCH(P$1&amp;"|"&amp;Customers!P87,Mapping!$D$2:$D$99,0))</f>
        <v>5</v>
      </c>
      <c r="Q87" s="8" t="n">
        <f aca="false">INDEX(Mapping!$C$2:$C$99,MATCH(Q$1&amp;"|"&amp;Customers!Q87,Mapping!$D$2:$D$99,0))</f>
        <v>1</v>
      </c>
      <c r="R87" s="8" t="n">
        <f aca="false">INDEX(Mapping!$C$2:$C$99,MATCH(R$1&amp;"|"&amp;Customers!R87,Mapping!$D$2:$D$99,0))</f>
        <v>2</v>
      </c>
      <c r="S87" s="8" t="n">
        <f aca="false">INDEX(Mapping!$C$2:$C$99,MATCH(S$1&amp;"|"&amp;Customers!S87,Mapping!$D$2:$D$99,0))</f>
        <v>1</v>
      </c>
      <c r="T87" s="8" t="n">
        <f aca="false">INDEX(Mapping!$C$2:$C$99,MATCH(T$1&amp;"|"&amp;Customers!T87,Mapping!$D$2:$D$99,0))</f>
        <v>2</v>
      </c>
      <c r="U87" s="8" t="n">
        <f aca="false">INDEX(Mapping!$C$2:$C$99,MATCH(U$1&amp;"|"&amp;Customers!U87,Mapping!$D$2:$D$99,0))</f>
        <v>1</v>
      </c>
      <c r="V87" s="8" t="n">
        <f aca="false">INDEX(Mapping!$C$2:$C$99,MATCH(V$1&amp;"|"&amp;Customers!V87,Mapping!$D$2:$D$99,0))</f>
        <v>2</v>
      </c>
      <c r="W87" s="17" t="n">
        <f aca="false">SUMPRODUCT($C87:$V87,Weights!$C$27:$V$27)</f>
        <v>1.7825</v>
      </c>
      <c r="X87" s="18" t="n">
        <f aca="false">ROUND($W87,2)</f>
        <v>1.78</v>
      </c>
      <c r="Y87" s="8" t="str">
        <f aca="false">IF($X87&lt;=2,"Low",IF($X87&lt;=3.49,"Medium","High"))</f>
        <v>Low</v>
      </c>
      <c r="Z87" s="8" t="str">
        <f aca="false">IF(OR($F87&gt;=3,$E87=5,$D87=5,$C87=5,$G87=5,$H87=5,$I87=5,$J87=5,Customers!$W87="Yes"),"Yes","No")</f>
        <v>No</v>
      </c>
      <c r="AA87" s="15" t="str">
        <f aca="false">IF($Z87="Yes","High",$Y87)</f>
        <v>Low</v>
      </c>
      <c r="AB87" s="18" t="n">
        <f aca="false">SUMPRODUCT($C87:$G87,Weights!$C$28:$G$28)</f>
        <v>1.5</v>
      </c>
      <c r="AC87" s="18" t="n">
        <f aca="false">SUMPRODUCT($H87:$J87,Weights!$H$28:$J$28)</f>
        <v>1.2</v>
      </c>
      <c r="AD87" s="18" t="n">
        <f aca="false">SUMPRODUCT($K87:$N87,Weights!$K$28:$N$28)</f>
        <v>2.35</v>
      </c>
      <c r="AE87" s="18" t="n">
        <f aca="false">SUMPRODUCT($O87:$Q87,Weights!$O$28:$Q$28)</f>
        <v>3.3</v>
      </c>
      <c r="AF87" s="18" t="n">
        <f aca="false">SUMPRODUCT($R87:$V87,Weights!$R$28:$V$28)</f>
        <v>1.55</v>
      </c>
      <c r="AH87" s="18" t="n">
        <f aca="false">SUMPRODUCT($AB87:$AF87,Validation!$D$7:$H$7)</f>
        <v>1.8228571428574</v>
      </c>
      <c r="AI87" s="18" t="n">
        <f aca="false">SUMPRODUCT($AB87:$AF87,Validation!$D$8:$H$8)</f>
        <v>1.7421428571426</v>
      </c>
      <c r="AJ87" s="18" t="n">
        <f aca="false">SUMPRODUCT($AB87:$AF87,Validation!$D$9:$H$9)</f>
        <v>1.86016666666635</v>
      </c>
      <c r="AK87" s="18" t="n">
        <f aca="false">SUMPRODUCT($AB87:$AF87,Validation!$D$10:$H$10)</f>
        <v>1.70483333333365</v>
      </c>
      <c r="AL87" s="18" t="n">
        <f aca="false">SUMPRODUCT($AB87:$AF87,Validation!$D$11:$H$11)</f>
        <v>1.7115625</v>
      </c>
      <c r="AM87" s="18" t="n">
        <f aca="false">SUMPRODUCT($AB87:$AF87,Validation!$D$12:$H$12)</f>
        <v>1.8534375</v>
      </c>
      <c r="AN87" s="18" t="n">
        <f aca="false">SUMPRODUCT($AB87:$AF87,Validation!$D$13:$H$13)</f>
        <v>1.61388888888865</v>
      </c>
      <c r="AO87" s="18" t="n">
        <f aca="false">SUMPRODUCT($AB87:$AF87,Validation!$D$14:$H$14)</f>
        <v>1.95111111111135</v>
      </c>
      <c r="AP87" s="18" t="n">
        <f aca="false">SUMPRODUCT($AB87:$AF87,Validation!$D$15:$H$15)</f>
        <v>1.80985294117605</v>
      </c>
      <c r="AQ87" s="18" t="n">
        <f aca="false">SUMPRODUCT($AB87:$AF87,Validation!$D$16:$H$16)</f>
        <v>1.75514705882395</v>
      </c>
      <c r="AR87" s="8" t="n">
        <f aca="false">COUNTIF($C87:$V87,"&gt;=4")</f>
        <v>1</v>
      </c>
      <c r="AS87" s="8" t="str">
        <f aca="false">IF($X87&lt;=1.6,"Low",IF($X87&lt;=2.2,"Medium","High"))</f>
        <v>Medium</v>
      </c>
      <c r="AT87" s="8" t="str">
        <f aca="false">IF($AR87=0,"Low",IF($AR87&lt;3,"Medium","High"))</f>
        <v>Medium</v>
      </c>
      <c r="AU87" s="8" t="str">
        <f aca="false">IF(OR($AS87="High",$AT87="High"),"High",IF(OR($AS87="Medium",$AT87="Medium"),"Medium","Low"))</f>
        <v>Medium</v>
      </c>
      <c r="AV87" s="15" t="str">
        <f aca="false">IF($Z87="Yes","High",$AU87)</f>
        <v>Medium</v>
      </c>
    </row>
    <row r="88" customFormat="false" ht="15" hidden="false" customHeight="false" outlineLevel="0" collapsed="false">
      <c r="A88" s="7" t="str">
        <f aca="false">Customers!$A88</f>
        <v>NG-10237</v>
      </c>
      <c r="B88" s="7" t="str">
        <f aca="false">Customers!$B88</f>
        <v>Personal</v>
      </c>
      <c r="C88" s="8" t="n">
        <f aca="false">INDEX(Mapping!$C$2:$C$99,MATCH(C$1&amp;"|"&amp;Customers!C88,Mapping!$D$2:$D$99,0))</f>
        <v>1</v>
      </c>
      <c r="D88" s="8" t="n">
        <f aca="false">INDEX(Mapping!$C$2:$C$99,MATCH(D$1&amp;"|"&amp;Customers!D88,Mapping!$D$2:$D$99,0))</f>
        <v>1</v>
      </c>
      <c r="E88" s="8" t="n">
        <f aca="false">INDEX(Mapping!$C$2:$C$99,MATCH(E$1&amp;"|"&amp;Customers!E88,Mapping!$D$2:$D$99,0))</f>
        <v>1</v>
      </c>
      <c r="F88" s="8" t="n">
        <f aca="false">INDEX(Mapping!$C$2:$C$99,MATCH(F$1&amp;"|"&amp;Customers!F88,Mapping!$D$2:$D$99,0))</f>
        <v>1</v>
      </c>
      <c r="G88" s="8" t="n">
        <f aca="false">INDEX(Mapping!$C$2:$C$99,MATCH(G$1&amp;"|"&amp;Customers!G88,Mapping!$D$2:$D$99,0))</f>
        <v>1</v>
      </c>
      <c r="H88" s="8" t="n">
        <f aca="false">INDEX(Mapping!$C$2:$C$99,MATCH(H$1&amp;"|"&amp;Customers!H88,Mapping!$D$2:$D$99,0))</f>
        <v>1</v>
      </c>
      <c r="I88" s="8" t="n">
        <f aca="false">INDEX(Mapping!$C$2:$C$99,MATCH(I$1&amp;"|"&amp;Customers!I88,Mapping!$D$2:$D$99,0))</f>
        <v>1</v>
      </c>
      <c r="J88" s="8" t="n">
        <f aca="false">INDEX(Mapping!$C$2:$C$99,MATCH(J$1&amp;"|"&amp;Customers!J88,Mapping!$D$2:$D$99,0))</f>
        <v>1</v>
      </c>
      <c r="K88" s="8" t="n">
        <f aca="false">INDEX(Mapping!$C$2:$C$99,MATCH(K$1&amp;"|"&amp;Customers!K88,Mapping!$D$2:$D$99,0))</f>
        <v>2</v>
      </c>
      <c r="L88" s="8" t="n">
        <f aca="false">INDEX(Mapping!$C$2:$C$99,MATCH(L$1&amp;"|"&amp;Customers!L88,Mapping!$D$2:$D$99,0))</f>
        <v>3</v>
      </c>
      <c r="M88" s="8" t="n">
        <f aca="false">INDEX(Mapping!$C$2:$C$99,MATCH(M$1&amp;"|"&amp;Customers!M88,Mapping!$D$2:$D$99,0))</f>
        <v>2</v>
      </c>
      <c r="N88" s="8" t="n">
        <f aca="false">INDEX(Mapping!$C$2:$C$99,MATCH(N$1&amp;"|"&amp;Customers!N88,Mapping!$D$2:$D$99,0))</f>
        <v>1</v>
      </c>
      <c r="O88" s="8" t="n">
        <f aca="false">INDEX(Mapping!$C$2:$C$99,MATCH(O$1&amp;"|"&amp;Customers!O88,Mapping!$D$2:$D$99,0))</f>
        <v>3</v>
      </c>
      <c r="P88" s="8" t="n">
        <f aca="false">INDEX(Mapping!$C$2:$C$99,MATCH(P$1&amp;"|"&amp;Customers!P88,Mapping!$D$2:$D$99,0))</f>
        <v>3</v>
      </c>
      <c r="Q88" s="8" t="n">
        <f aca="false">INDEX(Mapping!$C$2:$C$99,MATCH(Q$1&amp;"|"&amp;Customers!Q88,Mapping!$D$2:$D$99,0))</f>
        <v>1</v>
      </c>
      <c r="R88" s="8" t="n">
        <f aca="false">INDEX(Mapping!$C$2:$C$99,MATCH(R$1&amp;"|"&amp;Customers!R88,Mapping!$D$2:$D$99,0))</f>
        <v>1</v>
      </c>
      <c r="S88" s="8" t="n">
        <f aca="false">INDEX(Mapping!$C$2:$C$99,MATCH(S$1&amp;"|"&amp;Customers!S88,Mapping!$D$2:$D$99,0))</f>
        <v>3</v>
      </c>
      <c r="T88" s="8" t="n">
        <f aca="false">INDEX(Mapping!$C$2:$C$99,MATCH(T$1&amp;"|"&amp;Customers!T88,Mapping!$D$2:$D$99,0))</f>
        <v>1</v>
      </c>
      <c r="U88" s="8" t="n">
        <f aca="false">INDEX(Mapping!$C$2:$C$99,MATCH(U$1&amp;"|"&amp;Customers!U88,Mapping!$D$2:$D$99,0))</f>
        <v>2</v>
      </c>
      <c r="V88" s="8" t="n">
        <f aca="false">INDEX(Mapping!$C$2:$C$99,MATCH(V$1&amp;"|"&amp;Customers!V88,Mapping!$D$2:$D$99,0))</f>
        <v>1</v>
      </c>
      <c r="W88" s="17" t="n">
        <f aca="false">SUMPRODUCT($C88:$V88,Weights!$C$27:$V$27)</f>
        <v>1.4925</v>
      </c>
      <c r="X88" s="18" t="n">
        <f aca="false">ROUND($W88,2)</f>
        <v>1.49</v>
      </c>
      <c r="Y88" s="8" t="str">
        <f aca="false">IF($X88&lt;=2,"Low",IF($X88&lt;=3.49,"Medium","High"))</f>
        <v>Low</v>
      </c>
      <c r="Z88" s="8" t="str">
        <f aca="false">IF(OR($F88&gt;=3,$E88=5,$D88=5,$C88=5,$G88=5,$H88=5,$I88=5,$J88=5,Customers!$W88="Yes"),"Yes","No")</f>
        <v>No</v>
      </c>
      <c r="AA88" s="15" t="str">
        <f aca="false">IF($Z88="Yes","High",$Y88)</f>
        <v>Low</v>
      </c>
      <c r="AB88" s="18" t="n">
        <f aca="false">SUMPRODUCT($C88:$G88,Weights!$C$28:$G$28)</f>
        <v>1</v>
      </c>
      <c r="AC88" s="18" t="n">
        <f aca="false">SUMPRODUCT($H88:$J88,Weights!$H$28:$J$28)</f>
        <v>1</v>
      </c>
      <c r="AD88" s="18" t="n">
        <f aca="false">SUMPRODUCT($K88:$N88,Weights!$K$28:$N$28)</f>
        <v>2.1</v>
      </c>
      <c r="AE88" s="18" t="n">
        <f aca="false">SUMPRODUCT($O88:$Q88,Weights!$O$28:$Q$28)</f>
        <v>2.6</v>
      </c>
      <c r="AF88" s="18" t="n">
        <f aca="false">SUMPRODUCT($R88:$V88,Weights!$R$28:$V$28)</f>
        <v>1.75</v>
      </c>
      <c r="AH88" s="18" t="n">
        <f aca="false">SUMPRODUCT($AB88:$AF88,Validation!$D$7:$H$7)</f>
        <v>1.56285714285745</v>
      </c>
      <c r="AI88" s="18" t="n">
        <f aca="false">SUMPRODUCT($AB88:$AF88,Validation!$D$8:$H$8)</f>
        <v>1.42214285714255</v>
      </c>
      <c r="AJ88" s="18" t="n">
        <f aca="false">SUMPRODUCT($AB88:$AF88,Validation!$D$9:$H$9)</f>
        <v>1.5581666666665</v>
      </c>
      <c r="AK88" s="18" t="n">
        <f aca="false">SUMPRODUCT($AB88:$AF88,Validation!$D$10:$H$10)</f>
        <v>1.4268333333335</v>
      </c>
      <c r="AL88" s="18" t="n">
        <f aca="false">SUMPRODUCT($AB88:$AF88,Validation!$D$11:$H$11)</f>
        <v>1.4165625</v>
      </c>
      <c r="AM88" s="18" t="n">
        <f aca="false">SUMPRODUCT($AB88:$AF88,Validation!$D$12:$H$12)</f>
        <v>1.5684375</v>
      </c>
      <c r="AN88" s="18" t="n">
        <f aca="false">SUMPRODUCT($AB88:$AF88,Validation!$D$13:$H$13)</f>
        <v>1.36944444444445</v>
      </c>
      <c r="AO88" s="18" t="n">
        <f aca="false">SUMPRODUCT($AB88:$AF88,Validation!$D$14:$H$14)</f>
        <v>1.61555555555555</v>
      </c>
      <c r="AP88" s="18" t="n">
        <f aca="false">SUMPRODUCT($AB88:$AF88,Validation!$D$15:$H$15)</f>
        <v>1.4622058823527</v>
      </c>
      <c r="AQ88" s="18" t="n">
        <f aca="false">SUMPRODUCT($AB88:$AF88,Validation!$D$16:$H$16)</f>
        <v>1.5227941176473</v>
      </c>
      <c r="AR88" s="8" t="n">
        <f aca="false">COUNTIF($C88:$V88,"&gt;=4")</f>
        <v>0</v>
      </c>
      <c r="AS88" s="8" t="str">
        <f aca="false">IF($X88&lt;=1.6,"Low",IF($X88&lt;=2.2,"Medium","High"))</f>
        <v>Low</v>
      </c>
      <c r="AT88" s="8" t="str">
        <f aca="false">IF($AR88=0,"Low",IF($AR88&lt;3,"Medium","High"))</f>
        <v>Low</v>
      </c>
      <c r="AU88" s="8" t="str">
        <f aca="false">IF(OR($AS88="High",$AT88="High"),"High",IF(OR($AS88="Medium",$AT88="Medium"),"Medium","Low"))</f>
        <v>Low</v>
      </c>
      <c r="AV88" s="15" t="str">
        <f aca="false">IF($Z88="Yes","High",$AU88)</f>
        <v>Low</v>
      </c>
    </row>
    <row r="89" customFormat="false" ht="15" hidden="false" customHeight="false" outlineLevel="0" collapsed="false">
      <c r="A89" s="7" t="str">
        <f aca="false">Customers!$A89</f>
        <v>NG-10284</v>
      </c>
      <c r="B89" s="7" t="str">
        <f aca="false">Customers!$B89</f>
        <v>Personal</v>
      </c>
      <c r="C89" s="8" t="n">
        <f aca="false">INDEX(Mapping!$C$2:$C$99,MATCH(C$1&amp;"|"&amp;Customers!C89,Mapping!$D$2:$D$99,0))</f>
        <v>1</v>
      </c>
      <c r="D89" s="8" t="n">
        <f aca="false">INDEX(Mapping!$C$2:$C$99,MATCH(D$1&amp;"|"&amp;Customers!D89,Mapping!$D$2:$D$99,0))</f>
        <v>1</v>
      </c>
      <c r="E89" s="8" t="n">
        <f aca="false">INDEX(Mapping!$C$2:$C$99,MATCH(E$1&amp;"|"&amp;Customers!E89,Mapping!$D$2:$D$99,0))</f>
        <v>1</v>
      </c>
      <c r="F89" s="8" t="n">
        <f aca="false">INDEX(Mapping!$C$2:$C$99,MATCH(F$1&amp;"|"&amp;Customers!F89,Mapping!$D$2:$D$99,0))</f>
        <v>1</v>
      </c>
      <c r="G89" s="8" t="n">
        <f aca="false">INDEX(Mapping!$C$2:$C$99,MATCH(G$1&amp;"|"&amp;Customers!G89,Mapping!$D$2:$D$99,0))</f>
        <v>1</v>
      </c>
      <c r="H89" s="8" t="n">
        <f aca="false">INDEX(Mapping!$C$2:$C$99,MATCH(H$1&amp;"|"&amp;Customers!H89,Mapping!$D$2:$D$99,0))</f>
        <v>1</v>
      </c>
      <c r="I89" s="8" t="n">
        <f aca="false">INDEX(Mapping!$C$2:$C$99,MATCH(I$1&amp;"|"&amp;Customers!I89,Mapping!$D$2:$D$99,0))</f>
        <v>1</v>
      </c>
      <c r="J89" s="8" t="n">
        <f aca="false">INDEX(Mapping!$C$2:$C$99,MATCH(J$1&amp;"|"&amp;Customers!J89,Mapping!$D$2:$D$99,0))</f>
        <v>1</v>
      </c>
      <c r="K89" s="8" t="n">
        <f aca="false">INDEX(Mapping!$C$2:$C$99,MATCH(K$1&amp;"|"&amp;Customers!K89,Mapping!$D$2:$D$99,0))</f>
        <v>2</v>
      </c>
      <c r="L89" s="8" t="n">
        <f aca="false">INDEX(Mapping!$C$2:$C$99,MATCH(L$1&amp;"|"&amp;Customers!L89,Mapping!$D$2:$D$99,0))</f>
        <v>1</v>
      </c>
      <c r="M89" s="8" t="n">
        <f aca="false">INDEX(Mapping!$C$2:$C$99,MATCH(M$1&amp;"|"&amp;Customers!M89,Mapping!$D$2:$D$99,0))</f>
        <v>4</v>
      </c>
      <c r="N89" s="8" t="n">
        <f aca="false">INDEX(Mapping!$C$2:$C$99,MATCH(N$1&amp;"|"&amp;Customers!N89,Mapping!$D$2:$D$99,0))</f>
        <v>1</v>
      </c>
      <c r="O89" s="8" t="n">
        <f aca="false">INDEX(Mapping!$C$2:$C$99,MATCH(O$1&amp;"|"&amp;Customers!O89,Mapping!$D$2:$D$99,0))</f>
        <v>3</v>
      </c>
      <c r="P89" s="8" t="n">
        <f aca="false">INDEX(Mapping!$C$2:$C$99,MATCH(P$1&amp;"|"&amp;Customers!P89,Mapping!$D$2:$D$99,0))</f>
        <v>3</v>
      </c>
      <c r="Q89" s="8" t="n">
        <f aca="false">INDEX(Mapping!$C$2:$C$99,MATCH(Q$1&amp;"|"&amp;Customers!Q89,Mapping!$D$2:$D$99,0))</f>
        <v>1</v>
      </c>
      <c r="R89" s="8" t="n">
        <f aca="false">INDEX(Mapping!$C$2:$C$99,MATCH(R$1&amp;"|"&amp;Customers!R89,Mapping!$D$2:$D$99,0))</f>
        <v>1</v>
      </c>
      <c r="S89" s="8" t="n">
        <f aca="false">INDEX(Mapping!$C$2:$C$99,MATCH(S$1&amp;"|"&amp;Customers!S89,Mapping!$D$2:$D$99,0))</f>
        <v>2</v>
      </c>
      <c r="T89" s="8" t="n">
        <f aca="false">INDEX(Mapping!$C$2:$C$99,MATCH(T$1&amp;"|"&amp;Customers!T89,Mapping!$D$2:$D$99,0))</f>
        <v>1</v>
      </c>
      <c r="U89" s="8" t="n">
        <f aca="false">INDEX(Mapping!$C$2:$C$99,MATCH(U$1&amp;"|"&amp;Customers!U89,Mapping!$D$2:$D$99,0))</f>
        <v>1</v>
      </c>
      <c r="V89" s="8" t="n">
        <f aca="false">INDEX(Mapping!$C$2:$C$99,MATCH(V$1&amp;"|"&amp;Customers!V89,Mapping!$D$2:$D$99,0))</f>
        <v>1</v>
      </c>
      <c r="W89" s="17" t="n">
        <f aca="false">SUMPRODUCT($C89:$V89,Weights!$C$27:$V$27)</f>
        <v>1.425</v>
      </c>
      <c r="X89" s="18" t="n">
        <f aca="false">ROUND($W89,2)</f>
        <v>1.43</v>
      </c>
      <c r="Y89" s="8" t="str">
        <f aca="false">IF($X89&lt;=2,"Low",IF($X89&lt;=3.49,"Medium","High"))</f>
        <v>Low</v>
      </c>
      <c r="Z89" s="8" t="str">
        <f aca="false">IF(OR($F89&gt;=3,$E89=5,$D89=5,$C89=5,$G89=5,$H89=5,$I89=5,$J89=5,Customers!$W89="Yes"),"Yes","No")</f>
        <v>No</v>
      </c>
      <c r="AA89" s="15" t="str">
        <f aca="false">IF($Z89="Yes","High",$Y89)</f>
        <v>Low</v>
      </c>
      <c r="AB89" s="18" t="n">
        <f aca="false">SUMPRODUCT($C89:$G89,Weights!$C$28:$G$28)</f>
        <v>1</v>
      </c>
      <c r="AC89" s="18" t="n">
        <f aca="false">SUMPRODUCT($H89:$J89,Weights!$H$28:$J$28)</f>
        <v>1</v>
      </c>
      <c r="AD89" s="18" t="n">
        <f aca="false">SUMPRODUCT($K89:$N89,Weights!$K$28:$N$28)</f>
        <v>2.1</v>
      </c>
      <c r="AE89" s="18" t="n">
        <f aca="false">SUMPRODUCT($O89:$Q89,Weights!$O$28:$Q$28)</f>
        <v>2.6</v>
      </c>
      <c r="AF89" s="18" t="n">
        <f aca="false">SUMPRODUCT($R89:$V89,Weights!$R$28:$V$28)</f>
        <v>1.3</v>
      </c>
      <c r="AH89" s="18" t="n">
        <f aca="false">SUMPRODUCT($AB89:$AF89,Validation!$D$7:$H$7)</f>
        <v>1.4857142857144</v>
      </c>
      <c r="AI89" s="18" t="n">
        <f aca="false">SUMPRODUCT($AB89:$AF89,Validation!$D$8:$H$8)</f>
        <v>1.3642857142856</v>
      </c>
      <c r="AJ89" s="18" t="n">
        <f aca="false">SUMPRODUCT($AB89:$AF89,Validation!$D$9:$H$9)</f>
        <v>1.4816666666665</v>
      </c>
      <c r="AK89" s="18" t="n">
        <f aca="false">SUMPRODUCT($AB89:$AF89,Validation!$D$10:$H$10)</f>
        <v>1.3683333333335</v>
      </c>
      <c r="AL89" s="18" t="n">
        <f aca="false">SUMPRODUCT($AB89:$AF89,Validation!$D$11:$H$11)</f>
        <v>1.340625</v>
      </c>
      <c r="AM89" s="18" t="n">
        <f aca="false">SUMPRODUCT($AB89:$AF89,Validation!$D$12:$H$12)</f>
        <v>1.509375</v>
      </c>
      <c r="AN89" s="18" t="n">
        <f aca="false">SUMPRODUCT($AB89:$AF89,Validation!$D$13:$H$13)</f>
        <v>1.2944444444443</v>
      </c>
      <c r="AO89" s="18" t="n">
        <f aca="false">SUMPRODUCT($AB89:$AF89,Validation!$D$14:$H$14)</f>
        <v>1.5555555555557</v>
      </c>
      <c r="AP89" s="18" t="n">
        <f aca="false">SUMPRODUCT($AB89:$AF89,Validation!$D$15:$H$15)</f>
        <v>1.4397058823527</v>
      </c>
      <c r="AQ89" s="18" t="n">
        <f aca="false">SUMPRODUCT($AB89:$AF89,Validation!$D$16:$H$16)</f>
        <v>1.4102941176473</v>
      </c>
      <c r="AR89" s="8" t="n">
        <f aca="false">COUNTIF($C89:$V89,"&gt;=4")</f>
        <v>1</v>
      </c>
      <c r="AS89" s="8" t="str">
        <f aca="false">IF($X89&lt;=1.6,"Low",IF($X89&lt;=2.2,"Medium","High"))</f>
        <v>Low</v>
      </c>
      <c r="AT89" s="8" t="str">
        <f aca="false">IF($AR89=0,"Low",IF($AR89&lt;3,"Medium","High"))</f>
        <v>Medium</v>
      </c>
      <c r="AU89" s="8" t="str">
        <f aca="false">IF(OR($AS89="High",$AT89="High"),"High",IF(OR($AS89="Medium",$AT89="Medium"),"Medium","Low"))</f>
        <v>Medium</v>
      </c>
      <c r="AV89" s="15" t="str">
        <f aca="false">IF($Z89="Yes","High",$AU89)</f>
        <v>Medium</v>
      </c>
    </row>
    <row r="90" customFormat="false" ht="15" hidden="false" customHeight="false" outlineLevel="0" collapsed="false">
      <c r="A90" s="7" t="str">
        <f aca="false">Customers!$A90</f>
        <v>NG-10272</v>
      </c>
      <c r="B90" s="7" t="str">
        <f aca="false">Customers!$B90</f>
        <v>Personal</v>
      </c>
      <c r="C90" s="8" t="n">
        <f aca="false">INDEX(Mapping!$C$2:$C$99,MATCH(C$1&amp;"|"&amp;Customers!C90,Mapping!$D$2:$D$99,0))</f>
        <v>1</v>
      </c>
      <c r="D90" s="8" t="n">
        <f aca="false">INDEX(Mapping!$C$2:$C$99,MATCH(D$1&amp;"|"&amp;Customers!D90,Mapping!$D$2:$D$99,0))</f>
        <v>1</v>
      </c>
      <c r="E90" s="8" t="n">
        <f aca="false">INDEX(Mapping!$C$2:$C$99,MATCH(E$1&amp;"|"&amp;Customers!E90,Mapping!$D$2:$D$99,0))</f>
        <v>1</v>
      </c>
      <c r="F90" s="8" t="n">
        <f aca="false">INDEX(Mapping!$C$2:$C$99,MATCH(F$1&amp;"|"&amp;Customers!F90,Mapping!$D$2:$D$99,0))</f>
        <v>1</v>
      </c>
      <c r="G90" s="8" t="n">
        <f aca="false">INDEX(Mapping!$C$2:$C$99,MATCH(G$1&amp;"|"&amp;Customers!G90,Mapping!$D$2:$D$99,0))</f>
        <v>1</v>
      </c>
      <c r="H90" s="8" t="n">
        <f aca="false">INDEX(Mapping!$C$2:$C$99,MATCH(H$1&amp;"|"&amp;Customers!H90,Mapping!$D$2:$D$99,0))</f>
        <v>1</v>
      </c>
      <c r="I90" s="8" t="n">
        <f aca="false">INDEX(Mapping!$C$2:$C$99,MATCH(I$1&amp;"|"&amp;Customers!I90,Mapping!$D$2:$D$99,0))</f>
        <v>1</v>
      </c>
      <c r="J90" s="8" t="n">
        <f aca="false">INDEX(Mapping!$C$2:$C$99,MATCH(J$1&amp;"|"&amp;Customers!J90,Mapping!$D$2:$D$99,0))</f>
        <v>2</v>
      </c>
      <c r="K90" s="8" t="n">
        <f aca="false">INDEX(Mapping!$C$2:$C$99,MATCH(K$1&amp;"|"&amp;Customers!K90,Mapping!$D$2:$D$99,0))</f>
        <v>3</v>
      </c>
      <c r="L90" s="8" t="n">
        <f aca="false">INDEX(Mapping!$C$2:$C$99,MATCH(L$1&amp;"|"&amp;Customers!L90,Mapping!$D$2:$D$99,0))</f>
        <v>3</v>
      </c>
      <c r="M90" s="8" t="n">
        <f aca="false">INDEX(Mapping!$C$2:$C$99,MATCH(M$1&amp;"|"&amp;Customers!M90,Mapping!$D$2:$D$99,0))</f>
        <v>1</v>
      </c>
      <c r="N90" s="8" t="n">
        <f aca="false">INDEX(Mapping!$C$2:$C$99,MATCH(N$1&amp;"|"&amp;Customers!N90,Mapping!$D$2:$D$99,0))</f>
        <v>1</v>
      </c>
      <c r="O90" s="8" t="n">
        <f aca="false">INDEX(Mapping!$C$2:$C$99,MATCH(O$1&amp;"|"&amp;Customers!O90,Mapping!$D$2:$D$99,0))</f>
        <v>1</v>
      </c>
      <c r="P90" s="8" t="n">
        <f aca="false">INDEX(Mapping!$C$2:$C$99,MATCH(P$1&amp;"|"&amp;Customers!P90,Mapping!$D$2:$D$99,0))</f>
        <v>1</v>
      </c>
      <c r="Q90" s="8" t="n">
        <f aca="false">INDEX(Mapping!$C$2:$C$99,MATCH(Q$1&amp;"|"&amp;Customers!Q90,Mapping!$D$2:$D$99,0))</f>
        <v>3</v>
      </c>
      <c r="R90" s="8" t="n">
        <f aca="false">INDEX(Mapping!$C$2:$C$99,MATCH(R$1&amp;"|"&amp;Customers!R90,Mapping!$D$2:$D$99,0))</f>
        <v>1</v>
      </c>
      <c r="S90" s="8" t="n">
        <f aca="false">INDEX(Mapping!$C$2:$C$99,MATCH(S$1&amp;"|"&amp;Customers!S90,Mapping!$D$2:$D$99,0))</f>
        <v>1</v>
      </c>
      <c r="T90" s="8" t="n">
        <f aca="false">INDEX(Mapping!$C$2:$C$99,MATCH(T$1&amp;"|"&amp;Customers!T90,Mapping!$D$2:$D$99,0))</f>
        <v>2</v>
      </c>
      <c r="U90" s="8" t="n">
        <f aca="false">INDEX(Mapping!$C$2:$C$99,MATCH(U$1&amp;"|"&amp;Customers!U90,Mapping!$D$2:$D$99,0))</f>
        <v>1</v>
      </c>
      <c r="V90" s="8" t="n">
        <f aca="false">INDEX(Mapping!$C$2:$C$99,MATCH(V$1&amp;"|"&amp;Customers!V90,Mapping!$D$2:$D$99,0))</f>
        <v>1</v>
      </c>
      <c r="W90" s="17" t="n">
        <f aca="false">SUMPRODUCT($C90:$V90,Weights!$C$27:$V$27)</f>
        <v>1.41</v>
      </c>
      <c r="X90" s="18" t="n">
        <f aca="false">ROUND($W90,2)</f>
        <v>1.41</v>
      </c>
      <c r="Y90" s="8" t="str">
        <f aca="false">IF($X90&lt;=2,"Low",IF($X90&lt;=3.49,"Medium","High"))</f>
        <v>Low</v>
      </c>
      <c r="Z90" s="8" t="str">
        <f aca="false">IF(OR($F90&gt;=3,$E90=5,$D90=5,$C90=5,$G90=5,$H90=5,$I90=5,$J90=5,Customers!$W90="Yes"),"Yes","No")</f>
        <v>No</v>
      </c>
      <c r="AA90" s="15" t="str">
        <f aca="false">IF($Z90="Yes","High",$Y90)</f>
        <v>Low</v>
      </c>
      <c r="AB90" s="18" t="n">
        <f aca="false">SUMPRODUCT($C90:$G90,Weights!$C$28:$G$28)</f>
        <v>1</v>
      </c>
      <c r="AC90" s="18" t="n">
        <f aca="false">SUMPRODUCT($H90:$J90,Weights!$H$28:$J$28)</f>
        <v>1.4</v>
      </c>
      <c r="AD90" s="18" t="n">
        <f aca="false">SUMPRODUCT($K90:$N90,Weights!$K$28:$N$28)</f>
        <v>2.2</v>
      </c>
      <c r="AE90" s="18" t="n">
        <f aca="false">SUMPRODUCT($O90:$Q90,Weights!$O$28:$Q$28)</f>
        <v>1.4</v>
      </c>
      <c r="AF90" s="18" t="n">
        <f aca="false">SUMPRODUCT($R90:$V90,Weights!$R$28:$V$28)</f>
        <v>1.2</v>
      </c>
      <c r="AH90" s="18" t="n">
        <f aca="false">SUMPRODUCT($AB90:$AF90,Validation!$D$7:$H$7)</f>
        <v>1.468571428571</v>
      </c>
      <c r="AI90" s="18" t="n">
        <f aca="false">SUMPRODUCT($AB90:$AF90,Validation!$D$8:$H$8)</f>
        <v>1.351428571429</v>
      </c>
      <c r="AJ90" s="18" t="n">
        <f aca="false">SUMPRODUCT($AB90:$AF90,Validation!$D$9:$H$9)</f>
        <v>1.4113333333336</v>
      </c>
      <c r="AK90" s="18" t="n">
        <f aca="false">SUMPRODUCT($AB90:$AF90,Validation!$D$10:$H$10)</f>
        <v>1.4086666666664</v>
      </c>
      <c r="AL90" s="18" t="n">
        <f aca="false">SUMPRODUCT($AB90:$AF90,Validation!$D$11:$H$11)</f>
        <v>1.31125</v>
      </c>
      <c r="AM90" s="18" t="n">
        <f aca="false">SUMPRODUCT($AB90:$AF90,Validation!$D$12:$H$12)</f>
        <v>1.50875</v>
      </c>
      <c r="AN90" s="18" t="n">
        <f aca="false">SUMPRODUCT($AB90:$AF90,Validation!$D$13:$H$13)</f>
        <v>1.411111111111</v>
      </c>
      <c r="AO90" s="18" t="n">
        <f aca="false">SUMPRODUCT($AB90:$AF90,Validation!$D$14:$H$14)</f>
        <v>1.408888888889</v>
      </c>
      <c r="AP90" s="18" t="n">
        <f aca="false">SUMPRODUCT($AB90:$AF90,Validation!$D$15:$H$15)</f>
        <v>1.4347058823532</v>
      </c>
      <c r="AQ90" s="18" t="n">
        <f aca="false">SUMPRODUCT($AB90:$AF90,Validation!$D$16:$H$16)</f>
        <v>1.3852941176468</v>
      </c>
      <c r="AR90" s="8" t="n">
        <f aca="false">COUNTIF($C90:$V90,"&gt;=4")</f>
        <v>0</v>
      </c>
      <c r="AS90" s="8" t="str">
        <f aca="false">IF($X90&lt;=1.6,"Low",IF($X90&lt;=2.2,"Medium","High"))</f>
        <v>Low</v>
      </c>
      <c r="AT90" s="8" t="str">
        <f aca="false">IF($AR90=0,"Low",IF($AR90&lt;3,"Medium","High"))</f>
        <v>Low</v>
      </c>
      <c r="AU90" s="8" t="str">
        <f aca="false">IF(OR($AS90="High",$AT90="High"),"High",IF(OR($AS90="Medium",$AT90="Medium"),"Medium","Low"))</f>
        <v>Low</v>
      </c>
      <c r="AV90" s="15" t="str">
        <f aca="false">IF($Z90="Yes","High",$AU90)</f>
        <v>Low</v>
      </c>
    </row>
    <row r="91" customFormat="false" ht="15" hidden="false" customHeight="false" outlineLevel="0" collapsed="false">
      <c r="A91" s="7" t="str">
        <f aca="false">Customers!$A91</f>
        <v>NG-10263</v>
      </c>
      <c r="B91" s="7" t="str">
        <f aca="false">Customers!$B91</f>
        <v>Personal</v>
      </c>
      <c r="C91" s="8" t="n">
        <f aca="false">INDEX(Mapping!$C$2:$C$99,MATCH(C$1&amp;"|"&amp;Customers!C91,Mapping!$D$2:$D$99,0))</f>
        <v>2</v>
      </c>
      <c r="D91" s="8" t="n">
        <f aca="false">INDEX(Mapping!$C$2:$C$99,MATCH(D$1&amp;"|"&amp;Customers!D91,Mapping!$D$2:$D$99,0))</f>
        <v>1</v>
      </c>
      <c r="E91" s="8" t="n">
        <f aca="false">INDEX(Mapping!$C$2:$C$99,MATCH(E$1&amp;"|"&amp;Customers!E91,Mapping!$D$2:$D$99,0))</f>
        <v>3</v>
      </c>
      <c r="F91" s="8" t="n">
        <f aca="false">INDEX(Mapping!$C$2:$C$99,MATCH(F$1&amp;"|"&amp;Customers!F91,Mapping!$D$2:$D$99,0))</f>
        <v>1</v>
      </c>
      <c r="G91" s="8" t="n">
        <f aca="false">INDEX(Mapping!$C$2:$C$99,MATCH(G$1&amp;"|"&amp;Customers!G91,Mapping!$D$2:$D$99,0))</f>
        <v>1</v>
      </c>
      <c r="H91" s="8" t="n">
        <f aca="false">INDEX(Mapping!$C$2:$C$99,MATCH(H$1&amp;"|"&amp;Customers!H91,Mapping!$D$2:$D$99,0))</f>
        <v>1</v>
      </c>
      <c r="I91" s="8" t="n">
        <f aca="false">INDEX(Mapping!$C$2:$C$99,MATCH(I$1&amp;"|"&amp;Customers!I91,Mapping!$D$2:$D$99,0))</f>
        <v>1</v>
      </c>
      <c r="J91" s="8" t="n">
        <f aca="false">INDEX(Mapping!$C$2:$C$99,MATCH(J$1&amp;"|"&amp;Customers!J91,Mapping!$D$2:$D$99,0))</f>
        <v>1</v>
      </c>
      <c r="K91" s="8" t="n">
        <f aca="false">INDEX(Mapping!$C$2:$C$99,MATCH(K$1&amp;"|"&amp;Customers!K91,Mapping!$D$2:$D$99,0))</f>
        <v>1</v>
      </c>
      <c r="L91" s="8" t="n">
        <f aca="false">INDEX(Mapping!$C$2:$C$99,MATCH(L$1&amp;"|"&amp;Customers!L91,Mapping!$D$2:$D$99,0))</f>
        <v>2</v>
      </c>
      <c r="M91" s="8" t="n">
        <f aca="false">INDEX(Mapping!$C$2:$C$99,MATCH(M$1&amp;"|"&amp;Customers!M91,Mapping!$D$2:$D$99,0))</f>
        <v>1</v>
      </c>
      <c r="N91" s="8" t="n">
        <f aca="false">INDEX(Mapping!$C$2:$C$99,MATCH(N$1&amp;"|"&amp;Customers!N91,Mapping!$D$2:$D$99,0))</f>
        <v>1</v>
      </c>
      <c r="O91" s="8" t="n">
        <f aca="false">INDEX(Mapping!$C$2:$C$99,MATCH(O$1&amp;"|"&amp;Customers!O91,Mapping!$D$2:$D$99,0))</f>
        <v>3</v>
      </c>
      <c r="P91" s="8" t="n">
        <f aca="false">INDEX(Mapping!$C$2:$C$99,MATCH(P$1&amp;"|"&amp;Customers!P91,Mapping!$D$2:$D$99,0))</f>
        <v>3</v>
      </c>
      <c r="Q91" s="8" t="n">
        <f aca="false">INDEX(Mapping!$C$2:$C$99,MATCH(Q$1&amp;"|"&amp;Customers!Q91,Mapping!$D$2:$D$99,0))</f>
        <v>1</v>
      </c>
      <c r="R91" s="8" t="n">
        <f aca="false">INDEX(Mapping!$C$2:$C$99,MATCH(R$1&amp;"|"&amp;Customers!R91,Mapping!$D$2:$D$99,0))</f>
        <v>4</v>
      </c>
      <c r="S91" s="8" t="n">
        <f aca="false">INDEX(Mapping!$C$2:$C$99,MATCH(S$1&amp;"|"&amp;Customers!S91,Mapping!$D$2:$D$99,0))</f>
        <v>2</v>
      </c>
      <c r="T91" s="8" t="n">
        <f aca="false">INDEX(Mapping!$C$2:$C$99,MATCH(T$1&amp;"|"&amp;Customers!T91,Mapping!$D$2:$D$99,0))</f>
        <v>1</v>
      </c>
      <c r="U91" s="8" t="n">
        <f aca="false">INDEX(Mapping!$C$2:$C$99,MATCH(U$1&amp;"|"&amp;Customers!U91,Mapping!$D$2:$D$99,0))</f>
        <v>2</v>
      </c>
      <c r="V91" s="8" t="n">
        <f aca="false">INDEX(Mapping!$C$2:$C$99,MATCH(V$1&amp;"|"&amp;Customers!V91,Mapping!$D$2:$D$99,0))</f>
        <v>1</v>
      </c>
      <c r="W91" s="17" t="n">
        <f aca="false">SUMPRODUCT($C91:$V91,Weights!$C$27:$V$27)</f>
        <v>1.6</v>
      </c>
      <c r="X91" s="18" t="n">
        <f aca="false">ROUND($W91,2)</f>
        <v>1.6</v>
      </c>
      <c r="Y91" s="8" t="str">
        <f aca="false">IF($X91&lt;=2,"Low",IF($X91&lt;=3.49,"Medium","High"))</f>
        <v>Low</v>
      </c>
      <c r="Z91" s="8" t="str">
        <f aca="false">IF(OR($F91&gt;=3,$E91=5,$D91=5,$C91=5,$G91=5,$H91=5,$I91=5,$J91=5,Customers!$W91="Yes"),"Yes","No")</f>
        <v>No</v>
      </c>
      <c r="AA91" s="15" t="str">
        <f aca="false">IF($Z91="Yes","High",$Y91)</f>
        <v>Low</v>
      </c>
      <c r="AB91" s="18" t="n">
        <f aca="false">SUMPRODUCT($C91:$G91,Weights!$C$28:$G$28)</f>
        <v>1.7</v>
      </c>
      <c r="AC91" s="18" t="n">
        <f aca="false">SUMPRODUCT($H91:$J91,Weights!$H$28:$J$28)</f>
        <v>1</v>
      </c>
      <c r="AD91" s="18" t="n">
        <f aca="false">SUMPRODUCT($K91:$N91,Weights!$K$28:$N$28)</f>
        <v>1.25</v>
      </c>
      <c r="AE91" s="18" t="n">
        <f aca="false">SUMPRODUCT($O91:$Q91,Weights!$O$28:$Q$28)</f>
        <v>2.6</v>
      </c>
      <c r="AF91" s="18" t="n">
        <f aca="false">SUMPRODUCT($R91:$V91,Weights!$R$28:$V$28)</f>
        <v>2.2</v>
      </c>
      <c r="AH91" s="18" t="n">
        <f aca="false">SUMPRODUCT($AB91:$AF91,Validation!$D$7:$H$7)</f>
        <v>1.58571428571515</v>
      </c>
      <c r="AI91" s="18" t="n">
        <f aca="false">SUMPRODUCT($AB91:$AF91,Validation!$D$8:$H$8)</f>
        <v>1.61428571428485</v>
      </c>
      <c r="AJ91" s="18" t="n">
        <f aca="false">SUMPRODUCT($AB91:$AF91,Validation!$D$9:$H$9)</f>
        <v>1.67999999999955</v>
      </c>
      <c r="AK91" s="18" t="n">
        <f aca="false">SUMPRODUCT($AB91:$AF91,Validation!$D$10:$H$10)</f>
        <v>1.52000000000045</v>
      </c>
      <c r="AL91" s="18" t="n">
        <f aca="false">SUMPRODUCT($AB91:$AF91,Validation!$D$11:$H$11)</f>
        <v>1.64375</v>
      </c>
      <c r="AM91" s="18" t="n">
        <f aca="false">SUMPRODUCT($AB91:$AF91,Validation!$D$12:$H$12)</f>
        <v>1.55625</v>
      </c>
      <c r="AN91" s="18" t="n">
        <f aca="false">SUMPRODUCT($AB91:$AF91,Validation!$D$13:$H$13)</f>
        <v>1.488888888889</v>
      </c>
      <c r="AO91" s="18" t="n">
        <f aca="false">SUMPRODUCT($AB91:$AF91,Validation!$D$14:$H$14)</f>
        <v>1.711111111111</v>
      </c>
      <c r="AP91" s="18" t="n">
        <f aca="false">SUMPRODUCT($AB91:$AF91,Validation!$D$15:$H$15)</f>
        <v>1.52941176470535</v>
      </c>
      <c r="AQ91" s="18" t="n">
        <f aca="false">SUMPRODUCT($AB91:$AF91,Validation!$D$16:$H$16)</f>
        <v>1.67058823529465</v>
      </c>
      <c r="AR91" s="8" t="n">
        <f aca="false">COUNTIF($C91:$V91,"&gt;=4")</f>
        <v>1</v>
      </c>
      <c r="AS91" s="8" t="str">
        <f aca="false">IF($X91&lt;=1.6,"Low",IF($X91&lt;=2.2,"Medium","High"))</f>
        <v>Low</v>
      </c>
      <c r="AT91" s="8" t="str">
        <f aca="false">IF($AR91=0,"Low",IF($AR91&lt;3,"Medium","High"))</f>
        <v>Medium</v>
      </c>
      <c r="AU91" s="8" t="str">
        <f aca="false">IF(OR($AS91="High",$AT91="High"),"High",IF(OR($AS91="Medium",$AT91="Medium"),"Medium","Low"))</f>
        <v>Medium</v>
      </c>
      <c r="AV91" s="15" t="str">
        <f aca="false">IF($Z91="Yes","High",$AU91)</f>
        <v>Medium</v>
      </c>
    </row>
    <row r="92" customFormat="false" ht="15" hidden="false" customHeight="false" outlineLevel="0" collapsed="false">
      <c r="A92" s="7" t="str">
        <f aca="false">Customers!$A92</f>
        <v>NG-10061</v>
      </c>
      <c r="B92" s="7" t="str">
        <f aca="false">Customers!$B92</f>
        <v>Personal</v>
      </c>
      <c r="C92" s="8" t="n">
        <f aca="false">INDEX(Mapping!$C$2:$C$99,MATCH(C$1&amp;"|"&amp;Customers!C92,Mapping!$D$2:$D$99,0))</f>
        <v>2</v>
      </c>
      <c r="D92" s="8" t="n">
        <f aca="false">INDEX(Mapping!$C$2:$C$99,MATCH(D$1&amp;"|"&amp;Customers!D92,Mapping!$D$2:$D$99,0))</f>
        <v>1</v>
      </c>
      <c r="E92" s="8" t="n">
        <f aca="false">INDEX(Mapping!$C$2:$C$99,MATCH(E$1&amp;"|"&amp;Customers!E92,Mapping!$D$2:$D$99,0))</f>
        <v>1</v>
      </c>
      <c r="F92" s="8" t="n">
        <f aca="false">INDEX(Mapping!$C$2:$C$99,MATCH(F$1&amp;"|"&amp;Customers!F92,Mapping!$D$2:$D$99,0))</f>
        <v>1</v>
      </c>
      <c r="G92" s="8" t="n">
        <f aca="false">INDEX(Mapping!$C$2:$C$99,MATCH(G$1&amp;"|"&amp;Customers!G92,Mapping!$D$2:$D$99,0))</f>
        <v>1</v>
      </c>
      <c r="H92" s="8" t="n">
        <f aca="false">INDEX(Mapping!$C$2:$C$99,MATCH(H$1&amp;"|"&amp;Customers!H92,Mapping!$D$2:$D$99,0))</f>
        <v>1</v>
      </c>
      <c r="I92" s="8" t="n">
        <f aca="false">INDEX(Mapping!$C$2:$C$99,MATCH(I$1&amp;"|"&amp;Customers!I92,Mapping!$D$2:$D$99,0))</f>
        <v>1</v>
      </c>
      <c r="J92" s="8" t="n">
        <f aca="false">INDEX(Mapping!$C$2:$C$99,MATCH(J$1&amp;"|"&amp;Customers!J92,Mapping!$D$2:$D$99,0))</f>
        <v>1</v>
      </c>
      <c r="K92" s="8" t="n">
        <f aca="false">INDEX(Mapping!$C$2:$C$99,MATCH(K$1&amp;"|"&amp;Customers!K92,Mapping!$D$2:$D$99,0))</f>
        <v>2</v>
      </c>
      <c r="L92" s="8" t="n">
        <f aca="false">INDEX(Mapping!$C$2:$C$99,MATCH(L$1&amp;"|"&amp;Customers!L92,Mapping!$D$2:$D$99,0))</f>
        <v>2</v>
      </c>
      <c r="M92" s="8" t="n">
        <f aca="false">INDEX(Mapping!$C$2:$C$99,MATCH(M$1&amp;"|"&amp;Customers!M92,Mapping!$D$2:$D$99,0))</f>
        <v>1</v>
      </c>
      <c r="N92" s="8" t="n">
        <f aca="false">INDEX(Mapping!$C$2:$C$99,MATCH(N$1&amp;"|"&amp;Customers!N92,Mapping!$D$2:$D$99,0))</f>
        <v>3</v>
      </c>
      <c r="O92" s="8" t="n">
        <f aca="false">INDEX(Mapping!$C$2:$C$99,MATCH(O$1&amp;"|"&amp;Customers!O92,Mapping!$D$2:$D$99,0))</f>
        <v>3</v>
      </c>
      <c r="P92" s="8" t="n">
        <f aca="false">INDEX(Mapping!$C$2:$C$99,MATCH(P$1&amp;"|"&amp;Customers!P92,Mapping!$D$2:$D$99,0))</f>
        <v>4</v>
      </c>
      <c r="Q92" s="8" t="n">
        <f aca="false">INDEX(Mapping!$C$2:$C$99,MATCH(Q$1&amp;"|"&amp;Customers!Q92,Mapping!$D$2:$D$99,0))</f>
        <v>3</v>
      </c>
      <c r="R92" s="8" t="n">
        <f aca="false">INDEX(Mapping!$C$2:$C$99,MATCH(R$1&amp;"|"&amp;Customers!R92,Mapping!$D$2:$D$99,0))</f>
        <v>2</v>
      </c>
      <c r="S92" s="8" t="n">
        <f aca="false">INDEX(Mapping!$C$2:$C$99,MATCH(S$1&amp;"|"&amp;Customers!S92,Mapping!$D$2:$D$99,0))</f>
        <v>2</v>
      </c>
      <c r="T92" s="8" t="n">
        <f aca="false">INDEX(Mapping!$C$2:$C$99,MATCH(T$1&amp;"|"&amp;Customers!T92,Mapping!$D$2:$D$99,0))</f>
        <v>1</v>
      </c>
      <c r="U92" s="8" t="n">
        <f aca="false">INDEX(Mapping!$C$2:$C$99,MATCH(U$1&amp;"|"&amp;Customers!U92,Mapping!$D$2:$D$99,0))</f>
        <v>1</v>
      </c>
      <c r="V92" s="8" t="n">
        <f aca="false">INDEX(Mapping!$C$2:$C$99,MATCH(V$1&amp;"|"&amp;Customers!V92,Mapping!$D$2:$D$99,0))</f>
        <v>1</v>
      </c>
      <c r="W92" s="17" t="n">
        <f aca="false">SUMPRODUCT($C92:$V92,Weights!$C$27:$V$27)</f>
        <v>1.5575</v>
      </c>
      <c r="X92" s="18" t="n">
        <f aca="false">ROUND($W92,2)</f>
        <v>1.56</v>
      </c>
      <c r="Y92" s="8" t="str">
        <f aca="false">IF($X92&lt;=2,"Low",IF($X92&lt;=3.49,"Medium","High"))</f>
        <v>Low</v>
      </c>
      <c r="Z92" s="8" t="str">
        <f aca="false">IF(OR($F92&gt;=3,$E92=5,$D92=5,$C92=5,$G92=5,$H92=5,$I92=5,$J92=5,Customers!$W92="Yes"),"Yes","No")</f>
        <v>No</v>
      </c>
      <c r="AA92" s="15" t="str">
        <f aca="false">IF($Z92="Yes","High",$Y92)</f>
        <v>Low</v>
      </c>
      <c r="AB92" s="18" t="n">
        <f aca="false">SUMPRODUCT($C92:$G92,Weights!$C$28:$G$28)</f>
        <v>1.2</v>
      </c>
      <c r="AC92" s="18" t="n">
        <f aca="false">SUMPRODUCT($H92:$J92,Weights!$H$28:$J$28)</f>
        <v>1</v>
      </c>
      <c r="AD92" s="18" t="n">
        <f aca="false">SUMPRODUCT($K92:$N92,Weights!$K$28:$N$28)</f>
        <v>1.9</v>
      </c>
      <c r="AE92" s="18" t="n">
        <f aca="false">SUMPRODUCT($O92:$Q92,Weights!$O$28:$Q$28)</f>
        <v>3.35</v>
      </c>
      <c r="AF92" s="18" t="n">
        <f aca="false">SUMPRODUCT($R92:$V92,Weights!$R$28:$V$28)</f>
        <v>1.55</v>
      </c>
      <c r="AH92" s="18" t="n">
        <f aca="false">SUMPRODUCT($AB92:$AF92,Validation!$D$7:$H$7)</f>
        <v>1.60857142857195</v>
      </c>
      <c r="AI92" s="18" t="n">
        <f aca="false">SUMPRODUCT($AB92:$AF92,Validation!$D$8:$H$8)</f>
        <v>1.50642857142805</v>
      </c>
      <c r="AJ92" s="18" t="n">
        <f aca="false">SUMPRODUCT($AB92:$AF92,Validation!$D$9:$H$9)</f>
        <v>1.63183333333285</v>
      </c>
      <c r="AK92" s="18" t="n">
        <f aca="false">SUMPRODUCT($AB92:$AF92,Validation!$D$10:$H$10)</f>
        <v>1.48316666666715</v>
      </c>
      <c r="AL92" s="18" t="n">
        <f aca="false">SUMPRODUCT($AB92:$AF92,Validation!$D$11:$H$11)</f>
        <v>1.5146875</v>
      </c>
      <c r="AM92" s="18" t="n">
        <f aca="false">SUMPRODUCT($AB92:$AF92,Validation!$D$12:$H$12)</f>
        <v>1.6003125</v>
      </c>
      <c r="AN92" s="18" t="n">
        <f aca="false">SUMPRODUCT($AB92:$AF92,Validation!$D$13:$H$13)</f>
        <v>1.35833333333325</v>
      </c>
      <c r="AO92" s="18" t="n">
        <f aca="false">SUMPRODUCT($AB92:$AF92,Validation!$D$14:$H$14)</f>
        <v>1.75666666666675</v>
      </c>
      <c r="AP92" s="18" t="n">
        <f aca="false">SUMPRODUCT($AB92:$AF92,Validation!$D$15:$H$15)</f>
        <v>1.5583823529406</v>
      </c>
      <c r="AQ92" s="18" t="n">
        <f aca="false">SUMPRODUCT($AB92:$AF92,Validation!$D$16:$H$16)</f>
        <v>1.5566176470594</v>
      </c>
      <c r="AR92" s="8" t="n">
        <f aca="false">COUNTIF($C92:$V92,"&gt;=4")</f>
        <v>1</v>
      </c>
      <c r="AS92" s="8" t="str">
        <f aca="false">IF($X92&lt;=1.6,"Low",IF($X92&lt;=2.2,"Medium","High"))</f>
        <v>Low</v>
      </c>
      <c r="AT92" s="8" t="str">
        <f aca="false">IF($AR92=0,"Low",IF($AR92&lt;3,"Medium","High"))</f>
        <v>Medium</v>
      </c>
      <c r="AU92" s="8" t="str">
        <f aca="false">IF(OR($AS92="High",$AT92="High"),"High",IF(OR($AS92="Medium",$AT92="Medium"),"Medium","Low"))</f>
        <v>Medium</v>
      </c>
      <c r="AV92" s="15" t="str">
        <f aca="false">IF($Z92="Yes","High",$AU92)</f>
        <v>Medium</v>
      </c>
    </row>
    <row r="93" customFormat="false" ht="15" hidden="false" customHeight="false" outlineLevel="0" collapsed="false">
      <c r="A93" s="7" t="str">
        <f aca="false">Customers!$A93</f>
        <v>NG-10387</v>
      </c>
      <c r="B93" s="7" t="str">
        <f aca="false">Customers!$B93</f>
        <v>Limited company</v>
      </c>
      <c r="C93" s="8" t="n">
        <f aca="false">INDEX(Mapping!$C$2:$C$99,MATCH(C$1&amp;"|"&amp;Customers!C93,Mapping!$D$2:$D$99,0))</f>
        <v>3</v>
      </c>
      <c r="D93" s="8" t="n">
        <f aca="false">INDEX(Mapping!$C$2:$C$99,MATCH(D$1&amp;"|"&amp;Customers!D93,Mapping!$D$2:$D$99,0))</f>
        <v>3</v>
      </c>
      <c r="E93" s="8" t="n">
        <f aca="false">INDEX(Mapping!$C$2:$C$99,MATCH(E$1&amp;"|"&amp;Customers!E93,Mapping!$D$2:$D$99,0))</f>
        <v>5</v>
      </c>
      <c r="F93" s="8" t="n">
        <f aca="false">INDEX(Mapping!$C$2:$C$99,MATCH(F$1&amp;"|"&amp;Customers!F93,Mapping!$D$2:$D$99,0))</f>
        <v>1</v>
      </c>
      <c r="G93" s="8" t="n">
        <f aca="false">INDEX(Mapping!$C$2:$C$99,MATCH(G$1&amp;"|"&amp;Customers!G93,Mapping!$D$2:$D$99,0))</f>
        <v>1</v>
      </c>
      <c r="H93" s="8" t="n">
        <f aca="false">INDEX(Mapping!$C$2:$C$99,MATCH(H$1&amp;"|"&amp;Customers!H93,Mapping!$D$2:$D$99,0))</f>
        <v>1</v>
      </c>
      <c r="I93" s="8" t="n">
        <f aca="false">INDEX(Mapping!$C$2:$C$99,MATCH(I$1&amp;"|"&amp;Customers!I93,Mapping!$D$2:$D$99,0))</f>
        <v>1</v>
      </c>
      <c r="J93" s="8" t="n">
        <f aca="false">INDEX(Mapping!$C$2:$C$99,MATCH(J$1&amp;"|"&amp;Customers!J93,Mapping!$D$2:$D$99,0))</f>
        <v>1</v>
      </c>
      <c r="K93" s="8" t="n">
        <f aca="false">INDEX(Mapping!$C$2:$C$99,MATCH(K$1&amp;"|"&amp;Customers!K93,Mapping!$D$2:$D$99,0))</f>
        <v>4</v>
      </c>
      <c r="L93" s="8" t="n">
        <f aca="false">INDEX(Mapping!$C$2:$C$99,MATCH(L$1&amp;"|"&amp;Customers!L93,Mapping!$D$2:$D$99,0))</f>
        <v>5</v>
      </c>
      <c r="M93" s="8" t="n">
        <f aca="false">INDEX(Mapping!$C$2:$C$99,MATCH(M$1&amp;"|"&amp;Customers!M93,Mapping!$D$2:$D$99,0))</f>
        <v>4</v>
      </c>
      <c r="N93" s="8" t="n">
        <f aca="false">INDEX(Mapping!$C$2:$C$99,MATCH(N$1&amp;"|"&amp;Customers!N93,Mapping!$D$2:$D$99,0))</f>
        <v>5</v>
      </c>
      <c r="O93" s="8" t="n">
        <f aca="false">INDEX(Mapping!$C$2:$C$99,MATCH(O$1&amp;"|"&amp;Customers!O93,Mapping!$D$2:$D$99,0))</f>
        <v>4</v>
      </c>
      <c r="P93" s="8" t="n">
        <f aca="false">INDEX(Mapping!$C$2:$C$99,MATCH(P$1&amp;"|"&amp;Customers!P93,Mapping!$D$2:$D$99,0))</f>
        <v>1</v>
      </c>
      <c r="Q93" s="8" t="n">
        <f aca="false">INDEX(Mapping!$C$2:$C$99,MATCH(Q$1&amp;"|"&amp;Customers!Q93,Mapping!$D$2:$D$99,0))</f>
        <v>4</v>
      </c>
      <c r="R93" s="8" t="n">
        <f aca="false">INDEX(Mapping!$C$2:$C$99,MATCH(R$1&amp;"|"&amp;Customers!R93,Mapping!$D$2:$D$99,0))</f>
        <v>3</v>
      </c>
      <c r="S93" s="8" t="n">
        <f aca="false">INDEX(Mapping!$C$2:$C$99,MATCH(S$1&amp;"|"&amp;Customers!S93,Mapping!$D$2:$D$99,0))</f>
        <v>3</v>
      </c>
      <c r="T93" s="8" t="n">
        <f aca="false">INDEX(Mapping!$C$2:$C$99,MATCH(T$1&amp;"|"&amp;Customers!T93,Mapping!$D$2:$D$99,0))</f>
        <v>1</v>
      </c>
      <c r="U93" s="8" t="n">
        <f aca="false">INDEX(Mapping!$C$2:$C$99,MATCH(U$1&amp;"|"&amp;Customers!U93,Mapping!$D$2:$D$99,0))</f>
        <v>2</v>
      </c>
      <c r="V93" s="8" t="n">
        <f aca="false">INDEX(Mapping!$C$2:$C$99,MATCH(V$1&amp;"|"&amp;Customers!V93,Mapping!$D$2:$D$99,0))</f>
        <v>1</v>
      </c>
      <c r="W93" s="17" t="n">
        <f aca="false">SUMPRODUCT($C93:$V93,Weights!$C$27:$V$27)</f>
        <v>2.6025</v>
      </c>
      <c r="X93" s="18" t="n">
        <f aca="false">ROUND($W93,2)</f>
        <v>2.6</v>
      </c>
      <c r="Y93" s="8" t="str">
        <f aca="false">IF($X93&lt;=2,"Low",IF($X93&lt;=3.49,"Medium","High"))</f>
        <v>Medium</v>
      </c>
      <c r="Z93" s="8" t="str">
        <f aca="false">IF(OR($F93&gt;=3,$E93=5,$D93=5,$C93=5,$G93=5,$H93=5,$I93=5,$J93=5,Customers!$W93="Yes"),"Yes","No")</f>
        <v>Yes</v>
      </c>
      <c r="AA93" s="15" t="str">
        <f aca="false">IF($Z93="Yes","High",$Y93)</f>
        <v>High</v>
      </c>
      <c r="AB93" s="18" t="n">
        <f aca="false">SUMPRODUCT($C93:$G93,Weights!$C$28:$G$28)</f>
        <v>2.8</v>
      </c>
      <c r="AC93" s="18" t="n">
        <f aca="false">SUMPRODUCT($H93:$J93,Weights!$H$28:$J$28)</f>
        <v>1</v>
      </c>
      <c r="AD93" s="18" t="n">
        <f aca="false">SUMPRODUCT($K93:$N93,Weights!$K$28:$N$28)</f>
        <v>4.4</v>
      </c>
      <c r="AE93" s="18" t="n">
        <f aca="false">SUMPRODUCT($O93:$Q93,Weights!$O$28:$Q$28)</f>
        <v>2.95</v>
      </c>
      <c r="AF93" s="18" t="n">
        <f aca="false">SUMPRODUCT($R93:$V93,Weights!$R$28:$V$28)</f>
        <v>2.25</v>
      </c>
      <c r="AH93" s="18" t="n">
        <f aca="false">SUMPRODUCT($AB93:$AF93,Validation!$D$7:$H$7)</f>
        <v>2.57428571428535</v>
      </c>
      <c r="AI93" s="18" t="n">
        <f aca="false">SUMPRODUCT($AB93:$AF93,Validation!$D$8:$H$8)</f>
        <v>2.63071428571465</v>
      </c>
      <c r="AJ93" s="18" t="n">
        <f aca="false">SUMPRODUCT($AB93:$AF93,Validation!$D$9:$H$9)</f>
        <v>2.81616666666715</v>
      </c>
      <c r="AK93" s="18" t="n">
        <f aca="false">SUMPRODUCT($AB93:$AF93,Validation!$D$10:$H$10)</f>
        <v>2.38883333333285</v>
      </c>
      <c r="AL93" s="18" t="n">
        <f aca="false">SUMPRODUCT($AB93:$AF93,Validation!$D$11:$H$11)</f>
        <v>2.3778125</v>
      </c>
      <c r="AM93" s="18" t="n">
        <f aca="false">SUMPRODUCT($AB93:$AF93,Validation!$D$12:$H$12)</f>
        <v>2.8271875</v>
      </c>
      <c r="AN93" s="18" t="n">
        <f aca="false">SUMPRODUCT($AB93:$AF93,Validation!$D$13:$H$13)</f>
        <v>2.56388888888795</v>
      </c>
      <c r="AO93" s="18" t="n">
        <f aca="false">SUMPRODUCT($AB93:$AF93,Validation!$D$14:$H$14)</f>
        <v>2.64111111111205</v>
      </c>
      <c r="AP93" s="18" t="n">
        <f aca="false">SUMPRODUCT($AB93:$AF93,Validation!$D$15:$H$15)</f>
        <v>2.6439705882355</v>
      </c>
      <c r="AQ93" s="18" t="n">
        <f aca="false">SUMPRODUCT($AB93:$AF93,Validation!$D$16:$H$16)</f>
        <v>2.5610294117645</v>
      </c>
      <c r="AR93" s="8" t="n">
        <f aca="false">COUNTIF($C93:$V93,"&gt;=4")</f>
        <v>7</v>
      </c>
      <c r="AS93" s="8" t="str">
        <f aca="false">IF($X93&lt;=1.6,"Low",IF($X93&lt;=2.2,"Medium","High"))</f>
        <v>High</v>
      </c>
      <c r="AT93" s="8" t="str">
        <f aca="false">IF($AR93=0,"Low",IF($AR93&lt;3,"Medium","High"))</f>
        <v>High</v>
      </c>
      <c r="AU93" s="8" t="str">
        <f aca="false">IF(OR($AS93="High",$AT93="High"),"High",IF(OR($AS93="Medium",$AT93="Medium"),"Medium","Low"))</f>
        <v>High</v>
      </c>
      <c r="AV93" s="15" t="str">
        <f aca="false">IF($Z93="Yes","High",$AU93)</f>
        <v>High</v>
      </c>
    </row>
    <row r="94" customFormat="false" ht="15" hidden="false" customHeight="false" outlineLevel="0" collapsed="false">
      <c r="A94" s="7" t="str">
        <f aca="false">Customers!$A94</f>
        <v>NG-10055</v>
      </c>
      <c r="B94" s="7" t="str">
        <f aca="false">Customers!$B94</f>
        <v>Personal</v>
      </c>
      <c r="C94" s="8" t="n">
        <f aca="false">INDEX(Mapping!$C$2:$C$99,MATCH(C$1&amp;"|"&amp;Customers!C94,Mapping!$D$2:$D$99,0))</f>
        <v>1</v>
      </c>
      <c r="D94" s="8" t="n">
        <f aca="false">INDEX(Mapping!$C$2:$C$99,MATCH(D$1&amp;"|"&amp;Customers!D94,Mapping!$D$2:$D$99,0))</f>
        <v>1</v>
      </c>
      <c r="E94" s="8" t="n">
        <f aca="false">INDEX(Mapping!$C$2:$C$99,MATCH(E$1&amp;"|"&amp;Customers!E94,Mapping!$D$2:$D$99,0))</f>
        <v>1</v>
      </c>
      <c r="F94" s="8" t="n">
        <f aca="false">INDEX(Mapping!$C$2:$C$99,MATCH(F$1&amp;"|"&amp;Customers!F94,Mapping!$D$2:$D$99,0))</f>
        <v>1</v>
      </c>
      <c r="G94" s="8" t="n">
        <f aca="false">INDEX(Mapping!$C$2:$C$99,MATCH(G$1&amp;"|"&amp;Customers!G94,Mapping!$D$2:$D$99,0))</f>
        <v>1</v>
      </c>
      <c r="H94" s="8" t="n">
        <f aca="false">INDEX(Mapping!$C$2:$C$99,MATCH(H$1&amp;"|"&amp;Customers!H94,Mapping!$D$2:$D$99,0))</f>
        <v>1</v>
      </c>
      <c r="I94" s="8" t="n">
        <f aca="false">INDEX(Mapping!$C$2:$C$99,MATCH(I$1&amp;"|"&amp;Customers!I94,Mapping!$D$2:$D$99,0))</f>
        <v>1</v>
      </c>
      <c r="J94" s="8" t="n">
        <f aca="false">INDEX(Mapping!$C$2:$C$99,MATCH(J$1&amp;"|"&amp;Customers!J94,Mapping!$D$2:$D$99,0))</f>
        <v>2</v>
      </c>
      <c r="K94" s="8" t="n">
        <f aca="false">INDEX(Mapping!$C$2:$C$99,MATCH(K$1&amp;"|"&amp;Customers!K94,Mapping!$D$2:$D$99,0))</f>
        <v>3</v>
      </c>
      <c r="L94" s="8" t="n">
        <f aca="false">INDEX(Mapping!$C$2:$C$99,MATCH(L$1&amp;"|"&amp;Customers!L94,Mapping!$D$2:$D$99,0))</f>
        <v>3</v>
      </c>
      <c r="M94" s="8" t="n">
        <f aca="false">INDEX(Mapping!$C$2:$C$99,MATCH(M$1&amp;"|"&amp;Customers!M94,Mapping!$D$2:$D$99,0))</f>
        <v>2</v>
      </c>
      <c r="N94" s="8" t="n">
        <f aca="false">INDEX(Mapping!$C$2:$C$99,MATCH(N$1&amp;"|"&amp;Customers!N94,Mapping!$D$2:$D$99,0))</f>
        <v>1</v>
      </c>
      <c r="O94" s="8" t="n">
        <f aca="false">INDEX(Mapping!$C$2:$C$99,MATCH(O$1&amp;"|"&amp;Customers!O94,Mapping!$D$2:$D$99,0))</f>
        <v>3</v>
      </c>
      <c r="P94" s="8" t="n">
        <f aca="false">INDEX(Mapping!$C$2:$C$99,MATCH(P$1&amp;"|"&amp;Customers!P94,Mapping!$D$2:$D$99,0))</f>
        <v>4</v>
      </c>
      <c r="Q94" s="8" t="n">
        <f aca="false">INDEX(Mapping!$C$2:$C$99,MATCH(Q$1&amp;"|"&amp;Customers!Q94,Mapping!$D$2:$D$99,0))</f>
        <v>1</v>
      </c>
      <c r="R94" s="8" t="n">
        <f aca="false">INDEX(Mapping!$C$2:$C$99,MATCH(R$1&amp;"|"&amp;Customers!R94,Mapping!$D$2:$D$99,0))</f>
        <v>2</v>
      </c>
      <c r="S94" s="8" t="n">
        <f aca="false">INDEX(Mapping!$C$2:$C$99,MATCH(S$1&amp;"|"&amp;Customers!S94,Mapping!$D$2:$D$99,0))</f>
        <v>1</v>
      </c>
      <c r="T94" s="8" t="n">
        <f aca="false">INDEX(Mapping!$C$2:$C$99,MATCH(T$1&amp;"|"&amp;Customers!T94,Mapping!$D$2:$D$99,0))</f>
        <v>1</v>
      </c>
      <c r="U94" s="8" t="n">
        <f aca="false">INDEX(Mapping!$C$2:$C$99,MATCH(U$1&amp;"|"&amp;Customers!U94,Mapping!$D$2:$D$99,0))</f>
        <v>2</v>
      </c>
      <c r="V94" s="8" t="n">
        <f aca="false">INDEX(Mapping!$C$2:$C$99,MATCH(V$1&amp;"|"&amp;Customers!V94,Mapping!$D$2:$D$99,0))</f>
        <v>1</v>
      </c>
      <c r="W94" s="17" t="n">
        <f aca="false">SUMPRODUCT($C94:$V94,Weights!$C$27:$V$27)</f>
        <v>1.645</v>
      </c>
      <c r="X94" s="18" t="n">
        <f aca="false">ROUND($W94,2)</f>
        <v>1.65</v>
      </c>
      <c r="Y94" s="8" t="str">
        <f aca="false">IF($X94&lt;=2,"Low",IF($X94&lt;=3.49,"Medium","High"))</f>
        <v>Low</v>
      </c>
      <c r="Z94" s="8" t="str">
        <f aca="false">IF(OR($F94&gt;=3,$E94=5,$D94=5,$C94=5,$G94=5,$H94=5,$I94=5,$J94=5,Customers!$W94="Yes"),"Yes","No")</f>
        <v>Yes</v>
      </c>
      <c r="AA94" s="15" t="str">
        <f aca="false">IF($Z94="Yes","High",$Y94)</f>
        <v>High</v>
      </c>
      <c r="AB94" s="18" t="n">
        <f aca="false">SUMPRODUCT($C94:$G94,Weights!$C$28:$G$28)</f>
        <v>1</v>
      </c>
      <c r="AC94" s="18" t="n">
        <f aca="false">SUMPRODUCT($H94:$J94,Weights!$H$28:$J$28)</f>
        <v>1.4</v>
      </c>
      <c r="AD94" s="18" t="n">
        <f aca="false">SUMPRODUCT($K94:$N94,Weights!$K$28:$N$28)</f>
        <v>2.45</v>
      </c>
      <c r="AE94" s="18" t="n">
        <f aca="false">SUMPRODUCT($O94:$Q94,Weights!$O$28:$Q$28)</f>
        <v>2.95</v>
      </c>
      <c r="AF94" s="18" t="n">
        <f aca="false">SUMPRODUCT($R94:$V94,Weights!$R$28:$V$28)</f>
        <v>1.4</v>
      </c>
      <c r="AH94" s="18" t="n">
        <f aca="false">SUMPRODUCT($AB94:$AF94,Validation!$D$7:$H$7)</f>
        <v>1.73714285714285</v>
      </c>
      <c r="AI94" s="18" t="n">
        <f aca="false">SUMPRODUCT($AB94:$AF94,Validation!$D$8:$H$8)</f>
        <v>1.55285714285715</v>
      </c>
      <c r="AJ94" s="18" t="n">
        <f aca="false">SUMPRODUCT($AB94:$AF94,Validation!$D$9:$H$9)</f>
        <v>1.6776666666665</v>
      </c>
      <c r="AK94" s="18" t="n">
        <f aca="false">SUMPRODUCT($AB94:$AF94,Validation!$D$10:$H$10)</f>
        <v>1.6123333333335</v>
      </c>
      <c r="AL94" s="18" t="n">
        <f aca="false">SUMPRODUCT($AB94:$AF94,Validation!$D$11:$H$11)</f>
        <v>1.544375</v>
      </c>
      <c r="AM94" s="18" t="n">
        <f aca="false">SUMPRODUCT($AB94:$AF94,Validation!$D$12:$H$12)</f>
        <v>1.745625</v>
      </c>
      <c r="AN94" s="18" t="n">
        <f aca="false">SUMPRODUCT($AB94:$AF94,Validation!$D$13:$H$13)</f>
        <v>1.4999999999999</v>
      </c>
      <c r="AO94" s="18" t="n">
        <f aca="false">SUMPRODUCT($AB94:$AF94,Validation!$D$14:$H$14)</f>
        <v>1.7900000000001</v>
      </c>
      <c r="AP94" s="18" t="n">
        <f aca="false">SUMPRODUCT($AB94:$AF94,Validation!$D$15:$H$15)</f>
        <v>1.67382352941155</v>
      </c>
      <c r="AQ94" s="18" t="n">
        <f aca="false">SUMPRODUCT($AB94:$AF94,Validation!$D$16:$H$16)</f>
        <v>1.61617647058845</v>
      </c>
      <c r="AR94" s="8" t="n">
        <f aca="false">COUNTIF($C94:$V94,"&gt;=4")</f>
        <v>1</v>
      </c>
      <c r="AS94" s="8" t="str">
        <f aca="false">IF($X94&lt;=1.6,"Low",IF($X94&lt;=2.2,"Medium","High"))</f>
        <v>Medium</v>
      </c>
      <c r="AT94" s="8" t="str">
        <f aca="false">IF($AR94=0,"Low",IF($AR94&lt;3,"Medium","High"))</f>
        <v>Medium</v>
      </c>
      <c r="AU94" s="8" t="str">
        <f aca="false">IF(OR($AS94="High",$AT94="High"),"High",IF(OR($AS94="Medium",$AT94="Medium"),"Medium","Low"))</f>
        <v>Medium</v>
      </c>
      <c r="AV94" s="15" t="str">
        <f aca="false">IF($Z94="Yes","High",$AU94)</f>
        <v>High</v>
      </c>
    </row>
    <row r="95" customFormat="false" ht="15" hidden="false" customHeight="false" outlineLevel="0" collapsed="false">
      <c r="A95" s="7" t="str">
        <f aca="false">Customers!$A95</f>
        <v>NG-10035</v>
      </c>
      <c r="B95" s="7" t="str">
        <f aca="false">Customers!$B95</f>
        <v>Personal</v>
      </c>
      <c r="C95" s="8" t="n">
        <f aca="false">INDEX(Mapping!$C$2:$C$99,MATCH(C$1&amp;"|"&amp;Customers!C95,Mapping!$D$2:$D$99,0))</f>
        <v>1</v>
      </c>
      <c r="D95" s="8" t="n">
        <f aca="false">INDEX(Mapping!$C$2:$C$99,MATCH(D$1&amp;"|"&amp;Customers!D95,Mapping!$D$2:$D$99,0))</f>
        <v>1</v>
      </c>
      <c r="E95" s="8" t="n">
        <f aca="false">INDEX(Mapping!$C$2:$C$99,MATCH(E$1&amp;"|"&amp;Customers!E95,Mapping!$D$2:$D$99,0))</f>
        <v>2</v>
      </c>
      <c r="F95" s="8" t="n">
        <f aca="false">INDEX(Mapping!$C$2:$C$99,MATCH(F$1&amp;"|"&amp;Customers!F95,Mapping!$D$2:$D$99,0))</f>
        <v>1</v>
      </c>
      <c r="G95" s="8" t="n">
        <f aca="false">INDEX(Mapping!$C$2:$C$99,MATCH(G$1&amp;"|"&amp;Customers!G95,Mapping!$D$2:$D$99,0))</f>
        <v>1</v>
      </c>
      <c r="H95" s="8" t="n">
        <f aca="false">INDEX(Mapping!$C$2:$C$99,MATCH(H$1&amp;"|"&amp;Customers!H95,Mapping!$D$2:$D$99,0))</f>
        <v>1</v>
      </c>
      <c r="I95" s="8" t="n">
        <f aca="false">INDEX(Mapping!$C$2:$C$99,MATCH(I$1&amp;"|"&amp;Customers!I95,Mapping!$D$2:$D$99,0))</f>
        <v>1</v>
      </c>
      <c r="J95" s="8" t="n">
        <f aca="false">INDEX(Mapping!$C$2:$C$99,MATCH(J$1&amp;"|"&amp;Customers!J95,Mapping!$D$2:$D$99,0))</f>
        <v>1</v>
      </c>
      <c r="K95" s="8" t="n">
        <f aca="false">INDEX(Mapping!$C$2:$C$99,MATCH(K$1&amp;"|"&amp;Customers!K95,Mapping!$D$2:$D$99,0))</f>
        <v>2</v>
      </c>
      <c r="L95" s="8" t="n">
        <f aca="false">INDEX(Mapping!$C$2:$C$99,MATCH(L$1&amp;"|"&amp;Customers!L95,Mapping!$D$2:$D$99,0))</f>
        <v>2</v>
      </c>
      <c r="M95" s="8" t="n">
        <f aca="false">INDEX(Mapping!$C$2:$C$99,MATCH(M$1&amp;"|"&amp;Customers!M95,Mapping!$D$2:$D$99,0))</f>
        <v>2</v>
      </c>
      <c r="N95" s="8" t="n">
        <f aca="false">INDEX(Mapping!$C$2:$C$99,MATCH(N$1&amp;"|"&amp;Customers!N95,Mapping!$D$2:$D$99,0))</f>
        <v>1</v>
      </c>
      <c r="O95" s="8" t="n">
        <f aca="false">INDEX(Mapping!$C$2:$C$99,MATCH(O$1&amp;"|"&amp;Customers!O95,Mapping!$D$2:$D$99,0))</f>
        <v>4</v>
      </c>
      <c r="P95" s="8" t="n">
        <f aca="false">INDEX(Mapping!$C$2:$C$99,MATCH(P$1&amp;"|"&amp;Customers!P95,Mapping!$D$2:$D$99,0))</f>
        <v>1</v>
      </c>
      <c r="Q95" s="8" t="n">
        <f aca="false">INDEX(Mapping!$C$2:$C$99,MATCH(Q$1&amp;"|"&amp;Customers!Q95,Mapping!$D$2:$D$99,0))</f>
        <v>3</v>
      </c>
      <c r="R95" s="8" t="n">
        <f aca="false">INDEX(Mapping!$C$2:$C$99,MATCH(R$1&amp;"|"&amp;Customers!R95,Mapping!$D$2:$D$99,0))</f>
        <v>1</v>
      </c>
      <c r="S95" s="8" t="n">
        <f aca="false">INDEX(Mapping!$C$2:$C$99,MATCH(S$1&amp;"|"&amp;Customers!S95,Mapping!$D$2:$D$99,0))</f>
        <v>2</v>
      </c>
      <c r="T95" s="8" t="n">
        <f aca="false">INDEX(Mapping!$C$2:$C$99,MATCH(T$1&amp;"|"&amp;Customers!T95,Mapping!$D$2:$D$99,0))</f>
        <v>2</v>
      </c>
      <c r="U95" s="8" t="n">
        <f aca="false">INDEX(Mapping!$C$2:$C$99,MATCH(U$1&amp;"|"&amp;Customers!U95,Mapping!$D$2:$D$99,0))</f>
        <v>1</v>
      </c>
      <c r="V95" s="8" t="n">
        <f aca="false">INDEX(Mapping!$C$2:$C$99,MATCH(V$1&amp;"|"&amp;Customers!V95,Mapping!$D$2:$D$99,0))</f>
        <v>1</v>
      </c>
      <c r="W95" s="17" t="n">
        <f aca="false">SUMPRODUCT($C95:$V95,Weights!$C$27:$V$27)</f>
        <v>1.495</v>
      </c>
      <c r="X95" s="18" t="n">
        <f aca="false">ROUND($W95,2)</f>
        <v>1.5</v>
      </c>
      <c r="Y95" s="8" t="str">
        <f aca="false">IF($X95&lt;=2,"Low",IF($X95&lt;=3.49,"Medium","High"))</f>
        <v>Low</v>
      </c>
      <c r="Z95" s="8" t="str">
        <f aca="false">IF(OR($F95&gt;=3,$E95=5,$D95=5,$C95=5,$G95=5,$H95=5,$I95=5,$J95=5,Customers!$W95="Yes"),"Yes","No")</f>
        <v>No</v>
      </c>
      <c r="AA95" s="15" t="str">
        <f aca="false">IF($Z95="Yes","High",$Y95)</f>
        <v>Low</v>
      </c>
      <c r="AB95" s="18" t="n">
        <f aca="false">SUMPRODUCT($C95:$G95,Weights!$C$28:$G$28)</f>
        <v>1.25</v>
      </c>
      <c r="AC95" s="18" t="n">
        <f aca="false">SUMPRODUCT($H95:$J95,Weights!$H$28:$J$28)</f>
        <v>1</v>
      </c>
      <c r="AD95" s="18" t="n">
        <f aca="false">SUMPRODUCT($K95:$N95,Weights!$K$28:$N$28)</f>
        <v>1.85</v>
      </c>
      <c r="AE95" s="18" t="n">
        <f aca="false">SUMPRODUCT($O95:$Q95,Weights!$O$28:$Q$28)</f>
        <v>2.75</v>
      </c>
      <c r="AF95" s="18" t="n">
        <f aca="false">SUMPRODUCT($R95:$V95,Weights!$R$28:$V$28)</f>
        <v>1.5</v>
      </c>
      <c r="AH95" s="18" t="n">
        <f aca="false">SUMPRODUCT($AB95:$AF95,Validation!$D$7:$H$7)</f>
        <v>1.53000000000035</v>
      </c>
      <c r="AI95" s="18" t="n">
        <f aca="false">SUMPRODUCT($AB95:$AF95,Validation!$D$8:$H$8)</f>
        <v>1.45999999999965</v>
      </c>
      <c r="AJ95" s="18" t="n">
        <f aca="false">SUMPRODUCT($AB95:$AF95,Validation!$D$9:$H$9)</f>
        <v>1.5609999999997</v>
      </c>
      <c r="AK95" s="18" t="n">
        <f aca="false">SUMPRODUCT($AB95:$AF95,Validation!$D$10:$H$10)</f>
        <v>1.4290000000003</v>
      </c>
      <c r="AL95" s="18" t="n">
        <f aca="false">SUMPRODUCT($AB95:$AF95,Validation!$D$11:$H$11)</f>
        <v>1.450625</v>
      </c>
      <c r="AM95" s="18" t="n">
        <f aca="false">SUMPRODUCT($AB95:$AF95,Validation!$D$12:$H$12)</f>
        <v>1.539375</v>
      </c>
      <c r="AN95" s="18" t="n">
        <f aca="false">SUMPRODUCT($AB95:$AF95,Validation!$D$13:$H$13)</f>
        <v>1.35555555555545</v>
      </c>
      <c r="AO95" s="18" t="n">
        <f aca="false">SUMPRODUCT($AB95:$AF95,Validation!$D$14:$H$14)</f>
        <v>1.63444444444455</v>
      </c>
      <c r="AP95" s="18" t="n">
        <f aca="false">SUMPRODUCT($AB95:$AF95,Validation!$D$15:$H$15)</f>
        <v>1.4944117647055</v>
      </c>
      <c r="AQ95" s="18" t="n">
        <f aca="false">SUMPRODUCT($AB95:$AF95,Validation!$D$16:$H$16)</f>
        <v>1.4955882352945</v>
      </c>
      <c r="AR95" s="8" t="n">
        <f aca="false">COUNTIF($C95:$V95,"&gt;=4")</f>
        <v>1</v>
      </c>
      <c r="AS95" s="8" t="str">
        <f aca="false">IF($X95&lt;=1.6,"Low",IF($X95&lt;=2.2,"Medium","High"))</f>
        <v>Low</v>
      </c>
      <c r="AT95" s="8" t="str">
        <f aca="false">IF($AR95=0,"Low",IF($AR95&lt;3,"Medium","High"))</f>
        <v>Medium</v>
      </c>
      <c r="AU95" s="8" t="str">
        <f aca="false">IF(OR($AS95="High",$AT95="High"),"High",IF(OR($AS95="Medium",$AT95="Medium"),"Medium","Low"))</f>
        <v>Medium</v>
      </c>
      <c r="AV95" s="15" t="str">
        <f aca="false">IF($Z95="Yes","High",$AU95)</f>
        <v>Medium</v>
      </c>
    </row>
    <row r="96" customFormat="false" ht="15" hidden="false" customHeight="false" outlineLevel="0" collapsed="false">
      <c r="A96" s="7" t="str">
        <f aca="false">Customers!$A96</f>
        <v>NG-10001</v>
      </c>
      <c r="B96" s="7" t="str">
        <f aca="false">Customers!$B96</f>
        <v>Personal</v>
      </c>
      <c r="C96" s="8" t="n">
        <f aca="false">INDEX(Mapping!$C$2:$C$99,MATCH(C$1&amp;"|"&amp;Customers!C96,Mapping!$D$2:$D$99,0))</f>
        <v>2</v>
      </c>
      <c r="D96" s="8" t="n">
        <f aca="false">INDEX(Mapping!$C$2:$C$99,MATCH(D$1&amp;"|"&amp;Customers!D96,Mapping!$D$2:$D$99,0))</f>
        <v>1</v>
      </c>
      <c r="E96" s="8" t="n">
        <f aca="false">INDEX(Mapping!$C$2:$C$99,MATCH(E$1&amp;"|"&amp;Customers!E96,Mapping!$D$2:$D$99,0))</f>
        <v>2</v>
      </c>
      <c r="F96" s="8" t="n">
        <f aca="false">INDEX(Mapping!$C$2:$C$99,MATCH(F$1&amp;"|"&amp;Customers!F96,Mapping!$D$2:$D$99,0))</f>
        <v>1</v>
      </c>
      <c r="G96" s="8" t="n">
        <f aca="false">INDEX(Mapping!$C$2:$C$99,MATCH(G$1&amp;"|"&amp;Customers!G96,Mapping!$D$2:$D$99,0))</f>
        <v>2</v>
      </c>
      <c r="H96" s="8" t="n">
        <f aca="false">INDEX(Mapping!$C$2:$C$99,MATCH(H$1&amp;"|"&amp;Customers!H96,Mapping!$D$2:$D$99,0))</f>
        <v>1</v>
      </c>
      <c r="I96" s="8" t="n">
        <f aca="false">INDEX(Mapping!$C$2:$C$99,MATCH(I$1&amp;"|"&amp;Customers!I96,Mapping!$D$2:$D$99,0))</f>
        <v>1</v>
      </c>
      <c r="J96" s="8" t="n">
        <f aca="false">INDEX(Mapping!$C$2:$C$99,MATCH(J$1&amp;"|"&amp;Customers!J96,Mapping!$D$2:$D$99,0))</f>
        <v>2</v>
      </c>
      <c r="K96" s="8" t="n">
        <f aca="false">INDEX(Mapping!$C$2:$C$99,MATCH(K$1&amp;"|"&amp;Customers!K96,Mapping!$D$2:$D$99,0))</f>
        <v>3</v>
      </c>
      <c r="L96" s="8" t="n">
        <f aca="false">INDEX(Mapping!$C$2:$C$99,MATCH(L$1&amp;"|"&amp;Customers!L96,Mapping!$D$2:$D$99,0))</f>
        <v>2</v>
      </c>
      <c r="M96" s="8" t="n">
        <f aca="false">INDEX(Mapping!$C$2:$C$99,MATCH(M$1&amp;"|"&amp;Customers!M96,Mapping!$D$2:$D$99,0))</f>
        <v>2</v>
      </c>
      <c r="N96" s="8" t="n">
        <f aca="false">INDEX(Mapping!$C$2:$C$99,MATCH(N$1&amp;"|"&amp;Customers!N96,Mapping!$D$2:$D$99,0))</f>
        <v>1</v>
      </c>
      <c r="O96" s="8" t="n">
        <f aca="false">INDEX(Mapping!$C$2:$C$99,MATCH(O$1&amp;"|"&amp;Customers!O96,Mapping!$D$2:$D$99,0))</f>
        <v>3</v>
      </c>
      <c r="P96" s="8" t="n">
        <f aca="false">INDEX(Mapping!$C$2:$C$99,MATCH(P$1&amp;"|"&amp;Customers!P96,Mapping!$D$2:$D$99,0))</f>
        <v>4</v>
      </c>
      <c r="Q96" s="8" t="n">
        <f aca="false">INDEX(Mapping!$C$2:$C$99,MATCH(Q$1&amp;"|"&amp;Customers!Q96,Mapping!$D$2:$D$99,0))</f>
        <v>5</v>
      </c>
      <c r="R96" s="8" t="n">
        <f aca="false">INDEX(Mapping!$C$2:$C$99,MATCH(R$1&amp;"|"&amp;Customers!R96,Mapping!$D$2:$D$99,0))</f>
        <v>1</v>
      </c>
      <c r="S96" s="8" t="n">
        <f aca="false">INDEX(Mapping!$C$2:$C$99,MATCH(S$1&amp;"|"&amp;Customers!S96,Mapping!$D$2:$D$99,0))</f>
        <v>2</v>
      </c>
      <c r="T96" s="8" t="n">
        <f aca="false">INDEX(Mapping!$C$2:$C$99,MATCH(T$1&amp;"|"&amp;Customers!T96,Mapping!$D$2:$D$99,0))</f>
        <v>2</v>
      </c>
      <c r="U96" s="8" t="n">
        <f aca="false">INDEX(Mapping!$C$2:$C$99,MATCH(U$1&amp;"|"&amp;Customers!U96,Mapping!$D$2:$D$99,0))</f>
        <v>1</v>
      </c>
      <c r="V96" s="8" t="n">
        <f aca="false">INDEX(Mapping!$C$2:$C$99,MATCH(V$1&amp;"|"&amp;Customers!V96,Mapping!$D$2:$D$99,0))</f>
        <v>3</v>
      </c>
      <c r="W96" s="17" t="n">
        <f aca="false">SUMPRODUCT($C96:$V96,Weights!$C$27:$V$27)</f>
        <v>1.9</v>
      </c>
      <c r="X96" s="18" t="n">
        <f aca="false">ROUND($W96,2)</f>
        <v>1.9</v>
      </c>
      <c r="Y96" s="8" t="str">
        <f aca="false">IF($X96&lt;=2,"Low",IF($X96&lt;=3.49,"Medium","High"))</f>
        <v>Low</v>
      </c>
      <c r="Z96" s="8" t="str">
        <f aca="false">IF(OR($F96&gt;=3,$E96=5,$D96=5,$C96=5,$G96=5,$H96=5,$I96=5,$J96=5,Customers!$W96="Yes"),"Yes","No")</f>
        <v>No</v>
      </c>
      <c r="AA96" s="15" t="str">
        <f aca="false">IF($Z96="Yes","High",$Y96)</f>
        <v>Low</v>
      </c>
      <c r="AB96" s="18" t="n">
        <f aca="false">SUMPRODUCT($C96:$G96,Weights!$C$28:$G$28)</f>
        <v>1.6</v>
      </c>
      <c r="AC96" s="18" t="n">
        <f aca="false">SUMPRODUCT($H96:$J96,Weights!$H$28:$J$28)</f>
        <v>1.4</v>
      </c>
      <c r="AD96" s="18" t="n">
        <f aca="false">SUMPRODUCT($K96:$N96,Weights!$K$28:$N$28)</f>
        <v>2.2</v>
      </c>
      <c r="AE96" s="18" t="n">
        <f aca="false">SUMPRODUCT($O96:$Q96,Weights!$O$28:$Q$28)</f>
        <v>3.75</v>
      </c>
      <c r="AF96" s="18" t="n">
        <f aca="false">SUMPRODUCT($R96:$V96,Weights!$R$28:$V$28)</f>
        <v>1.7</v>
      </c>
      <c r="AH96" s="18" t="n">
        <f aca="false">SUMPRODUCT($AB96:$AF96,Validation!$D$7:$H$7)</f>
        <v>1.9428571428576</v>
      </c>
      <c r="AI96" s="18" t="n">
        <f aca="false">SUMPRODUCT($AB96:$AF96,Validation!$D$8:$H$8)</f>
        <v>1.8571428571424</v>
      </c>
      <c r="AJ96" s="18" t="n">
        <f aca="false">SUMPRODUCT($AB96:$AF96,Validation!$D$9:$H$9)</f>
        <v>1.96666666666615</v>
      </c>
      <c r="AK96" s="18" t="n">
        <f aca="false">SUMPRODUCT($AB96:$AF96,Validation!$D$10:$H$10)</f>
        <v>1.83333333333385</v>
      </c>
      <c r="AL96" s="18" t="n">
        <f aca="false">SUMPRODUCT($AB96:$AF96,Validation!$D$11:$H$11)</f>
        <v>1.8625</v>
      </c>
      <c r="AM96" s="18" t="n">
        <f aca="false">SUMPRODUCT($AB96:$AF96,Validation!$D$12:$H$12)</f>
        <v>1.9375</v>
      </c>
      <c r="AN96" s="18" t="n">
        <f aca="false">SUMPRODUCT($AB96:$AF96,Validation!$D$13:$H$13)</f>
        <v>1.6944444444443</v>
      </c>
      <c r="AO96" s="18" t="n">
        <f aca="false">SUMPRODUCT($AB96:$AF96,Validation!$D$14:$H$14)</f>
        <v>2.1055555555557</v>
      </c>
      <c r="AP96" s="18" t="n">
        <f aca="false">SUMPRODUCT($AB96:$AF96,Validation!$D$15:$H$15)</f>
        <v>1.9235294117641</v>
      </c>
      <c r="AQ96" s="18" t="n">
        <f aca="false">SUMPRODUCT($AB96:$AF96,Validation!$D$16:$H$16)</f>
        <v>1.8764705882359</v>
      </c>
      <c r="AR96" s="8" t="n">
        <f aca="false">COUNTIF($C96:$V96,"&gt;=4")</f>
        <v>2</v>
      </c>
      <c r="AS96" s="8" t="str">
        <f aca="false">IF($X96&lt;=1.6,"Low",IF($X96&lt;=2.2,"Medium","High"))</f>
        <v>Medium</v>
      </c>
      <c r="AT96" s="8" t="str">
        <f aca="false">IF($AR96=0,"Low",IF($AR96&lt;3,"Medium","High"))</f>
        <v>Medium</v>
      </c>
      <c r="AU96" s="8" t="str">
        <f aca="false">IF(OR($AS96="High",$AT96="High"),"High",IF(OR($AS96="Medium",$AT96="Medium"),"Medium","Low"))</f>
        <v>Medium</v>
      </c>
      <c r="AV96" s="15" t="str">
        <f aca="false">IF($Z96="Yes","High",$AU96)</f>
        <v>Medium</v>
      </c>
    </row>
    <row r="97" customFormat="false" ht="15" hidden="false" customHeight="false" outlineLevel="0" collapsed="false">
      <c r="A97" s="7" t="str">
        <f aca="false">Customers!$A97</f>
        <v>NG-10090</v>
      </c>
      <c r="B97" s="7" t="str">
        <f aca="false">Customers!$B97</f>
        <v>Personal</v>
      </c>
      <c r="C97" s="8" t="n">
        <f aca="false">INDEX(Mapping!$C$2:$C$99,MATCH(C$1&amp;"|"&amp;Customers!C97,Mapping!$D$2:$D$99,0))</f>
        <v>1</v>
      </c>
      <c r="D97" s="8" t="n">
        <f aca="false">INDEX(Mapping!$C$2:$C$99,MATCH(D$1&amp;"|"&amp;Customers!D97,Mapping!$D$2:$D$99,0))</f>
        <v>1</v>
      </c>
      <c r="E97" s="8" t="n">
        <f aca="false">INDEX(Mapping!$C$2:$C$99,MATCH(E$1&amp;"|"&amp;Customers!E97,Mapping!$D$2:$D$99,0))</f>
        <v>1</v>
      </c>
      <c r="F97" s="8" t="n">
        <f aca="false">INDEX(Mapping!$C$2:$C$99,MATCH(F$1&amp;"|"&amp;Customers!F97,Mapping!$D$2:$D$99,0))</f>
        <v>1</v>
      </c>
      <c r="G97" s="8" t="n">
        <f aca="false">INDEX(Mapping!$C$2:$C$99,MATCH(G$1&amp;"|"&amp;Customers!G97,Mapping!$D$2:$D$99,0))</f>
        <v>1</v>
      </c>
      <c r="H97" s="8" t="n">
        <f aca="false">INDEX(Mapping!$C$2:$C$99,MATCH(H$1&amp;"|"&amp;Customers!H97,Mapping!$D$2:$D$99,0))</f>
        <v>1</v>
      </c>
      <c r="I97" s="8" t="n">
        <f aca="false">INDEX(Mapping!$C$2:$C$99,MATCH(I$1&amp;"|"&amp;Customers!I97,Mapping!$D$2:$D$99,0))</f>
        <v>1</v>
      </c>
      <c r="J97" s="8" t="n">
        <f aca="false">INDEX(Mapping!$C$2:$C$99,MATCH(J$1&amp;"|"&amp;Customers!J97,Mapping!$D$2:$D$99,0))</f>
        <v>1</v>
      </c>
      <c r="K97" s="8" t="n">
        <f aca="false">INDEX(Mapping!$C$2:$C$99,MATCH(K$1&amp;"|"&amp;Customers!K97,Mapping!$D$2:$D$99,0))</f>
        <v>3</v>
      </c>
      <c r="L97" s="8" t="n">
        <f aca="false">INDEX(Mapping!$C$2:$C$99,MATCH(L$1&amp;"|"&amp;Customers!L97,Mapping!$D$2:$D$99,0))</f>
        <v>3</v>
      </c>
      <c r="M97" s="8" t="n">
        <f aca="false">INDEX(Mapping!$C$2:$C$99,MATCH(M$1&amp;"|"&amp;Customers!M97,Mapping!$D$2:$D$99,0))</f>
        <v>1</v>
      </c>
      <c r="N97" s="8" t="n">
        <f aca="false">INDEX(Mapping!$C$2:$C$99,MATCH(N$1&amp;"|"&amp;Customers!N97,Mapping!$D$2:$D$99,0))</f>
        <v>2</v>
      </c>
      <c r="O97" s="8" t="n">
        <f aca="false">INDEX(Mapping!$C$2:$C$99,MATCH(O$1&amp;"|"&amp;Customers!O97,Mapping!$D$2:$D$99,0))</f>
        <v>3</v>
      </c>
      <c r="P97" s="8" t="n">
        <f aca="false">INDEX(Mapping!$C$2:$C$99,MATCH(P$1&amp;"|"&amp;Customers!P97,Mapping!$D$2:$D$99,0))</f>
        <v>3</v>
      </c>
      <c r="Q97" s="8" t="n">
        <f aca="false">INDEX(Mapping!$C$2:$C$99,MATCH(Q$1&amp;"|"&amp;Customers!Q97,Mapping!$D$2:$D$99,0))</f>
        <v>1</v>
      </c>
      <c r="R97" s="8" t="n">
        <f aca="false">INDEX(Mapping!$C$2:$C$99,MATCH(R$1&amp;"|"&amp;Customers!R97,Mapping!$D$2:$D$99,0))</f>
        <v>2</v>
      </c>
      <c r="S97" s="8" t="n">
        <f aca="false">INDEX(Mapping!$C$2:$C$99,MATCH(S$1&amp;"|"&amp;Customers!S97,Mapping!$D$2:$D$99,0))</f>
        <v>1</v>
      </c>
      <c r="T97" s="8" t="n">
        <f aca="false">INDEX(Mapping!$C$2:$C$99,MATCH(T$1&amp;"|"&amp;Customers!T97,Mapping!$D$2:$D$99,0))</f>
        <v>1</v>
      </c>
      <c r="U97" s="8" t="n">
        <f aca="false">INDEX(Mapping!$C$2:$C$99,MATCH(U$1&amp;"|"&amp;Customers!U97,Mapping!$D$2:$D$99,0))</f>
        <v>1</v>
      </c>
      <c r="V97" s="8" t="n">
        <f aca="false">INDEX(Mapping!$C$2:$C$99,MATCH(V$1&amp;"|"&amp;Customers!V97,Mapping!$D$2:$D$99,0))</f>
        <v>1</v>
      </c>
      <c r="W97" s="17" t="n">
        <f aca="false">SUMPRODUCT($C97:$V97,Weights!$C$27:$V$27)</f>
        <v>1.4675</v>
      </c>
      <c r="X97" s="18" t="n">
        <f aca="false">ROUND($W97,2)</f>
        <v>1.47</v>
      </c>
      <c r="Y97" s="8" t="str">
        <f aca="false">IF($X97&lt;=2,"Low",IF($X97&lt;=3.49,"Medium","High"))</f>
        <v>Low</v>
      </c>
      <c r="Z97" s="8" t="str">
        <f aca="false">IF(OR($F97&gt;=3,$E97=5,$D97=5,$C97=5,$G97=5,$H97=5,$I97=5,$J97=5,Customers!$W97="Yes"),"Yes","No")</f>
        <v>No</v>
      </c>
      <c r="AA97" s="15" t="str">
        <f aca="false">IF($Z97="Yes","High",$Y97)</f>
        <v>Low</v>
      </c>
      <c r="AB97" s="18" t="n">
        <f aca="false">SUMPRODUCT($C97:$G97,Weights!$C$28:$G$28)</f>
        <v>1</v>
      </c>
      <c r="AC97" s="18" t="n">
        <f aca="false">SUMPRODUCT($H97:$J97,Weights!$H$28:$J$28)</f>
        <v>1</v>
      </c>
      <c r="AD97" s="18" t="n">
        <f aca="false">SUMPRODUCT($K97:$N97,Weights!$K$28:$N$28)</f>
        <v>2.35</v>
      </c>
      <c r="AE97" s="18" t="n">
        <f aca="false">SUMPRODUCT($O97:$Q97,Weights!$O$28:$Q$28)</f>
        <v>2.6</v>
      </c>
      <c r="AF97" s="18" t="n">
        <f aca="false">SUMPRODUCT($R97:$V97,Weights!$R$28:$V$28)</f>
        <v>1.25</v>
      </c>
      <c r="AH97" s="18" t="n">
        <f aca="false">SUMPRODUCT($AB97:$AF97,Validation!$D$7:$H$7)</f>
        <v>1.5342857142857</v>
      </c>
      <c r="AI97" s="18" t="n">
        <f aca="false">SUMPRODUCT($AB97:$AF97,Validation!$D$8:$H$8)</f>
        <v>1.4007142857143</v>
      </c>
      <c r="AJ97" s="18" t="n">
        <f aca="false">SUMPRODUCT($AB97:$AF97,Validation!$D$9:$H$9)</f>
        <v>1.52983333333325</v>
      </c>
      <c r="AK97" s="18" t="n">
        <f aca="false">SUMPRODUCT($AB97:$AF97,Validation!$D$10:$H$10)</f>
        <v>1.40516666666675</v>
      </c>
      <c r="AL97" s="18" t="n">
        <f aca="false">SUMPRODUCT($AB97:$AF97,Validation!$D$11:$H$11)</f>
        <v>1.3571875</v>
      </c>
      <c r="AM97" s="18" t="n">
        <f aca="false">SUMPRODUCT($AB97:$AF97,Validation!$D$12:$H$12)</f>
        <v>1.5778125</v>
      </c>
      <c r="AN97" s="18" t="n">
        <f aca="false">SUMPRODUCT($AB97:$AF97,Validation!$D$13:$H$13)</f>
        <v>1.34166666666645</v>
      </c>
      <c r="AO97" s="18" t="n">
        <f aca="false">SUMPRODUCT($AB97:$AF97,Validation!$D$14:$H$14)</f>
        <v>1.59333333333355</v>
      </c>
      <c r="AP97" s="18" t="n">
        <f aca="false">SUMPRODUCT($AB97:$AF97,Validation!$D$15:$H$15)</f>
        <v>1.49308823529395</v>
      </c>
      <c r="AQ97" s="18" t="n">
        <f aca="false">SUMPRODUCT($AB97:$AF97,Validation!$D$16:$H$16)</f>
        <v>1.44191176470605</v>
      </c>
      <c r="AR97" s="8" t="n">
        <f aca="false">COUNTIF($C97:$V97,"&gt;=4")</f>
        <v>0</v>
      </c>
      <c r="AS97" s="8" t="str">
        <f aca="false">IF($X97&lt;=1.6,"Low",IF($X97&lt;=2.2,"Medium","High"))</f>
        <v>Low</v>
      </c>
      <c r="AT97" s="8" t="str">
        <f aca="false">IF($AR97=0,"Low",IF($AR97&lt;3,"Medium","High"))</f>
        <v>Low</v>
      </c>
      <c r="AU97" s="8" t="str">
        <f aca="false">IF(OR($AS97="High",$AT97="High"),"High",IF(OR($AS97="Medium",$AT97="Medium"),"Medium","Low"))</f>
        <v>Low</v>
      </c>
      <c r="AV97" s="15" t="str">
        <f aca="false">IF($Z97="Yes","High",$AU97)</f>
        <v>Low</v>
      </c>
    </row>
    <row r="98" customFormat="false" ht="15" hidden="false" customHeight="false" outlineLevel="0" collapsed="false">
      <c r="A98" s="7" t="str">
        <f aca="false">Customers!$A98</f>
        <v>NG-10240</v>
      </c>
      <c r="B98" s="7" t="str">
        <f aca="false">Customers!$B98</f>
        <v>Personal</v>
      </c>
      <c r="C98" s="8" t="n">
        <f aca="false">INDEX(Mapping!$C$2:$C$99,MATCH(C$1&amp;"|"&amp;Customers!C98,Mapping!$D$2:$D$99,0))</f>
        <v>1</v>
      </c>
      <c r="D98" s="8" t="n">
        <f aca="false">INDEX(Mapping!$C$2:$C$99,MATCH(D$1&amp;"|"&amp;Customers!D98,Mapping!$D$2:$D$99,0))</f>
        <v>1</v>
      </c>
      <c r="E98" s="8" t="n">
        <f aca="false">INDEX(Mapping!$C$2:$C$99,MATCH(E$1&amp;"|"&amp;Customers!E98,Mapping!$D$2:$D$99,0))</f>
        <v>1</v>
      </c>
      <c r="F98" s="8" t="n">
        <f aca="false">INDEX(Mapping!$C$2:$C$99,MATCH(F$1&amp;"|"&amp;Customers!F98,Mapping!$D$2:$D$99,0))</f>
        <v>1</v>
      </c>
      <c r="G98" s="8" t="n">
        <f aca="false">INDEX(Mapping!$C$2:$C$99,MATCH(G$1&amp;"|"&amp;Customers!G98,Mapping!$D$2:$D$99,0))</f>
        <v>1</v>
      </c>
      <c r="H98" s="8" t="n">
        <f aca="false">INDEX(Mapping!$C$2:$C$99,MATCH(H$1&amp;"|"&amp;Customers!H98,Mapping!$D$2:$D$99,0))</f>
        <v>1</v>
      </c>
      <c r="I98" s="8" t="n">
        <f aca="false">INDEX(Mapping!$C$2:$C$99,MATCH(I$1&amp;"|"&amp;Customers!I98,Mapping!$D$2:$D$99,0))</f>
        <v>1</v>
      </c>
      <c r="J98" s="8" t="n">
        <f aca="false">INDEX(Mapping!$C$2:$C$99,MATCH(J$1&amp;"|"&amp;Customers!J98,Mapping!$D$2:$D$99,0))</f>
        <v>1</v>
      </c>
      <c r="K98" s="8" t="n">
        <f aca="false">INDEX(Mapping!$C$2:$C$99,MATCH(K$1&amp;"|"&amp;Customers!K98,Mapping!$D$2:$D$99,0))</f>
        <v>2</v>
      </c>
      <c r="L98" s="8" t="n">
        <f aca="false">INDEX(Mapping!$C$2:$C$99,MATCH(L$1&amp;"|"&amp;Customers!L98,Mapping!$D$2:$D$99,0))</f>
        <v>2</v>
      </c>
      <c r="M98" s="8" t="n">
        <f aca="false">INDEX(Mapping!$C$2:$C$99,MATCH(M$1&amp;"|"&amp;Customers!M98,Mapping!$D$2:$D$99,0))</f>
        <v>3</v>
      </c>
      <c r="N98" s="8" t="n">
        <f aca="false">INDEX(Mapping!$C$2:$C$99,MATCH(N$1&amp;"|"&amp;Customers!N98,Mapping!$D$2:$D$99,0))</f>
        <v>1</v>
      </c>
      <c r="O98" s="8" t="n">
        <f aca="false">INDEX(Mapping!$C$2:$C$99,MATCH(O$1&amp;"|"&amp;Customers!O98,Mapping!$D$2:$D$99,0))</f>
        <v>3</v>
      </c>
      <c r="P98" s="8" t="n">
        <f aca="false">INDEX(Mapping!$C$2:$C$99,MATCH(P$1&amp;"|"&amp;Customers!P98,Mapping!$D$2:$D$99,0))</f>
        <v>3</v>
      </c>
      <c r="Q98" s="8" t="n">
        <f aca="false">INDEX(Mapping!$C$2:$C$99,MATCH(Q$1&amp;"|"&amp;Customers!Q98,Mapping!$D$2:$D$99,0))</f>
        <v>1</v>
      </c>
      <c r="R98" s="8" t="n">
        <f aca="false">INDEX(Mapping!$C$2:$C$99,MATCH(R$1&amp;"|"&amp;Customers!R98,Mapping!$D$2:$D$99,0))</f>
        <v>2</v>
      </c>
      <c r="S98" s="8" t="n">
        <f aca="false">INDEX(Mapping!$C$2:$C$99,MATCH(S$1&amp;"|"&amp;Customers!S98,Mapping!$D$2:$D$99,0))</f>
        <v>1</v>
      </c>
      <c r="T98" s="8" t="n">
        <f aca="false">INDEX(Mapping!$C$2:$C$99,MATCH(T$1&amp;"|"&amp;Customers!T98,Mapping!$D$2:$D$99,0))</f>
        <v>1</v>
      </c>
      <c r="U98" s="8" t="n">
        <f aca="false">INDEX(Mapping!$C$2:$C$99,MATCH(U$1&amp;"|"&amp;Customers!U98,Mapping!$D$2:$D$99,0))</f>
        <v>2</v>
      </c>
      <c r="V98" s="8" t="n">
        <f aca="false">INDEX(Mapping!$C$2:$C$99,MATCH(V$1&amp;"|"&amp;Customers!V98,Mapping!$D$2:$D$99,0))</f>
        <v>1</v>
      </c>
      <c r="W98" s="17" t="n">
        <f aca="false">SUMPRODUCT($C98:$V98,Weights!$C$27:$V$27)</f>
        <v>1.44</v>
      </c>
      <c r="X98" s="18" t="n">
        <f aca="false">ROUND($W98,2)</f>
        <v>1.44</v>
      </c>
      <c r="Y98" s="8" t="str">
        <f aca="false">IF($X98&lt;=2,"Low",IF($X98&lt;=3.49,"Medium","High"))</f>
        <v>Low</v>
      </c>
      <c r="Z98" s="8" t="str">
        <f aca="false">IF(OR($F98&gt;=3,$E98=5,$D98=5,$C98=5,$G98=5,$H98=5,$I98=5,$J98=5,Customers!$W98="Yes"),"Yes","No")</f>
        <v>No</v>
      </c>
      <c r="AA98" s="15" t="str">
        <f aca="false">IF($Z98="Yes","High",$Y98)</f>
        <v>Low</v>
      </c>
      <c r="AB98" s="18" t="n">
        <f aca="false">SUMPRODUCT($C98:$G98,Weights!$C$28:$G$28)</f>
        <v>1</v>
      </c>
      <c r="AC98" s="18" t="n">
        <f aca="false">SUMPRODUCT($H98:$J98,Weights!$H$28:$J$28)</f>
        <v>1</v>
      </c>
      <c r="AD98" s="18" t="n">
        <f aca="false">SUMPRODUCT($K98:$N98,Weights!$K$28:$N$28)</f>
        <v>2.1</v>
      </c>
      <c r="AE98" s="18" t="n">
        <f aca="false">SUMPRODUCT($O98:$Q98,Weights!$O$28:$Q$28)</f>
        <v>2.6</v>
      </c>
      <c r="AF98" s="18" t="n">
        <f aca="false">SUMPRODUCT($R98:$V98,Weights!$R$28:$V$28)</f>
        <v>1.4</v>
      </c>
      <c r="AH98" s="18" t="n">
        <f aca="false">SUMPRODUCT($AB98:$AF98,Validation!$D$7:$H$7)</f>
        <v>1.5028571428573</v>
      </c>
      <c r="AI98" s="18" t="n">
        <f aca="false">SUMPRODUCT($AB98:$AF98,Validation!$D$8:$H$8)</f>
        <v>1.3771428571427</v>
      </c>
      <c r="AJ98" s="18" t="n">
        <f aca="false">SUMPRODUCT($AB98:$AF98,Validation!$D$9:$H$9)</f>
        <v>1.4986666666665</v>
      </c>
      <c r="AK98" s="18" t="n">
        <f aca="false">SUMPRODUCT($AB98:$AF98,Validation!$D$10:$H$10)</f>
        <v>1.3813333333335</v>
      </c>
      <c r="AL98" s="18" t="n">
        <f aca="false">SUMPRODUCT($AB98:$AF98,Validation!$D$11:$H$11)</f>
        <v>1.3575</v>
      </c>
      <c r="AM98" s="18" t="n">
        <f aca="false">SUMPRODUCT($AB98:$AF98,Validation!$D$12:$H$12)</f>
        <v>1.5225</v>
      </c>
      <c r="AN98" s="18" t="n">
        <f aca="false">SUMPRODUCT($AB98:$AF98,Validation!$D$13:$H$13)</f>
        <v>1.311111111111</v>
      </c>
      <c r="AO98" s="18" t="n">
        <f aca="false">SUMPRODUCT($AB98:$AF98,Validation!$D$14:$H$14)</f>
        <v>1.568888888889</v>
      </c>
      <c r="AP98" s="18" t="n">
        <f aca="false">SUMPRODUCT($AB98:$AF98,Validation!$D$15:$H$15)</f>
        <v>1.4447058823527</v>
      </c>
      <c r="AQ98" s="18" t="n">
        <f aca="false">SUMPRODUCT($AB98:$AF98,Validation!$D$16:$H$16)</f>
        <v>1.4352941176473</v>
      </c>
      <c r="AR98" s="8" t="n">
        <f aca="false">COUNTIF($C98:$V98,"&gt;=4")</f>
        <v>0</v>
      </c>
      <c r="AS98" s="8" t="str">
        <f aca="false">IF($X98&lt;=1.6,"Low",IF($X98&lt;=2.2,"Medium","High"))</f>
        <v>Low</v>
      </c>
      <c r="AT98" s="8" t="str">
        <f aca="false">IF($AR98=0,"Low",IF($AR98&lt;3,"Medium","High"))</f>
        <v>Low</v>
      </c>
      <c r="AU98" s="8" t="str">
        <f aca="false">IF(OR($AS98="High",$AT98="High"),"High",IF(OR($AS98="Medium",$AT98="Medium"),"Medium","Low"))</f>
        <v>Low</v>
      </c>
      <c r="AV98" s="15" t="str">
        <f aca="false">IF($Z98="Yes","High",$AU98)</f>
        <v>Low</v>
      </c>
    </row>
    <row r="99" customFormat="false" ht="15" hidden="false" customHeight="false" outlineLevel="0" collapsed="false">
      <c r="A99" s="7" t="str">
        <f aca="false">Customers!$A99</f>
        <v>NG-10300</v>
      </c>
      <c r="B99" s="7" t="str">
        <f aca="false">Customers!$B99</f>
        <v>Personal</v>
      </c>
      <c r="C99" s="8" t="n">
        <f aca="false">INDEX(Mapping!$C$2:$C$99,MATCH(C$1&amp;"|"&amp;Customers!C99,Mapping!$D$2:$D$99,0))</f>
        <v>1</v>
      </c>
      <c r="D99" s="8" t="n">
        <f aca="false">INDEX(Mapping!$C$2:$C$99,MATCH(D$1&amp;"|"&amp;Customers!D99,Mapping!$D$2:$D$99,0))</f>
        <v>1</v>
      </c>
      <c r="E99" s="8" t="n">
        <f aca="false">INDEX(Mapping!$C$2:$C$99,MATCH(E$1&amp;"|"&amp;Customers!E99,Mapping!$D$2:$D$99,0))</f>
        <v>3</v>
      </c>
      <c r="F99" s="8" t="n">
        <f aca="false">INDEX(Mapping!$C$2:$C$99,MATCH(F$1&amp;"|"&amp;Customers!F99,Mapping!$D$2:$D$99,0))</f>
        <v>1</v>
      </c>
      <c r="G99" s="8" t="n">
        <f aca="false">INDEX(Mapping!$C$2:$C$99,MATCH(G$1&amp;"|"&amp;Customers!G99,Mapping!$D$2:$D$99,0))</f>
        <v>1</v>
      </c>
      <c r="H99" s="8" t="n">
        <f aca="false">INDEX(Mapping!$C$2:$C$99,MATCH(H$1&amp;"|"&amp;Customers!H99,Mapping!$D$2:$D$99,0))</f>
        <v>1</v>
      </c>
      <c r="I99" s="8" t="n">
        <f aca="false">INDEX(Mapping!$C$2:$C$99,MATCH(I$1&amp;"|"&amp;Customers!I99,Mapping!$D$2:$D$99,0))</f>
        <v>1</v>
      </c>
      <c r="J99" s="8" t="n">
        <f aca="false">INDEX(Mapping!$C$2:$C$99,MATCH(J$1&amp;"|"&amp;Customers!J99,Mapping!$D$2:$D$99,0))</f>
        <v>1</v>
      </c>
      <c r="K99" s="8" t="n">
        <f aca="false">INDEX(Mapping!$C$2:$C$99,MATCH(K$1&amp;"|"&amp;Customers!K99,Mapping!$D$2:$D$99,0))</f>
        <v>2</v>
      </c>
      <c r="L99" s="8" t="n">
        <f aca="false">INDEX(Mapping!$C$2:$C$99,MATCH(L$1&amp;"|"&amp;Customers!L99,Mapping!$D$2:$D$99,0))</f>
        <v>1</v>
      </c>
      <c r="M99" s="8" t="n">
        <f aca="false">INDEX(Mapping!$C$2:$C$99,MATCH(M$1&amp;"|"&amp;Customers!M99,Mapping!$D$2:$D$99,0))</f>
        <v>3</v>
      </c>
      <c r="N99" s="8" t="n">
        <f aca="false">INDEX(Mapping!$C$2:$C$99,MATCH(N$1&amp;"|"&amp;Customers!N99,Mapping!$D$2:$D$99,0))</f>
        <v>2</v>
      </c>
      <c r="O99" s="8" t="n">
        <f aca="false">INDEX(Mapping!$C$2:$C$99,MATCH(O$1&amp;"|"&amp;Customers!O99,Mapping!$D$2:$D$99,0))</f>
        <v>3</v>
      </c>
      <c r="P99" s="8" t="n">
        <f aca="false">INDEX(Mapping!$C$2:$C$99,MATCH(P$1&amp;"|"&amp;Customers!P99,Mapping!$D$2:$D$99,0))</f>
        <v>4</v>
      </c>
      <c r="Q99" s="8" t="n">
        <f aca="false">INDEX(Mapping!$C$2:$C$99,MATCH(Q$1&amp;"|"&amp;Customers!Q99,Mapping!$D$2:$D$99,0))</f>
        <v>3</v>
      </c>
      <c r="R99" s="8" t="n">
        <f aca="false">INDEX(Mapping!$C$2:$C$99,MATCH(R$1&amp;"|"&amp;Customers!R99,Mapping!$D$2:$D$99,0))</f>
        <v>1</v>
      </c>
      <c r="S99" s="8" t="n">
        <f aca="false">INDEX(Mapping!$C$2:$C$99,MATCH(S$1&amp;"|"&amp;Customers!S99,Mapping!$D$2:$D$99,0))</f>
        <v>1</v>
      </c>
      <c r="T99" s="8" t="n">
        <f aca="false">INDEX(Mapping!$C$2:$C$99,MATCH(T$1&amp;"|"&amp;Customers!T99,Mapping!$D$2:$D$99,0))</f>
        <v>1</v>
      </c>
      <c r="U99" s="8" t="n">
        <f aca="false">INDEX(Mapping!$C$2:$C$99,MATCH(U$1&amp;"|"&amp;Customers!U99,Mapping!$D$2:$D$99,0))</f>
        <v>3</v>
      </c>
      <c r="V99" s="8" t="n">
        <f aca="false">INDEX(Mapping!$C$2:$C$99,MATCH(V$1&amp;"|"&amp;Customers!V99,Mapping!$D$2:$D$99,0))</f>
        <v>1</v>
      </c>
      <c r="W99" s="17" t="n">
        <f aca="false">SUMPRODUCT($C99:$V99,Weights!$C$27:$V$27)</f>
        <v>1.63</v>
      </c>
      <c r="X99" s="18" t="n">
        <f aca="false">ROUND($W99,2)</f>
        <v>1.63</v>
      </c>
      <c r="Y99" s="8" t="str">
        <f aca="false">IF($X99&lt;=2,"Low",IF($X99&lt;=3.49,"Medium","High"))</f>
        <v>Low</v>
      </c>
      <c r="Z99" s="8" t="str">
        <f aca="false">IF(OR($F99&gt;=3,$E99=5,$D99=5,$C99=5,$G99=5,$H99=5,$I99=5,$J99=5,Customers!$W99="Yes"),"Yes","No")</f>
        <v>No</v>
      </c>
      <c r="AA99" s="15" t="str">
        <f aca="false">IF($Z99="Yes","High",$Y99)</f>
        <v>Low</v>
      </c>
      <c r="AB99" s="18" t="n">
        <f aca="false">SUMPRODUCT($C99:$G99,Weights!$C$28:$G$28)</f>
        <v>1.5</v>
      </c>
      <c r="AC99" s="18" t="n">
        <f aca="false">SUMPRODUCT($H99:$J99,Weights!$H$28:$J$28)</f>
        <v>1</v>
      </c>
      <c r="AD99" s="18" t="n">
        <f aca="false">SUMPRODUCT($K99:$N99,Weights!$K$28:$N$28)</f>
        <v>2</v>
      </c>
      <c r="AE99" s="18" t="n">
        <f aca="false">SUMPRODUCT($O99:$Q99,Weights!$O$28:$Q$28)</f>
        <v>3.35</v>
      </c>
      <c r="AF99" s="18" t="n">
        <f aca="false">SUMPRODUCT($R99:$V99,Weights!$R$28:$V$28)</f>
        <v>1.3</v>
      </c>
      <c r="AH99" s="18" t="n">
        <f aca="false">SUMPRODUCT($AB99:$AF99,Validation!$D$7:$H$7)</f>
        <v>1.6485714285718</v>
      </c>
      <c r="AI99" s="18" t="n">
        <f aca="false">SUMPRODUCT($AB99:$AF99,Validation!$D$8:$H$8)</f>
        <v>1.6114285714282</v>
      </c>
      <c r="AJ99" s="18" t="n">
        <f aca="false">SUMPRODUCT($AB99:$AF99,Validation!$D$9:$H$9)</f>
        <v>1.71399999999955</v>
      </c>
      <c r="AK99" s="18" t="n">
        <f aca="false">SUMPRODUCT($AB99:$AF99,Validation!$D$10:$H$10)</f>
        <v>1.54600000000045</v>
      </c>
      <c r="AL99" s="18" t="n">
        <f aca="false">SUMPRODUCT($AB99:$AF99,Validation!$D$11:$H$11)</f>
        <v>1.58375</v>
      </c>
      <c r="AM99" s="18" t="n">
        <f aca="false">SUMPRODUCT($AB99:$AF99,Validation!$D$12:$H$12)</f>
        <v>1.67625</v>
      </c>
      <c r="AN99" s="18" t="n">
        <f aca="false">SUMPRODUCT($AB99:$AF99,Validation!$D$13:$H$13)</f>
        <v>1.4388888888886</v>
      </c>
      <c r="AO99" s="18" t="n">
        <f aca="false">SUMPRODUCT($AB99:$AF99,Validation!$D$14:$H$14)</f>
        <v>1.8211111111114</v>
      </c>
      <c r="AP99" s="18" t="n">
        <f aca="false">SUMPRODUCT($AB99:$AF99,Validation!$D$15:$H$15)</f>
        <v>1.6688235294112</v>
      </c>
      <c r="AQ99" s="18" t="n">
        <f aca="false">SUMPRODUCT($AB99:$AF99,Validation!$D$16:$H$16)</f>
        <v>1.5911764705888</v>
      </c>
      <c r="AR99" s="8" t="n">
        <f aca="false">COUNTIF($C99:$V99,"&gt;=4")</f>
        <v>1</v>
      </c>
      <c r="AS99" s="8" t="str">
        <f aca="false">IF($X99&lt;=1.6,"Low",IF($X99&lt;=2.2,"Medium","High"))</f>
        <v>Medium</v>
      </c>
      <c r="AT99" s="8" t="str">
        <f aca="false">IF($AR99=0,"Low",IF($AR99&lt;3,"Medium","High"))</f>
        <v>Medium</v>
      </c>
      <c r="AU99" s="8" t="str">
        <f aca="false">IF(OR($AS99="High",$AT99="High"),"High",IF(OR($AS99="Medium",$AT99="Medium"),"Medium","Low"))</f>
        <v>Medium</v>
      </c>
      <c r="AV99" s="15" t="str">
        <f aca="false">IF($Z99="Yes","High",$AU99)</f>
        <v>Medium</v>
      </c>
    </row>
    <row r="100" customFormat="false" ht="15" hidden="false" customHeight="false" outlineLevel="0" collapsed="false">
      <c r="A100" s="7" t="str">
        <f aca="false">Customers!$A100</f>
        <v>NG-10297</v>
      </c>
      <c r="B100" s="7" t="str">
        <f aca="false">Customers!$B100</f>
        <v>Personal</v>
      </c>
      <c r="C100" s="8" t="n">
        <f aca="false">INDEX(Mapping!$C$2:$C$99,MATCH(C$1&amp;"|"&amp;Customers!C100,Mapping!$D$2:$D$99,0))</f>
        <v>1</v>
      </c>
      <c r="D100" s="8" t="n">
        <f aca="false">INDEX(Mapping!$C$2:$C$99,MATCH(D$1&amp;"|"&amp;Customers!D100,Mapping!$D$2:$D$99,0))</f>
        <v>1</v>
      </c>
      <c r="E100" s="8" t="n">
        <f aca="false">INDEX(Mapping!$C$2:$C$99,MATCH(E$1&amp;"|"&amp;Customers!E100,Mapping!$D$2:$D$99,0))</f>
        <v>1</v>
      </c>
      <c r="F100" s="8" t="n">
        <f aca="false">INDEX(Mapping!$C$2:$C$99,MATCH(F$1&amp;"|"&amp;Customers!F100,Mapping!$D$2:$D$99,0))</f>
        <v>1</v>
      </c>
      <c r="G100" s="8" t="n">
        <f aca="false">INDEX(Mapping!$C$2:$C$99,MATCH(G$1&amp;"|"&amp;Customers!G100,Mapping!$D$2:$D$99,0))</f>
        <v>4</v>
      </c>
      <c r="H100" s="8" t="n">
        <f aca="false">INDEX(Mapping!$C$2:$C$99,MATCH(H$1&amp;"|"&amp;Customers!H100,Mapping!$D$2:$D$99,0))</f>
        <v>1</v>
      </c>
      <c r="I100" s="8" t="n">
        <f aca="false">INDEX(Mapping!$C$2:$C$99,MATCH(I$1&amp;"|"&amp;Customers!I100,Mapping!$D$2:$D$99,0))</f>
        <v>1</v>
      </c>
      <c r="J100" s="8" t="n">
        <f aca="false">INDEX(Mapping!$C$2:$C$99,MATCH(J$1&amp;"|"&amp;Customers!J100,Mapping!$D$2:$D$99,0))</f>
        <v>1</v>
      </c>
      <c r="K100" s="8" t="n">
        <f aca="false">INDEX(Mapping!$C$2:$C$99,MATCH(K$1&amp;"|"&amp;Customers!K100,Mapping!$D$2:$D$99,0))</f>
        <v>3</v>
      </c>
      <c r="L100" s="8" t="n">
        <f aca="false">INDEX(Mapping!$C$2:$C$99,MATCH(L$1&amp;"|"&amp;Customers!L100,Mapping!$D$2:$D$99,0))</f>
        <v>4</v>
      </c>
      <c r="M100" s="8" t="n">
        <f aca="false">INDEX(Mapping!$C$2:$C$99,MATCH(M$1&amp;"|"&amp;Customers!M100,Mapping!$D$2:$D$99,0))</f>
        <v>2</v>
      </c>
      <c r="N100" s="8" t="n">
        <f aca="false">INDEX(Mapping!$C$2:$C$99,MATCH(N$1&amp;"|"&amp;Customers!N100,Mapping!$D$2:$D$99,0))</f>
        <v>1</v>
      </c>
      <c r="O100" s="8" t="n">
        <f aca="false">INDEX(Mapping!$C$2:$C$99,MATCH(O$1&amp;"|"&amp;Customers!O100,Mapping!$D$2:$D$99,0))</f>
        <v>3</v>
      </c>
      <c r="P100" s="8" t="n">
        <f aca="false">INDEX(Mapping!$C$2:$C$99,MATCH(P$1&amp;"|"&amp;Customers!P100,Mapping!$D$2:$D$99,0))</f>
        <v>4</v>
      </c>
      <c r="Q100" s="8" t="n">
        <f aca="false">INDEX(Mapping!$C$2:$C$99,MATCH(Q$1&amp;"|"&amp;Customers!Q100,Mapping!$D$2:$D$99,0))</f>
        <v>1</v>
      </c>
      <c r="R100" s="8" t="n">
        <f aca="false">INDEX(Mapping!$C$2:$C$99,MATCH(R$1&amp;"|"&amp;Customers!R100,Mapping!$D$2:$D$99,0))</f>
        <v>1</v>
      </c>
      <c r="S100" s="8" t="n">
        <f aca="false">INDEX(Mapping!$C$2:$C$99,MATCH(S$1&amp;"|"&amp;Customers!S100,Mapping!$D$2:$D$99,0))</f>
        <v>2</v>
      </c>
      <c r="T100" s="8" t="n">
        <f aca="false">INDEX(Mapping!$C$2:$C$99,MATCH(T$1&amp;"|"&amp;Customers!T100,Mapping!$D$2:$D$99,0))</f>
        <v>1</v>
      </c>
      <c r="U100" s="8" t="n">
        <f aca="false">INDEX(Mapping!$C$2:$C$99,MATCH(U$1&amp;"|"&amp;Customers!U100,Mapping!$D$2:$D$99,0))</f>
        <v>1</v>
      </c>
      <c r="V100" s="8" t="n">
        <f aca="false">INDEX(Mapping!$C$2:$C$99,MATCH(V$1&amp;"|"&amp;Customers!V100,Mapping!$D$2:$D$99,0))</f>
        <v>2</v>
      </c>
      <c r="W100" s="17" t="n">
        <f aca="false">SUMPRODUCT($C100:$V100,Weights!$C$27:$V$27)</f>
        <v>1.73</v>
      </c>
      <c r="X100" s="18" t="n">
        <f aca="false">ROUND($W100,2)</f>
        <v>1.73</v>
      </c>
      <c r="Y100" s="8" t="str">
        <f aca="false">IF($X100&lt;=2,"Low",IF($X100&lt;=3.49,"Medium","High"))</f>
        <v>Low</v>
      </c>
      <c r="Z100" s="8" t="str">
        <f aca="false">IF(OR($F100&gt;=3,$E100=5,$D100=5,$C100=5,$G100=5,$H100=5,$I100=5,$J100=5,Customers!$W100="Yes"),"Yes","No")</f>
        <v>No</v>
      </c>
      <c r="AA100" s="15" t="str">
        <f aca="false">IF($Z100="Yes","High",$Y100)</f>
        <v>Low</v>
      </c>
      <c r="AB100" s="18" t="n">
        <f aca="false">SUMPRODUCT($C100:$G100,Weights!$C$28:$G$28)</f>
        <v>1.45</v>
      </c>
      <c r="AC100" s="18" t="n">
        <f aca="false">SUMPRODUCT($H100:$J100,Weights!$H$28:$J$28)</f>
        <v>1</v>
      </c>
      <c r="AD100" s="18" t="n">
        <f aca="false">SUMPRODUCT($K100:$N100,Weights!$K$28:$N$28)</f>
        <v>2.7</v>
      </c>
      <c r="AE100" s="18" t="n">
        <f aca="false">SUMPRODUCT($O100:$Q100,Weights!$O$28:$Q$28)</f>
        <v>2.95</v>
      </c>
      <c r="AF100" s="18" t="n">
        <f aca="false">SUMPRODUCT($R100:$V100,Weights!$R$28:$V$28)</f>
        <v>1.4</v>
      </c>
      <c r="AH100" s="18" t="n">
        <f aca="false">SUMPRODUCT($AB100:$AF100,Validation!$D$7:$H$7)</f>
        <v>1.77</v>
      </c>
      <c r="AI100" s="18" t="n">
        <f aca="false">SUMPRODUCT($AB100:$AF100,Validation!$D$8:$H$8)</f>
        <v>1.69</v>
      </c>
      <c r="AJ100" s="18" t="n">
        <f aca="false">SUMPRODUCT($AB100:$AF100,Validation!$D$9:$H$9)</f>
        <v>1.82733333333325</v>
      </c>
      <c r="AK100" s="18" t="n">
        <f aca="false">SUMPRODUCT($AB100:$AF100,Validation!$D$10:$H$10)</f>
        <v>1.63266666666675</v>
      </c>
      <c r="AL100" s="18" t="n">
        <f aca="false">SUMPRODUCT($AB100:$AF100,Validation!$D$11:$H$11)</f>
        <v>1.60875</v>
      </c>
      <c r="AM100" s="18" t="n">
        <f aca="false">SUMPRODUCT($AB100:$AF100,Validation!$D$12:$H$12)</f>
        <v>1.85125</v>
      </c>
      <c r="AN100" s="18" t="n">
        <f aca="false">SUMPRODUCT($AB100:$AF100,Validation!$D$13:$H$13)</f>
        <v>1.59444444444405</v>
      </c>
      <c r="AO100" s="18" t="n">
        <f aca="false">SUMPRODUCT($AB100:$AF100,Validation!$D$14:$H$14)</f>
        <v>1.86555555555595</v>
      </c>
      <c r="AP100" s="18" t="n">
        <f aca="false">SUMPRODUCT($AB100:$AF100,Validation!$D$15:$H$15)</f>
        <v>1.76882352941155</v>
      </c>
      <c r="AQ100" s="18" t="n">
        <f aca="false">SUMPRODUCT($AB100:$AF100,Validation!$D$16:$H$16)</f>
        <v>1.69117647058845</v>
      </c>
      <c r="AR100" s="8" t="n">
        <f aca="false">COUNTIF($C100:$V100,"&gt;=4")</f>
        <v>3</v>
      </c>
      <c r="AS100" s="8" t="str">
        <f aca="false">IF($X100&lt;=1.6,"Low",IF($X100&lt;=2.2,"Medium","High"))</f>
        <v>Medium</v>
      </c>
      <c r="AT100" s="8" t="str">
        <f aca="false">IF($AR100=0,"Low",IF($AR100&lt;3,"Medium","High"))</f>
        <v>High</v>
      </c>
      <c r="AU100" s="8" t="str">
        <f aca="false">IF(OR($AS100="High",$AT100="High"),"High",IF(OR($AS100="Medium",$AT100="Medium"),"Medium","Low"))</f>
        <v>High</v>
      </c>
      <c r="AV100" s="15" t="str">
        <f aca="false">IF($Z100="Yes","High",$AU100)</f>
        <v>High</v>
      </c>
    </row>
    <row r="101" customFormat="false" ht="15" hidden="false" customHeight="false" outlineLevel="0" collapsed="false">
      <c r="A101" s="7" t="str">
        <f aca="false">Customers!$A101</f>
        <v>NG-10070</v>
      </c>
      <c r="B101" s="7" t="str">
        <f aca="false">Customers!$B101</f>
        <v>Personal</v>
      </c>
      <c r="C101" s="8" t="n">
        <f aca="false">INDEX(Mapping!$C$2:$C$99,MATCH(C$1&amp;"|"&amp;Customers!C101,Mapping!$D$2:$D$99,0))</f>
        <v>2</v>
      </c>
      <c r="D101" s="8" t="n">
        <f aca="false">INDEX(Mapping!$C$2:$C$99,MATCH(D$1&amp;"|"&amp;Customers!D101,Mapping!$D$2:$D$99,0))</f>
        <v>1</v>
      </c>
      <c r="E101" s="8" t="n">
        <f aca="false">INDEX(Mapping!$C$2:$C$99,MATCH(E$1&amp;"|"&amp;Customers!E101,Mapping!$D$2:$D$99,0))</f>
        <v>3</v>
      </c>
      <c r="F101" s="8" t="n">
        <f aca="false">INDEX(Mapping!$C$2:$C$99,MATCH(F$1&amp;"|"&amp;Customers!F101,Mapping!$D$2:$D$99,0))</f>
        <v>1</v>
      </c>
      <c r="G101" s="8" t="n">
        <f aca="false">INDEX(Mapping!$C$2:$C$99,MATCH(G$1&amp;"|"&amp;Customers!G101,Mapping!$D$2:$D$99,0))</f>
        <v>1</v>
      </c>
      <c r="H101" s="8" t="n">
        <f aca="false">INDEX(Mapping!$C$2:$C$99,MATCH(H$1&amp;"|"&amp;Customers!H101,Mapping!$D$2:$D$99,0))</f>
        <v>1</v>
      </c>
      <c r="I101" s="8" t="n">
        <f aca="false">INDEX(Mapping!$C$2:$C$99,MATCH(I$1&amp;"|"&amp;Customers!I101,Mapping!$D$2:$D$99,0))</f>
        <v>1</v>
      </c>
      <c r="J101" s="8" t="n">
        <f aca="false">INDEX(Mapping!$C$2:$C$99,MATCH(J$1&amp;"|"&amp;Customers!J101,Mapping!$D$2:$D$99,0))</f>
        <v>1</v>
      </c>
      <c r="K101" s="8" t="n">
        <f aca="false">INDEX(Mapping!$C$2:$C$99,MATCH(K$1&amp;"|"&amp;Customers!K101,Mapping!$D$2:$D$99,0))</f>
        <v>3</v>
      </c>
      <c r="L101" s="8" t="n">
        <f aca="false">INDEX(Mapping!$C$2:$C$99,MATCH(L$1&amp;"|"&amp;Customers!L101,Mapping!$D$2:$D$99,0))</f>
        <v>2</v>
      </c>
      <c r="M101" s="8" t="n">
        <f aca="false">INDEX(Mapping!$C$2:$C$99,MATCH(M$1&amp;"|"&amp;Customers!M101,Mapping!$D$2:$D$99,0))</f>
        <v>1</v>
      </c>
      <c r="N101" s="8" t="n">
        <f aca="false">INDEX(Mapping!$C$2:$C$99,MATCH(N$1&amp;"|"&amp;Customers!N101,Mapping!$D$2:$D$99,0))</f>
        <v>1</v>
      </c>
      <c r="O101" s="8" t="n">
        <f aca="false">INDEX(Mapping!$C$2:$C$99,MATCH(O$1&amp;"|"&amp;Customers!O101,Mapping!$D$2:$D$99,0))</f>
        <v>3</v>
      </c>
      <c r="P101" s="8" t="n">
        <f aca="false">INDEX(Mapping!$C$2:$C$99,MATCH(P$1&amp;"|"&amp;Customers!P101,Mapping!$D$2:$D$99,0))</f>
        <v>3</v>
      </c>
      <c r="Q101" s="8" t="n">
        <f aca="false">INDEX(Mapping!$C$2:$C$99,MATCH(Q$1&amp;"|"&amp;Customers!Q101,Mapping!$D$2:$D$99,0))</f>
        <v>1</v>
      </c>
      <c r="R101" s="8" t="n">
        <f aca="false">INDEX(Mapping!$C$2:$C$99,MATCH(R$1&amp;"|"&amp;Customers!R101,Mapping!$D$2:$D$99,0))</f>
        <v>1</v>
      </c>
      <c r="S101" s="8" t="n">
        <f aca="false">INDEX(Mapping!$C$2:$C$99,MATCH(S$1&amp;"|"&amp;Customers!S101,Mapping!$D$2:$D$99,0))</f>
        <v>2</v>
      </c>
      <c r="T101" s="8" t="n">
        <f aca="false">INDEX(Mapping!$C$2:$C$99,MATCH(T$1&amp;"|"&amp;Customers!T101,Mapping!$D$2:$D$99,0))</f>
        <v>2</v>
      </c>
      <c r="U101" s="8" t="n">
        <f aca="false">INDEX(Mapping!$C$2:$C$99,MATCH(U$1&amp;"|"&amp;Customers!U101,Mapping!$D$2:$D$99,0))</f>
        <v>1</v>
      </c>
      <c r="V101" s="8" t="n">
        <f aca="false">INDEX(Mapping!$C$2:$C$99,MATCH(V$1&amp;"|"&amp;Customers!V101,Mapping!$D$2:$D$99,0))</f>
        <v>1</v>
      </c>
      <c r="W101" s="17" t="n">
        <f aca="false">SUMPRODUCT($C101:$V101,Weights!$C$27:$V$27)</f>
        <v>1.635</v>
      </c>
      <c r="X101" s="18" t="n">
        <f aca="false">ROUND($W101,2)</f>
        <v>1.64</v>
      </c>
      <c r="Y101" s="8" t="str">
        <f aca="false">IF($X101&lt;=2,"Low",IF($X101&lt;=3.49,"Medium","High"))</f>
        <v>Low</v>
      </c>
      <c r="Z101" s="8" t="str">
        <f aca="false">IF(OR($F101&gt;=3,$E101=5,$D101=5,$C101=5,$G101=5,$H101=5,$I101=5,$J101=5,Customers!$W101="Yes"),"Yes","No")</f>
        <v>No</v>
      </c>
      <c r="AA101" s="15" t="str">
        <f aca="false">IF($Z101="Yes","High",$Y101)</f>
        <v>Low</v>
      </c>
      <c r="AB101" s="18" t="n">
        <f aca="false">SUMPRODUCT($C101:$G101,Weights!$C$28:$G$28)</f>
        <v>1.7</v>
      </c>
      <c r="AC101" s="18" t="n">
        <f aca="false">SUMPRODUCT($H101:$J101,Weights!$H$28:$J$28)</f>
        <v>1</v>
      </c>
      <c r="AD101" s="18" t="n">
        <f aca="false">SUMPRODUCT($K101:$N101,Weights!$K$28:$N$28)</f>
        <v>1.95</v>
      </c>
      <c r="AE101" s="18" t="n">
        <f aca="false">SUMPRODUCT($O101:$Q101,Weights!$O$28:$Q$28)</f>
        <v>2.6</v>
      </c>
      <c r="AF101" s="18" t="n">
        <f aca="false">SUMPRODUCT($R101:$V101,Weights!$R$28:$V$28)</f>
        <v>1.5</v>
      </c>
      <c r="AH101" s="18" t="n">
        <f aca="false">SUMPRODUCT($AB101:$AF101,Validation!$D$7:$H$7)</f>
        <v>1.62571428571455</v>
      </c>
      <c r="AI101" s="18" t="n">
        <f aca="false">SUMPRODUCT($AB101:$AF101,Validation!$D$8:$H$8)</f>
        <v>1.64428571428545</v>
      </c>
      <c r="AJ101" s="18" t="n">
        <f aca="false">SUMPRODUCT($AB101:$AF101,Validation!$D$9:$H$9)</f>
        <v>1.71966666666645</v>
      </c>
      <c r="AK101" s="18" t="n">
        <f aca="false">SUMPRODUCT($AB101:$AF101,Validation!$D$10:$H$10)</f>
        <v>1.55033333333355</v>
      </c>
      <c r="AL101" s="18" t="n">
        <f aca="false">SUMPRODUCT($AB101:$AF101,Validation!$D$11:$H$11)</f>
        <v>1.595625</v>
      </c>
      <c r="AM101" s="18" t="n">
        <f aca="false">SUMPRODUCT($AB101:$AF101,Validation!$D$12:$H$12)</f>
        <v>1.674375</v>
      </c>
      <c r="AN101" s="18" t="n">
        <f aca="false">SUMPRODUCT($AB101:$AF101,Validation!$D$13:$H$13)</f>
        <v>1.5277777777775</v>
      </c>
      <c r="AO101" s="18" t="n">
        <f aca="false">SUMPRODUCT($AB101:$AF101,Validation!$D$14:$H$14)</f>
        <v>1.7422222222225</v>
      </c>
      <c r="AP101" s="18" t="n">
        <f aca="false">SUMPRODUCT($AB101:$AF101,Validation!$D$15:$H$15)</f>
        <v>1.65088235294085</v>
      </c>
      <c r="AQ101" s="18" t="n">
        <f aca="false">SUMPRODUCT($AB101:$AF101,Validation!$D$16:$H$16)</f>
        <v>1.61911764705915</v>
      </c>
      <c r="AR101" s="8" t="n">
        <f aca="false">COUNTIF($C101:$V101,"&gt;=4")</f>
        <v>0</v>
      </c>
      <c r="AS101" s="8" t="str">
        <f aca="false">IF($X101&lt;=1.6,"Low",IF($X101&lt;=2.2,"Medium","High"))</f>
        <v>Medium</v>
      </c>
      <c r="AT101" s="8" t="str">
        <f aca="false">IF($AR101=0,"Low",IF($AR101&lt;3,"Medium","High"))</f>
        <v>Low</v>
      </c>
      <c r="AU101" s="8" t="str">
        <f aca="false">IF(OR($AS101="High",$AT101="High"),"High",IF(OR($AS101="Medium",$AT101="Medium"),"Medium","Low"))</f>
        <v>Medium</v>
      </c>
      <c r="AV101" s="15" t="str">
        <f aca="false">IF($Z101="Yes","High",$AU101)</f>
        <v>Medium</v>
      </c>
    </row>
    <row r="102" customFormat="false" ht="15" hidden="false" customHeight="false" outlineLevel="0" collapsed="false">
      <c r="A102" s="7" t="str">
        <f aca="false">Customers!$A102</f>
        <v>NG-10041</v>
      </c>
      <c r="B102" s="7" t="str">
        <f aca="false">Customers!$B102</f>
        <v>Personal</v>
      </c>
      <c r="C102" s="8" t="n">
        <f aca="false">INDEX(Mapping!$C$2:$C$99,MATCH(C$1&amp;"|"&amp;Customers!C102,Mapping!$D$2:$D$99,0))</f>
        <v>2</v>
      </c>
      <c r="D102" s="8" t="n">
        <f aca="false">INDEX(Mapping!$C$2:$C$99,MATCH(D$1&amp;"|"&amp;Customers!D102,Mapping!$D$2:$D$99,0))</f>
        <v>1</v>
      </c>
      <c r="E102" s="8" t="n">
        <f aca="false">INDEX(Mapping!$C$2:$C$99,MATCH(E$1&amp;"|"&amp;Customers!E102,Mapping!$D$2:$D$99,0))</f>
        <v>1</v>
      </c>
      <c r="F102" s="8" t="n">
        <f aca="false">INDEX(Mapping!$C$2:$C$99,MATCH(F$1&amp;"|"&amp;Customers!F102,Mapping!$D$2:$D$99,0))</f>
        <v>1</v>
      </c>
      <c r="G102" s="8" t="n">
        <f aca="false">INDEX(Mapping!$C$2:$C$99,MATCH(G$1&amp;"|"&amp;Customers!G102,Mapping!$D$2:$D$99,0))</f>
        <v>1</v>
      </c>
      <c r="H102" s="8" t="n">
        <f aca="false">INDEX(Mapping!$C$2:$C$99,MATCH(H$1&amp;"|"&amp;Customers!H102,Mapping!$D$2:$D$99,0))</f>
        <v>1</v>
      </c>
      <c r="I102" s="8" t="n">
        <f aca="false">INDEX(Mapping!$C$2:$C$99,MATCH(I$1&amp;"|"&amp;Customers!I102,Mapping!$D$2:$D$99,0))</f>
        <v>1</v>
      </c>
      <c r="J102" s="8" t="n">
        <f aca="false">INDEX(Mapping!$C$2:$C$99,MATCH(J$1&amp;"|"&amp;Customers!J102,Mapping!$D$2:$D$99,0))</f>
        <v>1</v>
      </c>
      <c r="K102" s="8" t="n">
        <f aca="false">INDEX(Mapping!$C$2:$C$99,MATCH(K$1&amp;"|"&amp;Customers!K102,Mapping!$D$2:$D$99,0))</f>
        <v>2</v>
      </c>
      <c r="L102" s="8" t="n">
        <f aca="false">INDEX(Mapping!$C$2:$C$99,MATCH(L$1&amp;"|"&amp;Customers!L102,Mapping!$D$2:$D$99,0))</f>
        <v>2</v>
      </c>
      <c r="M102" s="8" t="n">
        <f aca="false">INDEX(Mapping!$C$2:$C$99,MATCH(M$1&amp;"|"&amp;Customers!M102,Mapping!$D$2:$D$99,0))</f>
        <v>2</v>
      </c>
      <c r="N102" s="8" t="n">
        <f aca="false">INDEX(Mapping!$C$2:$C$99,MATCH(N$1&amp;"|"&amp;Customers!N102,Mapping!$D$2:$D$99,0))</f>
        <v>1</v>
      </c>
      <c r="O102" s="8" t="n">
        <f aca="false">INDEX(Mapping!$C$2:$C$99,MATCH(O$1&amp;"|"&amp;Customers!O102,Mapping!$D$2:$D$99,0))</f>
        <v>3</v>
      </c>
      <c r="P102" s="8" t="n">
        <f aca="false">INDEX(Mapping!$C$2:$C$99,MATCH(P$1&amp;"|"&amp;Customers!P102,Mapping!$D$2:$D$99,0))</f>
        <v>3</v>
      </c>
      <c r="Q102" s="8" t="n">
        <f aca="false">INDEX(Mapping!$C$2:$C$99,MATCH(Q$1&amp;"|"&amp;Customers!Q102,Mapping!$D$2:$D$99,0))</f>
        <v>1</v>
      </c>
      <c r="R102" s="8" t="n">
        <f aca="false">INDEX(Mapping!$C$2:$C$99,MATCH(R$1&amp;"|"&amp;Customers!R102,Mapping!$D$2:$D$99,0))</f>
        <v>1</v>
      </c>
      <c r="S102" s="8" t="n">
        <f aca="false">INDEX(Mapping!$C$2:$C$99,MATCH(S$1&amp;"|"&amp;Customers!S102,Mapping!$D$2:$D$99,0))</f>
        <v>1</v>
      </c>
      <c r="T102" s="8" t="n">
        <f aca="false">INDEX(Mapping!$C$2:$C$99,MATCH(T$1&amp;"|"&amp;Customers!T102,Mapping!$D$2:$D$99,0))</f>
        <v>2</v>
      </c>
      <c r="U102" s="8" t="n">
        <f aca="false">INDEX(Mapping!$C$2:$C$99,MATCH(U$1&amp;"|"&amp;Customers!U102,Mapping!$D$2:$D$99,0))</f>
        <v>1</v>
      </c>
      <c r="V102" s="8" t="n">
        <f aca="false">INDEX(Mapping!$C$2:$C$99,MATCH(V$1&amp;"|"&amp;Customers!V102,Mapping!$D$2:$D$99,0))</f>
        <v>3</v>
      </c>
      <c r="W102" s="17" t="n">
        <f aca="false">SUMPRODUCT($C102:$V102,Weights!$C$27:$V$27)</f>
        <v>1.45</v>
      </c>
      <c r="X102" s="18" t="n">
        <f aca="false">ROUND($W102,2)</f>
        <v>1.45</v>
      </c>
      <c r="Y102" s="8" t="str">
        <f aca="false">IF($X102&lt;=2,"Low",IF($X102&lt;=3.49,"Medium","High"))</f>
        <v>Low</v>
      </c>
      <c r="Z102" s="8" t="str">
        <f aca="false">IF(OR($F102&gt;=3,$E102=5,$D102=5,$C102=5,$G102=5,$H102=5,$I102=5,$J102=5,Customers!$W102="Yes"),"Yes","No")</f>
        <v>No</v>
      </c>
      <c r="AA102" s="15" t="str">
        <f aca="false">IF($Z102="Yes","High",$Y102)</f>
        <v>Low</v>
      </c>
      <c r="AB102" s="18" t="n">
        <f aca="false">SUMPRODUCT($C102:$G102,Weights!$C$28:$G$28)</f>
        <v>1.2</v>
      </c>
      <c r="AC102" s="18" t="n">
        <f aca="false">SUMPRODUCT($H102:$J102,Weights!$H$28:$J$28)</f>
        <v>1</v>
      </c>
      <c r="AD102" s="18" t="n">
        <f aca="false">SUMPRODUCT($K102:$N102,Weights!$K$28:$N$28)</f>
        <v>1.85</v>
      </c>
      <c r="AE102" s="18" t="n">
        <f aca="false">SUMPRODUCT($O102:$Q102,Weights!$O$28:$Q$28)</f>
        <v>2.6</v>
      </c>
      <c r="AF102" s="18" t="n">
        <f aca="false">SUMPRODUCT($R102:$V102,Weights!$R$28:$V$28)</f>
        <v>1.4</v>
      </c>
      <c r="AH102" s="18" t="n">
        <f aca="false">SUMPRODUCT($AB102:$AF102,Validation!$D$7:$H$7)</f>
        <v>1.48571428571455</v>
      </c>
      <c r="AI102" s="18" t="n">
        <f aca="false">SUMPRODUCT($AB102:$AF102,Validation!$D$8:$H$8)</f>
        <v>1.41428571428545</v>
      </c>
      <c r="AJ102" s="18" t="n">
        <f aca="false">SUMPRODUCT($AB102:$AF102,Validation!$D$9:$H$9)</f>
        <v>1.50999999999975</v>
      </c>
      <c r="AK102" s="18" t="n">
        <f aca="false">SUMPRODUCT($AB102:$AF102,Validation!$D$10:$H$10)</f>
        <v>1.39000000000025</v>
      </c>
      <c r="AL102" s="18" t="n">
        <f aca="false">SUMPRODUCT($AB102:$AF102,Validation!$D$11:$H$11)</f>
        <v>1.4</v>
      </c>
      <c r="AM102" s="18" t="n">
        <f aca="false">SUMPRODUCT($AB102:$AF102,Validation!$D$12:$H$12)</f>
        <v>1.5</v>
      </c>
      <c r="AN102" s="18" t="n">
        <f aca="false">SUMPRODUCT($AB102:$AF102,Validation!$D$13:$H$13)</f>
        <v>1.3222222222221</v>
      </c>
      <c r="AO102" s="18" t="n">
        <f aca="false">SUMPRODUCT($AB102:$AF102,Validation!$D$14:$H$14)</f>
        <v>1.5777777777779</v>
      </c>
      <c r="AP102" s="18" t="n">
        <f aca="false">SUMPRODUCT($AB102:$AF102,Validation!$D$15:$H$15)</f>
        <v>1.45588235294085</v>
      </c>
      <c r="AQ102" s="18" t="n">
        <f aca="false">SUMPRODUCT($AB102:$AF102,Validation!$D$16:$H$16)</f>
        <v>1.44411764705915</v>
      </c>
      <c r="AR102" s="8" t="n">
        <f aca="false">COUNTIF($C102:$V102,"&gt;=4")</f>
        <v>0</v>
      </c>
      <c r="AS102" s="8" t="str">
        <f aca="false">IF($X102&lt;=1.6,"Low",IF($X102&lt;=2.2,"Medium","High"))</f>
        <v>Low</v>
      </c>
      <c r="AT102" s="8" t="str">
        <f aca="false">IF($AR102=0,"Low",IF($AR102&lt;3,"Medium","High"))</f>
        <v>Low</v>
      </c>
      <c r="AU102" s="8" t="str">
        <f aca="false">IF(OR($AS102="High",$AT102="High"),"High",IF(OR($AS102="Medium",$AT102="Medium"),"Medium","Low"))</f>
        <v>Low</v>
      </c>
      <c r="AV102" s="15" t="str">
        <f aca="false">IF($Z102="Yes","High",$AU102)</f>
        <v>Low</v>
      </c>
    </row>
    <row r="103" customFormat="false" ht="15" hidden="false" customHeight="false" outlineLevel="0" collapsed="false">
      <c r="A103" s="7" t="str">
        <f aca="false">Customers!$A103</f>
        <v>NG-10007</v>
      </c>
      <c r="B103" s="7" t="str">
        <f aca="false">Customers!$B103</f>
        <v>Personal</v>
      </c>
      <c r="C103" s="8" t="n">
        <f aca="false">INDEX(Mapping!$C$2:$C$99,MATCH(C$1&amp;"|"&amp;Customers!C103,Mapping!$D$2:$D$99,0))</f>
        <v>1</v>
      </c>
      <c r="D103" s="8" t="n">
        <f aca="false">INDEX(Mapping!$C$2:$C$99,MATCH(D$1&amp;"|"&amp;Customers!D103,Mapping!$D$2:$D$99,0))</f>
        <v>1</v>
      </c>
      <c r="E103" s="8" t="n">
        <f aca="false">INDEX(Mapping!$C$2:$C$99,MATCH(E$1&amp;"|"&amp;Customers!E103,Mapping!$D$2:$D$99,0))</f>
        <v>1</v>
      </c>
      <c r="F103" s="8" t="n">
        <f aca="false">INDEX(Mapping!$C$2:$C$99,MATCH(F$1&amp;"|"&amp;Customers!F103,Mapping!$D$2:$D$99,0))</f>
        <v>1</v>
      </c>
      <c r="G103" s="8" t="n">
        <f aca="false">INDEX(Mapping!$C$2:$C$99,MATCH(G$1&amp;"|"&amp;Customers!G103,Mapping!$D$2:$D$99,0))</f>
        <v>1</v>
      </c>
      <c r="H103" s="8" t="n">
        <f aca="false">INDEX(Mapping!$C$2:$C$99,MATCH(H$1&amp;"|"&amp;Customers!H103,Mapping!$D$2:$D$99,0))</f>
        <v>1</v>
      </c>
      <c r="I103" s="8" t="n">
        <f aca="false">INDEX(Mapping!$C$2:$C$99,MATCH(I$1&amp;"|"&amp;Customers!I103,Mapping!$D$2:$D$99,0))</f>
        <v>4</v>
      </c>
      <c r="J103" s="8" t="n">
        <f aca="false">INDEX(Mapping!$C$2:$C$99,MATCH(J$1&amp;"|"&amp;Customers!J103,Mapping!$D$2:$D$99,0))</f>
        <v>1</v>
      </c>
      <c r="K103" s="8" t="n">
        <f aca="false">INDEX(Mapping!$C$2:$C$99,MATCH(K$1&amp;"|"&amp;Customers!K103,Mapping!$D$2:$D$99,0))</f>
        <v>1</v>
      </c>
      <c r="L103" s="8" t="n">
        <f aca="false">INDEX(Mapping!$C$2:$C$99,MATCH(L$1&amp;"|"&amp;Customers!L103,Mapping!$D$2:$D$99,0))</f>
        <v>2</v>
      </c>
      <c r="M103" s="8" t="n">
        <f aca="false">INDEX(Mapping!$C$2:$C$99,MATCH(M$1&amp;"|"&amp;Customers!M103,Mapping!$D$2:$D$99,0))</f>
        <v>1</v>
      </c>
      <c r="N103" s="8" t="n">
        <f aca="false">INDEX(Mapping!$C$2:$C$99,MATCH(N$1&amp;"|"&amp;Customers!N103,Mapping!$D$2:$D$99,0))</f>
        <v>1</v>
      </c>
      <c r="O103" s="8" t="n">
        <f aca="false">INDEX(Mapping!$C$2:$C$99,MATCH(O$1&amp;"|"&amp;Customers!O103,Mapping!$D$2:$D$99,0))</f>
        <v>3</v>
      </c>
      <c r="P103" s="8" t="n">
        <f aca="false">INDEX(Mapping!$C$2:$C$99,MATCH(P$1&amp;"|"&amp;Customers!P103,Mapping!$D$2:$D$99,0))</f>
        <v>3</v>
      </c>
      <c r="Q103" s="8" t="n">
        <f aca="false">INDEX(Mapping!$C$2:$C$99,MATCH(Q$1&amp;"|"&amp;Customers!Q103,Mapping!$D$2:$D$99,0))</f>
        <v>3</v>
      </c>
      <c r="R103" s="8" t="n">
        <f aca="false">INDEX(Mapping!$C$2:$C$99,MATCH(R$1&amp;"|"&amp;Customers!R103,Mapping!$D$2:$D$99,0))</f>
        <v>1</v>
      </c>
      <c r="S103" s="8" t="n">
        <f aca="false">INDEX(Mapping!$C$2:$C$99,MATCH(S$1&amp;"|"&amp;Customers!S103,Mapping!$D$2:$D$99,0))</f>
        <v>2</v>
      </c>
      <c r="T103" s="8" t="n">
        <f aca="false">INDEX(Mapping!$C$2:$C$99,MATCH(T$1&amp;"|"&amp;Customers!T103,Mapping!$D$2:$D$99,0))</f>
        <v>2</v>
      </c>
      <c r="U103" s="8" t="n">
        <f aca="false">INDEX(Mapping!$C$2:$C$99,MATCH(U$1&amp;"|"&amp;Customers!U103,Mapping!$D$2:$D$99,0))</f>
        <v>4</v>
      </c>
      <c r="V103" s="8" t="n">
        <f aca="false">INDEX(Mapping!$C$2:$C$99,MATCH(V$1&amp;"|"&amp;Customers!V103,Mapping!$D$2:$D$99,0))</f>
        <v>1</v>
      </c>
      <c r="W103" s="17" t="n">
        <f aca="false">SUMPRODUCT($C103:$V103,Weights!$C$27:$V$27)</f>
        <v>1.5425</v>
      </c>
      <c r="X103" s="18" t="n">
        <f aca="false">ROUND($W103,2)</f>
        <v>1.54</v>
      </c>
      <c r="Y103" s="8" t="str">
        <f aca="false">IF($X103&lt;=2,"Low",IF($X103&lt;=3.49,"Medium","High"))</f>
        <v>Low</v>
      </c>
      <c r="Z103" s="8" t="str">
        <f aca="false">IF(OR($F103&gt;=3,$E103=5,$D103=5,$C103=5,$G103=5,$H103=5,$I103=5,$J103=5,Customers!$W103="Yes"),"Yes","No")</f>
        <v>No</v>
      </c>
      <c r="AA103" s="15" t="str">
        <f aca="false">IF($Z103="Yes","High",$Y103)</f>
        <v>Low</v>
      </c>
      <c r="AB103" s="18" t="n">
        <f aca="false">SUMPRODUCT($C103:$G103,Weights!$C$28:$G$28)</f>
        <v>1</v>
      </c>
      <c r="AC103" s="18" t="n">
        <f aca="false">SUMPRODUCT($H103:$J103,Weights!$H$28:$J$28)</f>
        <v>1.6</v>
      </c>
      <c r="AD103" s="18" t="n">
        <f aca="false">SUMPRODUCT($K103:$N103,Weights!$K$28:$N$28)</f>
        <v>1.25</v>
      </c>
      <c r="AE103" s="18" t="n">
        <f aca="false">SUMPRODUCT($O103:$Q103,Weights!$O$28:$Q$28)</f>
        <v>3</v>
      </c>
      <c r="AF103" s="18" t="n">
        <f aca="false">SUMPRODUCT($R103:$V103,Weights!$R$28:$V$28)</f>
        <v>1.95</v>
      </c>
      <c r="AH103" s="18" t="n">
        <f aca="false">SUMPRODUCT($AB103:$AF103,Validation!$D$7:$H$7)</f>
        <v>1.6200000000007</v>
      </c>
      <c r="AI103" s="18" t="n">
        <f aca="false">SUMPRODUCT($AB103:$AF103,Validation!$D$8:$H$8)</f>
        <v>1.4649999999993</v>
      </c>
      <c r="AJ103" s="18" t="n">
        <f aca="false">SUMPRODUCT($AB103:$AF103,Validation!$D$9:$H$9)</f>
        <v>1.53483333333275</v>
      </c>
      <c r="AK103" s="18" t="n">
        <f aca="false">SUMPRODUCT($AB103:$AF103,Validation!$D$10:$H$10)</f>
        <v>1.55016666666725</v>
      </c>
      <c r="AL103" s="18" t="n">
        <f aca="false">SUMPRODUCT($AB103:$AF103,Validation!$D$11:$H$11)</f>
        <v>1.5790625</v>
      </c>
      <c r="AM103" s="18" t="n">
        <f aca="false">SUMPRODUCT($AB103:$AF103,Validation!$D$12:$H$12)</f>
        <v>1.5059375</v>
      </c>
      <c r="AN103" s="18" t="n">
        <f aca="false">SUMPRODUCT($AB103:$AF103,Validation!$D$13:$H$13)</f>
        <v>1.38055555555595</v>
      </c>
      <c r="AO103" s="18" t="n">
        <f aca="false">SUMPRODUCT($AB103:$AF103,Validation!$D$14:$H$14)</f>
        <v>1.70444444444405</v>
      </c>
      <c r="AP103" s="18" t="n">
        <f aca="false">SUMPRODUCT($AB103:$AF103,Validation!$D$15:$H$15)</f>
        <v>1.49455882352885</v>
      </c>
      <c r="AQ103" s="18" t="n">
        <f aca="false">SUMPRODUCT($AB103:$AF103,Validation!$D$16:$H$16)</f>
        <v>1.59044117647115</v>
      </c>
      <c r="AR103" s="8" t="n">
        <f aca="false">COUNTIF($C103:$V103,"&gt;=4")</f>
        <v>2</v>
      </c>
      <c r="AS103" s="8" t="str">
        <f aca="false">IF($X103&lt;=1.6,"Low",IF($X103&lt;=2.2,"Medium","High"))</f>
        <v>Low</v>
      </c>
      <c r="AT103" s="8" t="str">
        <f aca="false">IF($AR103=0,"Low",IF($AR103&lt;3,"Medium","High"))</f>
        <v>Medium</v>
      </c>
      <c r="AU103" s="8" t="str">
        <f aca="false">IF(OR($AS103="High",$AT103="High"),"High",IF(OR($AS103="Medium",$AT103="Medium"),"Medium","Low"))</f>
        <v>Medium</v>
      </c>
      <c r="AV103" s="15" t="str">
        <f aca="false">IF($Z103="Yes","High",$AU103)</f>
        <v>Medium</v>
      </c>
    </row>
    <row r="104" customFormat="false" ht="15" hidden="false" customHeight="false" outlineLevel="0" collapsed="false">
      <c r="A104" s="7" t="str">
        <f aca="false">Customers!$A104</f>
        <v>NG-10024</v>
      </c>
      <c r="B104" s="7" t="str">
        <f aca="false">Customers!$B104</f>
        <v>Personal</v>
      </c>
      <c r="C104" s="8" t="n">
        <f aca="false">INDEX(Mapping!$C$2:$C$99,MATCH(C$1&amp;"|"&amp;Customers!C104,Mapping!$D$2:$D$99,0))</f>
        <v>1</v>
      </c>
      <c r="D104" s="8" t="n">
        <f aca="false">INDEX(Mapping!$C$2:$C$99,MATCH(D$1&amp;"|"&amp;Customers!D104,Mapping!$D$2:$D$99,0))</f>
        <v>1</v>
      </c>
      <c r="E104" s="8" t="n">
        <f aca="false">INDEX(Mapping!$C$2:$C$99,MATCH(E$1&amp;"|"&amp;Customers!E104,Mapping!$D$2:$D$99,0))</f>
        <v>3</v>
      </c>
      <c r="F104" s="8" t="n">
        <f aca="false">INDEX(Mapping!$C$2:$C$99,MATCH(F$1&amp;"|"&amp;Customers!F104,Mapping!$D$2:$D$99,0))</f>
        <v>1</v>
      </c>
      <c r="G104" s="8" t="n">
        <f aca="false">INDEX(Mapping!$C$2:$C$99,MATCH(G$1&amp;"|"&amp;Customers!G104,Mapping!$D$2:$D$99,0))</f>
        <v>1</v>
      </c>
      <c r="H104" s="8" t="n">
        <f aca="false">INDEX(Mapping!$C$2:$C$99,MATCH(H$1&amp;"|"&amp;Customers!H104,Mapping!$D$2:$D$99,0))</f>
        <v>1</v>
      </c>
      <c r="I104" s="8" t="n">
        <f aca="false">INDEX(Mapping!$C$2:$C$99,MATCH(I$1&amp;"|"&amp;Customers!I104,Mapping!$D$2:$D$99,0))</f>
        <v>1</v>
      </c>
      <c r="J104" s="8" t="n">
        <f aca="false">INDEX(Mapping!$C$2:$C$99,MATCH(J$1&amp;"|"&amp;Customers!J104,Mapping!$D$2:$D$99,0))</f>
        <v>1</v>
      </c>
      <c r="K104" s="8" t="n">
        <f aca="false">INDEX(Mapping!$C$2:$C$99,MATCH(K$1&amp;"|"&amp;Customers!K104,Mapping!$D$2:$D$99,0))</f>
        <v>3</v>
      </c>
      <c r="L104" s="8" t="n">
        <f aca="false">INDEX(Mapping!$C$2:$C$99,MATCH(L$1&amp;"|"&amp;Customers!L104,Mapping!$D$2:$D$99,0))</f>
        <v>3</v>
      </c>
      <c r="M104" s="8" t="n">
        <f aca="false">INDEX(Mapping!$C$2:$C$99,MATCH(M$1&amp;"|"&amp;Customers!M104,Mapping!$D$2:$D$99,0))</f>
        <v>4</v>
      </c>
      <c r="N104" s="8" t="n">
        <f aca="false">INDEX(Mapping!$C$2:$C$99,MATCH(N$1&amp;"|"&amp;Customers!N104,Mapping!$D$2:$D$99,0))</f>
        <v>2</v>
      </c>
      <c r="O104" s="8" t="n">
        <f aca="false">INDEX(Mapping!$C$2:$C$99,MATCH(O$1&amp;"|"&amp;Customers!O104,Mapping!$D$2:$D$99,0))</f>
        <v>3</v>
      </c>
      <c r="P104" s="8" t="n">
        <f aca="false">INDEX(Mapping!$C$2:$C$99,MATCH(P$1&amp;"|"&amp;Customers!P104,Mapping!$D$2:$D$99,0))</f>
        <v>3</v>
      </c>
      <c r="Q104" s="8" t="n">
        <f aca="false">INDEX(Mapping!$C$2:$C$99,MATCH(Q$1&amp;"|"&amp;Customers!Q104,Mapping!$D$2:$D$99,0))</f>
        <v>1</v>
      </c>
      <c r="R104" s="8" t="n">
        <f aca="false">INDEX(Mapping!$C$2:$C$99,MATCH(R$1&amp;"|"&amp;Customers!R104,Mapping!$D$2:$D$99,0))</f>
        <v>2</v>
      </c>
      <c r="S104" s="8" t="n">
        <f aca="false">INDEX(Mapping!$C$2:$C$99,MATCH(S$1&amp;"|"&amp;Customers!S104,Mapping!$D$2:$D$99,0))</f>
        <v>3</v>
      </c>
      <c r="T104" s="8" t="n">
        <f aca="false">INDEX(Mapping!$C$2:$C$99,MATCH(T$1&amp;"|"&amp;Customers!T104,Mapping!$D$2:$D$99,0))</f>
        <v>1</v>
      </c>
      <c r="U104" s="8" t="n">
        <f aca="false">INDEX(Mapping!$C$2:$C$99,MATCH(U$1&amp;"|"&amp;Customers!U104,Mapping!$D$2:$D$99,0))</f>
        <v>1</v>
      </c>
      <c r="V104" s="8" t="n">
        <f aca="false">INDEX(Mapping!$C$2:$C$99,MATCH(V$1&amp;"|"&amp;Customers!V104,Mapping!$D$2:$D$99,0))</f>
        <v>1</v>
      </c>
      <c r="W104" s="17" t="n">
        <f aca="false">SUMPRODUCT($C104:$V104,Weights!$C$27:$V$27)</f>
        <v>1.8575</v>
      </c>
      <c r="X104" s="18" t="n">
        <f aca="false">ROUND($W104,2)</f>
        <v>1.86</v>
      </c>
      <c r="Y104" s="8" t="str">
        <f aca="false">IF($X104&lt;=2,"Low",IF($X104&lt;=3.49,"Medium","High"))</f>
        <v>Low</v>
      </c>
      <c r="Z104" s="8" t="str">
        <f aca="false">IF(OR($F104&gt;=3,$E104=5,$D104=5,$C104=5,$G104=5,$H104=5,$I104=5,$J104=5,Customers!$W104="Yes"),"Yes","No")</f>
        <v>No</v>
      </c>
      <c r="AA104" s="15" t="str">
        <f aca="false">IF($Z104="Yes","High",$Y104)</f>
        <v>Low</v>
      </c>
      <c r="AB104" s="18" t="n">
        <f aca="false">SUMPRODUCT($C104:$G104,Weights!$C$28:$G$28)</f>
        <v>1.5</v>
      </c>
      <c r="AC104" s="18" t="n">
        <f aca="false">SUMPRODUCT($H104:$J104,Weights!$H$28:$J$28)</f>
        <v>1</v>
      </c>
      <c r="AD104" s="18" t="n">
        <f aca="false">SUMPRODUCT($K104:$N104,Weights!$K$28:$N$28)</f>
        <v>3.1</v>
      </c>
      <c r="AE104" s="18" t="n">
        <f aca="false">SUMPRODUCT($O104:$Q104,Weights!$O$28:$Q$28)</f>
        <v>2.6</v>
      </c>
      <c r="AF104" s="18" t="n">
        <f aca="false">SUMPRODUCT($R104:$V104,Weights!$R$28:$V$28)</f>
        <v>1.85</v>
      </c>
      <c r="AH104" s="18" t="n">
        <f aca="false">SUMPRODUCT($AB104:$AF104,Validation!$D$7:$H$7)</f>
        <v>1.90857142857135</v>
      </c>
      <c r="AI104" s="18" t="n">
        <f aca="false">SUMPRODUCT($AB104:$AF104,Validation!$D$8:$H$8)</f>
        <v>1.80642857142865</v>
      </c>
      <c r="AJ104" s="18" t="n">
        <f aca="false">SUMPRODUCT($AB104:$AF104,Validation!$D$9:$H$9)</f>
        <v>1.9718333333335</v>
      </c>
      <c r="AK104" s="18" t="n">
        <f aca="false">SUMPRODUCT($AB104:$AF104,Validation!$D$10:$H$10)</f>
        <v>1.7431666666665</v>
      </c>
      <c r="AL104" s="18" t="n">
        <f aca="false">SUMPRODUCT($AB104:$AF104,Validation!$D$11:$H$11)</f>
        <v>1.7021875</v>
      </c>
      <c r="AM104" s="18" t="n">
        <f aca="false">SUMPRODUCT($AB104:$AF104,Validation!$D$12:$H$12)</f>
        <v>2.0128125</v>
      </c>
      <c r="AN104" s="18" t="n">
        <f aca="false">SUMPRODUCT($AB104:$AF104,Validation!$D$13:$H$13)</f>
        <v>1.77499999999965</v>
      </c>
      <c r="AO104" s="18" t="n">
        <f aca="false">SUMPRODUCT($AB104:$AF104,Validation!$D$14:$H$14)</f>
        <v>1.94000000000035</v>
      </c>
      <c r="AP104" s="18" t="n">
        <f aca="false">SUMPRODUCT($AB104:$AF104,Validation!$D$15:$H$15)</f>
        <v>1.8583823529412</v>
      </c>
      <c r="AQ104" s="18" t="n">
        <f aca="false">SUMPRODUCT($AB104:$AF104,Validation!$D$16:$H$16)</f>
        <v>1.8566176470588</v>
      </c>
      <c r="AR104" s="8" t="n">
        <f aca="false">COUNTIF($C104:$V104,"&gt;=4")</f>
        <v>1</v>
      </c>
      <c r="AS104" s="8" t="str">
        <f aca="false">IF($X104&lt;=1.6,"Low",IF($X104&lt;=2.2,"Medium","High"))</f>
        <v>Medium</v>
      </c>
      <c r="AT104" s="8" t="str">
        <f aca="false">IF($AR104=0,"Low",IF($AR104&lt;3,"Medium","High"))</f>
        <v>Medium</v>
      </c>
      <c r="AU104" s="8" t="str">
        <f aca="false">IF(OR($AS104="High",$AT104="High"),"High",IF(OR($AS104="Medium",$AT104="Medium"),"Medium","Low"))</f>
        <v>Medium</v>
      </c>
      <c r="AV104" s="15" t="str">
        <f aca="false">IF($Z104="Yes","High",$AU104)</f>
        <v>Medium</v>
      </c>
    </row>
    <row r="105" customFormat="false" ht="15" hidden="false" customHeight="false" outlineLevel="0" collapsed="false">
      <c r="A105" s="7" t="str">
        <f aca="false">Customers!$A105</f>
        <v>NG-10247</v>
      </c>
      <c r="B105" s="7" t="str">
        <f aca="false">Customers!$B105</f>
        <v>Personal</v>
      </c>
      <c r="C105" s="8" t="n">
        <f aca="false">INDEX(Mapping!$C$2:$C$99,MATCH(C$1&amp;"|"&amp;Customers!C105,Mapping!$D$2:$D$99,0))</f>
        <v>1</v>
      </c>
      <c r="D105" s="8" t="n">
        <f aca="false">INDEX(Mapping!$C$2:$C$99,MATCH(D$1&amp;"|"&amp;Customers!D105,Mapping!$D$2:$D$99,0))</f>
        <v>1</v>
      </c>
      <c r="E105" s="8" t="n">
        <f aca="false">INDEX(Mapping!$C$2:$C$99,MATCH(E$1&amp;"|"&amp;Customers!E105,Mapping!$D$2:$D$99,0))</f>
        <v>1</v>
      </c>
      <c r="F105" s="8" t="n">
        <f aca="false">INDEX(Mapping!$C$2:$C$99,MATCH(F$1&amp;"|"&amp;Customers!F105,Mapping!$D$2:$D$99,0))</f>
        <v>1</v>
      </c>
      <c r="G105" s="8" t="n">
        <f aca="false">INDEX(Mapping!$C$2:$C$99,MATCH(G$1&amp;"|"&amp;Customers!G105,Mapping!$D$2:$D$99,0))</f>
        <v>1</v>
      </c>
      <c r="H105" s="8" t="n">
        <f aca="false">INDEX(Mapping!$C$2:$C$99,MATCH(H$1&amp;"|"&amp;Customers!H105,Mapping!$D$2:$D$99,0))</f>
        <v>1</v>
      </c>
      <c r="I105" s="8" t="n">
        <f aca="false">INDEX(Mapping!$C$2:$C$99,MATCH(I$1&amp;"|"&amp;Customers!I105,Mapping!$D$2:$D$99,0))</f>
        <v>1</v>
      </c>
      <c r="J105" s="8" t="n">
        <f aca="false">INDEX(Mapping!$C$2:$C$99,MATCH(J$1&amp;"|"&amp;Customers!J105,Mapping!$D$2:$D$99,0))</f>
        <v>1</v>
      </c>
      <c r="K105" s="8" t="n">
        <f aca="false">INDEX(Mapping!$C$2:$C$99,MATCH(K$1&amp;"|"&amp;Customers!K105,Mapping!$D$2:$D$99,0))</f>
        <v>2</v>
      </c>
      <c r="L105" s="8" t="n">
        <f aca="false">INDEX(Mapping!$C$2:$C$99,MATCH(L$1&amp;"|"&amp;Customers!L105,Mapping!$D$2:$D$99,0))</f>
        <v>2</v>
      </c>
      <c r="M105" s="8" t="n">
        <f aca="false">INDEX(Mapping!$C$2:$C$99,MATCH(M$1&amp;"|"&amp;Customers!M105,Mapping!$D$2:$D$99,0))</f>
        <v>1</v>
      </c>
      <c r="N105" s="8" t="n">
        <f aca="false">INDEX(Mapping!$C$2:$C$99,MATCH(N$1&amp;"|"&amp;Customers!N105,Mapping!$D$2:$D$99,0))</f>
        <v>1</v>
      </c>
      <c r="O105" s="8" t="n">
        <f aca="false">INDEX(Mapping!$C$2:$C$99,MATCH(O$1&amp;"|"&amp;Customers!O105,Mapping!$D$2:$D$99,0))</f>
        <v>2</v>
      </c>
      <c r="P105" s="8" t="n">
        <f aca="false">INDEX(Mapping!$C$2:$C$99,MATCH(P$1&amp;"|"&amp;Customers!P105,Mapping!$D$2:$D$99,0))</f>
        <v>4</v>
      </c>
      <c r="Q105" s="8" t="n">
        <f aca="false">INDEX(Mapping!$C$2:$C$99,MATCH(Q$1&amp;"|"&amp;Customers!Q105,Mapping!$D$2:$D$99,0))</f>
        <v>1</v>
      </c>
      <c r="R105" s="8" t="n">
        <f aca="false">INDEX(Mapping!$C$2:$C$99,MATCH(R$1&amp;"|"&amp;Customers!R105,Mapping!$D$2:$D$99,0))</f>
        <v>1</v>
      </c>
      <c r="S105" s="8" t="n">
        <f aca="false">INDEX(Mapping!$C$2:$C$99,MATCH(S$1&amp;"|"&amp;Customers!S105,Mapping!$D$2:$D$99,0))</f>
        <v>2</v>
      </c>
      <c r="T105" s="8" t="n">
        <f aca="false">INDEX(Mapping!$C$2:$C$99,MATCH(T$1&amp;"|"&amp;Customers!T105,Mapping!$D$2:$D$99,0))</f>
        <v>1</v>
      </c>
      <c r="U105" s="8" t="n">
        <f aca="false">INDEX(Mapping!$C$2:$C$99,MATCH(U$1&amp;"|"&amp;Customers!U105,Mapping!$D$2:$D$99,0))</f>
        <v>1</v>
      </c>
      <c r="V105" s="8" t="n">
        <f aca="false">INDEX(Mapping!$C$2:$C$99,MATCH(V$1&amp;"|"&amp;Customers!V105,Mapping!$D$2:$D$99,0))</f>
        <v>1</v>
      </c>
      <c r="W105" s="17" t="n">
        <f aca="false">SUMPRODUCT($C105:$V105,Weights!$C$27:$V$27)</f>
        <v>1.315</v>
      </c>
      <c r="X105" s="18" t="n">
        <f aca="false">ROUND($W105,2)</f>
        <v>1.32</v>
      </c>
      <c r="Y105" s="8" t="str">
        <f aca="false">IF($X105&lt;=2,"Low",IF($X105&lt;=3.49,"Medium","High"))</f>
        <v>Low</v>
      </c>
      <c r="Z105" s="8" t="str">
        <f aca="false">IF(OR($F105&gt;=3,$E105=5,$D105=5,$C105=5,$G105=5,$H105=5,$I105=5,$J105=5,Customers!$W105="Yes"),"Yes","No")</f>
        <v>No</v>
      </c>
      <c r="AA105" s="15" t="str">
        <f aca="false">IF($Z105="Yes","High",$Y105)</f>
        <v>Low</v>
      </c>
      <c r="AB105" s="18" t="n">
        <f aca="false">SUMPRODUCT($C105:$G105,Weights!$C$28:$G$28)</f>
        <v>1</v>
      </c>
      <c r="AC105" s="18" t="n">
        <f aca="false">SUMPRODUCT($H105:$J105,Weights!$H$28:$J$28)</f>
        <v>1</v>
      </c>
      <c r="AD105" s="18" t="n">
        <f aca="false">SUMPRODUCT($K105:$N105,Weights!$K$28:$N$28)</f>
        <v>1.6</v>
      </c>
      <c r="AE105" s="18" t="n">
        <f aca="false">SUMPRODUCT($O105:$Q105,Weights!$O$28:$Q$28)</f>
        <v>2.5</v>
      </c>
      <c r="AF105" s="18" t="n">
        <f aca="false">SUMPRODUCT($R105:$V105,Weights!$R$28:$V$28)</f>
        <v>1.3</v>
      </c>
      <c r="AH105" s="18" t="n">
        <f aca="false">SUMPRODUCT($AB105:$AF105,Validation!$D$7:$H$7)</f>
        <v>1.3600000000003</v>
      </c>
      <c r="AI105" s="18" t="n">
        <f aca="false">SUMPRODUCT($AB105:$AF105,Validation!$D$8:$H$8)</f>
        <v>1.2699999999997</v>
      </c>
      <c r="AJ105" s="18" t="n">
        <f aca="false">SUMPRODUCT($AB105:$AF105,Validation!$D$9:$H$9)</f>
        <v>1.3569999999997</v>
      </c>
      <c r="AK105" s="18" t="n">
        <f aca="false">SUMPRODUCT($AB105:$AF105,Validation!$D$10:$H$10)</f>
        <v>1.2730000000003</v>
      </c>
      <c r="AL105" s="18" t="n">
        <f aca="false">SUMPRODUCT($AB105:$AF105,Validation!$D$11:$H$11)</f>
        <v>1.279375</v>
      </c>
      <c r="AM105" s="18" t="n">
        <f aca="false">SUMPRODUCT($AB105:$AF105,Validation!$D$12:$H$12)</f>
        <v>1.350625</v>
      </c>
      <c r="AN105" s="18" t="n">
        <f aca="false">SUMPRODUCT($AB105:$AF105,Validation!$D$13:$H$13)</f>
        <v>1.1833333333333</v>
      </c>
      <c r="AO105" s="18" t="n">
        <f aca="false">SUMPRODUCT($AB105:$AF105,Validation!$D$14:$H$14)</f>
        <v>1.4466666666667</v>
      </c>
      <c r="AP105" s="18" t="n">
        <f aca="false">SUMPRODUCT($AB105:$AF105,Validation!$D$15:$H$15)</f>
        <v>1.316764705882</v>
      </c>
      <c r="AQ105" s="18" t="n">
        <f aca="false">SUMPRODUCT($AB105:$AF105,Validation!$D$16:$H$16)</f>
        <v>1.313235294118</v>
      </c>
      <c r="AR105" s="8" t="n">
        <f aca="false">COUNTIF($C105:$V105,"&gt;=4")</f>
        <v>1</v>
      </c>
      <c r="AS105" s="8" t="str">
        <f aca="false">IF($X105&lt;=1.6,"Low",IF($X105&lt;=2.2,"Medium","High"))</f>
        <v>Low</v>
      </c>
      <c r="AT105" s="8" t="str">
        <f aca="false">IF($AR105=0,"Low",IF($AR105&lt;3,"Medium","High"))</f>
        <v>Medium</v>
      </c>
      <c r="AU105" s="8" t="str">
        <f aca="false">IF(OR($AS105="High",$AT105="High"),"High",IF(OR($AS105="Medium",$AT105="Medium"),"Medium","Low"))</f>
        <v>Medium</v>
      </c>
      <c r="AV105" s="15" t="str">
        <f aca="false">IF($Z105="Yes","High",$AU105)</f>
        <v>Medium</v>
      </c>
    </row>
    <row r="106" customFormat="false" ht="15" hidden="false" customHeight="false" outlineLevel="0" collapsed="false">
      <c r="A106" s="7" t="str">
        <f aca="false">Customers!$A106</f>
        <v>NG-10087</v>
      </c>
      <c r="B106" s="7" t="str">
        <f aca="false">Customers!$B106</f>
        <v>Personal</v>
      </c>
      <c r="C106" s="8" t="n">
        <f aca="false">INDEX(Mapping!$C$2:$C$99,MATCH(C$1&amp;"|"&amp;Customers!C106,Mapping!$D$2:$D$99,0))</f>
        <v>2</v>
      </c>
      <c r="D106" s="8" t="n">
        <f aca="false">INDEX(Mapping!$C$2:$C$99,MATCH(D$1&amp;"|"&amp;Customers!D106,Mapping!$D$2:$D$99,0))</f>
        <v>1</v>
      </c>
      <c r="E106" s="8" t="n">
        <f aca="false">INDEX(Mapping!$C$2:$C$99,MATCH(E$1&amp;"|"&amp;Customers!E106,Mapping!$D$2:$D$99,0))</f>
        <v>2</v>
      </c>
      <c r="F106" s="8" t="n">
        <f aca="false">INDEX(Mapping!$C$2:$C$99,MATCH(F$1&amp;"|"&amp;Customers!F106,Mapping!$D$2:$D$99,0))</f>
        <v>1</v>
      </c>
      <c r="G106" s="8" t="n">
        <f aca="false">INDEX(Mapping!$C$2:$C$99,MATCH(G$1&amp;"|"&amp;Customers!G106,Mapping!$D$2:$D$99,0))</f>
        <v>1</v>
      </c>
      <c r="H106" s="8" t="n">
        <f aca="false">INDEX(Mapping!$C$2:$C$99,MATCH(H$1&amp;"|"&amp;Customers!H106,Mapping!$D$2:$D$99,0))</f>
        <v>1</v>
      </c>
      <c r="I106" s="8" t="n">
        <f aca="false">INDEX(Mapping!$C$2:$C$99,MATCH(I$1&amp;"|"&amp;Customers!I106,Mapping!$D$2:$D$99,0))</f>
        <v>1</v>
      </c>
      <c r="J106" s="8" t="n">
        <f aca="false">INDEX(Mapping!$C$2:$C$99,MATCH(J$1&amp;"|"&amp;Customers!J106,Mapping!$D$2:$D$99,0))</f>
        <v>1</v>
      </c>
      <c r="K106" s="8" t="n">
        <f aca="false">INDEX(Mapping!$C$2:$C$99,MATCH(K$1&amp;"|"&amp;Customers!K106,Mapping!$D$2:$D$99,0))</f>
        <v>2</v>
      </c>
      <c r="L106" s="8" t="n">
        <f aca="false">INDEX(Mapping!$C$2:$C$99,MATCH(L$1&amp;"|"&amp;Customers!L106,Mapping!$D$2:$D$99,0))</f>
        <v>2</v>
      </c>
      <c r="M106" s="8" t="n">
        <f aca="false">INDEX(Mapping!$C$2:$C$99,MATCH(M$1&amp;"|"&amp;Customers!M106,Mapping!$D$2:$D$99,0))</f>
        <v>3</v>
      </c>
      <c r="N106" s="8" t="n">
        <f aca="false">INDEX(Mapping!$C$2:$C$99,MATCH(N$1&amp;"|"&amp;Customers!N106,Mapping!$D$2:$D$99,0))</f>
        <v>1</v>
      </c>
      <c r="O106" s="8" t="n">
        <f aca="false">INDEX(Mapping!$C$2:$C$99,MATCH(O$1&amp;"|"&amp;Customers!O106,Mapping!$D$2:$D$99,0))</f>
        <v>3</v>
      </c>
      <c r="P106" s="8" t="n">
        <f aca="false">INDEX(Mapping!$C$2:$C$99,MATCH(P$1&amp;"|"&amp;Customers!P106,Mapping!$D$2:$D$99,0))</f>
        <v>3</v>
      </c>
      <c r="Q106" s="8" t="n">
        <f aca="false">INDEX(Mapping!$C$2:$C$99,MATCH(Q$1&amp;"|"&amp;Customers!Q106,Mapping!$D$2:$D$99,0))</f>
        <v>1</v>
      </c>
      <c r="R106" s="8" t="n">
        <f aca="false">INDEX(Mapping!$C$2:$C$99,MATCH(R$1&amp;"|"&amp;Customers!R106,Mapping!$D$2:$D$99,0))</f>
        <v>1</v>
      </c>
      <c r="S106" s="8" t="n">
        <f aca="false">INDEX(Mapping!$C$2:$C$99,MATCH(S$1&amp;"|"&amp;Customers!S106,Mapping!$D$2:$D$99,0))</f>
        <v>2</v>
      </c>
      <c r="T106" s="8" t="n">
        <f aca="false">INDEX(Mapping!$C$2:$C$99,MATCH(T$1&amp;"|"&amp;Customers!T106,Mapping!$D$2:$D$99,0))</f>
        <v>2</v>
      </c>
      <c r="U106" s="8" t="n">
        <f aca="false">INDEX(Mapping!$C$2:$C$99,MATCH(U$1&amp;"|"&amp;Customers!U106,Mapping!$D$2:$D$99,0))</f>
        <v>1</v>
      </c>
      <c r="V106" s="8" t="n">
        <f aca="false">INDEX(Mapping!$C$2:$C$99,MATCH(V$1&amp;"|"&amp;Customers!V106,Mapping!$D$2:$D$99,0))</f>
        <v>1</v>
      </c>
      <c r="W106" s="17" t="n">
        <f aca="false">SUMPRODUCT($C106:$V106,Weights!$C$27:$V$27)</f>
        <v>1.59</v>
      </c>
      <c r="X106" s="18" t="n">
        <f aca="false">ROUND($W106,2)</f>
        <v>1.59</v>
      </c>
      <c r="Y106" s="8" t="str">
        <f aca="false">IF($X106&lt;=2,"Low",IF($X106&lt;=3.49,"Medium","High"))</f>
        <v>Low</v>
      </c>
      <c r="Z106" s="8" t="str">
        <f aca="false">IF(OR($F106&gt;=3,$E106=5,$D106=5,$C106=5,$G106=5,$H106=5,$I106=5,$J106=5,Customers!$W106="Yes"),"Yes","No")</f>
        <v>No</v>
      </c>
      <c r="AA106" s="15" t="str">
        <f aca="false">IF($Z106="Yes","High",$Y106)</f>
        <v>Low</v>
      </c>
      <c r="AB106" s="18" t="n">
        <f aca="false">SUMPRODUCT($C106:$G106,Weights!$C$28:$G$28)</f>
        <v>1.45</v>
      </c>
      <c r="AC106" s="18" t="n">
        <f aca="false">SUMPRODUCT($H106:$J106,Weights!$H$28:$J$28)</f>
        <v>1</v>
      </c>
      <c r="AD106" s="18" t="n">
        <f aca="false">SUMPRODUCT($K106:$N106,Weights!$K$28:$N$28)</f>
        <v>2.1</v>
      </c>
      <c r="AE106" s="18" t="n">
        <f aca="false">SUMPRODUCT($O106:$Q106,Weights!$O$28:$Q$28)</f>
        <v>2.6</v>
      </c>
      <c r="AF106" s="18" t="n">
        <f aca="false">SUMPRODUCT($R106:$V106,Weights!$R$28:$V$28)</f>
        <v>1.5</v>
      </c>
      <c r="AH106" s="18" t="n">
        <f aca="false">SUMPRODUCT($AB106:$AF106,Validation!$D$7:$H$7)</f>
        <v>1.6100000000002</v>
      </c>
      <c r="AI106" s="18" t="n">
        <f aca="false">SUMPRODUCT($AB106:$AF106,Validation!$D$8:$H$8)</f>
        <v>1.5699999999998</v>
      </c>
      <c r="AJ106" s="18" t="n">
        <f aca="false">SUMPRODUCT($AB106:$AF106,Validation!$D$9:$H$9)</f>
        <v>1.6686666666665</v>
      </c>
      <c r="AK106" s="18" t="n">
        <f aca="false">SUMPRODUCT($AB106:$AF106,Validation!$D$10:$H$10)</f>
        <v>1.5113333333335</v>
      </c>
      <c r="AL106" s="18" t="n">
        <f aca="false">SUMPRODUCT($AB106:$AF106,Validation!$D$11:$H$11)</f>
        <v>1.52625</v>
      </c>
      <c r="AM106" s="18" t="n">
        <f aca="false">SUMPRODUCT($AB106:$AF106,Validation!$D$12:$H$12)</f>
        <v>1.65375</v>
      </c>
      <c r="AN106" s="18" t="n">
        <f aca="false">SUMPRODUCT($AB106:$AF106,Validation!$D$13:$H$13)</f>
        <v>1.47777777777755</v>
      </c>
      <c r="AO106" s="18" t="n">
        <f aca="false">SUMPRODUCT($AB106:$AF106,Validation!$D$14:$H$14)</f>
        <v>1.70222222222245</v>
      </c>
      <c r="AP106" s="18" t="n">
        <f aca="false">SUMPRODUCT($AB106:$AF106,Validation!$D$15:$H$15)</f>
        <v>1.60058823529385</v>
      </c>
      <c r="AQ106" s="18" t="n">
        <f aca="false">SUMPRODUCT($AB106:$AF106,Validation!$D$16:$H$16)</f>
        <v>1.57941176470615</v>
      </c>
      <c r="AR106" s="8" t="n">
        <f aca="false">COUNTIF($C106:$V106,"&gt;=4")</f>
        <v>0</v>
      </c>
      <c r="AS106" s="8" t="str">
        <f aca="false">IF($X106&lt;=1.6,"Low",IF($X106&lt;=2.2,"Medium","High"))</f>
        <v>Low</v>
      </c>
      <c r="AT106" s="8" t="str">
        <f aca="false">IF($AR106=0,"Low",IF($AR106&lt;3,"Medium","High"))</f>
        <v>Low</v>
      </c>
      <c r="AU106" s="8" t="str">
        <f aca="false">IF(OR($AS106="High",$AT106="High"),"High",IF(OR($AS106="Medium",$AT106="Medium"),"Medium","Low"))</f>
        <v>Low</v>
      </c>
      <c r="AV106" s="15" t="str">
        <f aca="false">IF($Z106="Yes","High",$AU106)</f>
        <v>Low</v>
      </c>
    </row>
    <row r="107" customFormat="false" ht="15" hidden="false" customHeight="false" outlineLevel="0" collapsed="false">
      <c r="A107" s="7" t="str">
        <f aca="false">Customers!$A107</f>
        <v>NG-10051</v>
      </c>
      <c r="B107" s="7" t="str">
        <f aca="false">Customers!$B107</f>
        <v>Personal</v>
      </c>
      <c r="C107" s="8" t="n">
        <f aca="false">INDEX(Mapping!$C$2:$C$99,MATCH(C$1&amp;"|"&amp;Customers!C107,Mapping!$D$2:$D$99,0))</f>
        <v>1</v>
      </c>
      <c r="D107" s="8" t="n">
        <f aca="false">INDEX(Mapping!$C$2:$C$99,MATCH(D$1&amp;"|"&amp;Customers!D107,Mapping!$D$2:$D$99,0))</f>
        <v>1</v>
      </c>
      <c r="E107" s="8" t="n">
        <f aca="false">INDEX(Mapping!$C$2:$C$99,MATCH(E$1&amp;"|"&amp;Customers!E107,Mapping!$D$2:$D$99,0))</f>
        <v>3</v>
      </c>
      <c r="F107" s="8" t="n">
        <f aca="false">INDEX(Mapping!$C$2:$C$99,MATCH(F$1&amp;"|"&amp;Customers!F107,Mapping!$D$2:$D$99,0))</f>
        <v>1</v>
      </c>
      <c r="G107" s="8" t="n">
        <f aca="false">INDEX(Mapping!$C$2:$C$99,MATCH(G$1&amp;"|"&amp;Customers!G107,Mapping!$D$2:$D$99,0))</f>
        <v>1</v>
      </c>
      <c r="H107" s="8" t="n">
        <f aca="false">INDEX(Mapping!$C$2:$C$99,MATCH(H$1&amp;"|"&amp;Customers!H107,Mapping!$D$2:$D$99,0))</f>
        <v>1</v>
      </c>
      <c r="I107" s="8" t="n">
        <f aca="false">INDEX(Mapping!$C$2:$C$99,MATCH(I$1&amp;"|"&amp;Customers!I107,Mapping!$D$2:$D$99,0))</f>
        <v>2</v>
      </c>
      <c r="J107" s="8" t="n">
        <f aca="false">INDEX(Mapping!$C$2:$C$99,MATCH(J$1&amp;"|"&amp;Customers!J107,Mapping!$D$2:$D$99,0))</f>
        <v>2</v>
      </c>
      <c r="K107" s="8" t="n">
        <f aca="false">INDEX(Mapping!$C$2:$C$99,MATCH(K$1&amp;"|"&amp;Customers!K107,Mapping!$D$2:$D$99,0))</f>
        <v>3</v>
      </c>
      <c r="L107" s="8" t="n">
        <f aca="false">INDEX(Mapping!$C$2:$C$99,MATCH(L$1&amp;"|"&amp;Customers!L107,Mapping!$D$2:$D$99,0))</f>
        <v>2</v>
      </c>
      <c r="M107" s="8" t="n">
        <f aca="false">INDEX(Mapping!$C$2:$C$99,MATCH(M$1&amp;"|"&amp;Customers!M107,Mapping!$D$2:$D$99,0))</f>
        <v>2</v>
      </c>
      <c r="N107" s="8" t="n">
        <f aca="false">INDEX(Mapping!$C$2:$C$99,MATCH(N$1&amp;"|"&amp;Customers!N107,Mapping!$D$2:$D$99,0))</f>
        <v>1</v>
      </c>
      <c r="O107" s="8" t="n">
        <f aca="false">INDEX(Mapping!$C$2:$C$99,MATCH(O$1&amp;"|"&amp;Customers!O107,Mapping!$D$2:$D$99,0))</f>
        <v>4</v>
      </c>
      <c r="P107" s="8" t="n">
        <f aca="false">INDEX(Mapping!$C$2:$C$99,MATCH(P$1&amp;"|"&amp;Customers!P107,Mapping!$D$2:$D$99,0))</f>
        <v>4</v>
      </c>
      <c r="Q107" s="8" t="n">
        <f aca="false">INDEX(Mapping!$C$2:$C$99,MATCH(Q$1&amp;"|"&amp;Customers!Q107,Mapping!$D$2:$D$99,0))</f>
        <v>3</v>
      </c>
      <c r="R107" s="8" t="n">
        <f aca="false">INDEX(Mapping!$C$2:$C$99,MATCH(R$1&amp;"|"&amp;Customers!R107,Mapping!$D$2:$D$99,0))</f>
        <v>2</v>
      </c>
      <c r="S107" s="8" t="n">
        <f aca="false">INDEX(Mapping!$C$2:$C$99,MATCH(S$1&amp;"|"&amp;Customers!S107,Mapping!$D$2:$D$99,0))</f>
        <v>2</v>
      </c>
      <c r="T107" s="8" t="n">
        <f aca="false">INDEX(Mapping!$C$2:$C$99,MATCH(T$1&amp;"|"&amp;Customers!T107,Mapping!$D$2:$D$99,0))</f>
        <v>2</v>
      </c>
      <c r="U107" s="8" t="n">
        <f aca="false">INDEX(Mapping!$C$2:$C$99,MATCH(U$1&amp;"|"&amp;Customers!U107,Mapping!$D$2:$D$99,0))</f>
        <v>4</v>
      </c>
      <c r="V107" s="8" t="n">
        <f aca="false">INDEX(Mapping!$C$2:$C$99,MATCH(V$1&amp;"|"&amp;Customers!V107,Mapping!$D$2:$D$99,0))</f>
        <v>1</v>
      </c>
      <c r="W107" s="17" t="n">
        <f aca="false">SUMPRODUCT($C107:$V107,Weights!$C$27:$V$27)</f>
        <v>2</v>
      </c>
      <c r="X107" s="18" t="n">
        <f aca="false">ROUND($W107,2)</f>
        <v>2</v>
      </c>
      <c r="Y107" s="8" t="str">
        <f aca="false">IF($X107&lt;=2,"Low",IF($X107&lt;=3.49,"Medium","High"))</f>
        <v>Low</v>
      </c>
      <c r="Z107" s="8" t="str">
        <f aca="false">IF(OR($F107&gt;=3,$E107=5,$D107=5,$C107=5,$G107=5,$H107=5,$I107=5,$J107=5,Customers!$W107="Yes"),"Yes","No")</f>
        <v>No</v>
      </c>
      <c r="AA107" s="15" t="str">
        <f aca="false">IF($Z107="Yes","High",$Y107)</f>
        <v>Low</v>
      </c>
      <c r="AB107" s="18" t="n">
        <f aca="false">SUMPRODUCT($C107:$G107,Weights!$C$28:$G$28)</f>
        <v>1.5</v>
      </c>
      <c r="AC107" s="18" t="n">
        <f aca="false">SUMPRODUCT($H107:$J107,Weights!$H$28:$J$28)</f>
        <v>1.6</v>
      </c>
      <c r="AD107" s="18" t="n">
        <f aca="false">SUMPRODUCT($K107:$N107,Weights!$K$28:$N$28)</f>
        <v>2.2</v>
      </c>
      <c r="AE107" s="18" t="n">
        <f aca="false">SUMPRODUCT($O107:$Q107,Weights!$O$28:$Q$28)</f>
        <v>3.8</v>
      </c>
      <c r="AF107" s="18" t="n">
        <f aca="false">SUMPRODUCT($R107:$V107,Weights!$R$28:$V$28)</f>
        <v>2.2</v>
      </c>
      <c r="AH107" s="18" t="n">
        <f aca="false">SUMPRODUCT($AB107:$AF107,Validation!$D$7:$H$7)</f>
        <v>2.0714285714292</v>
      </c>
      <c r="AI107" s="18" t="n">
        <f aca="false">SUMPRODUCT($AB107:$AF107,Validation!$D$8:$H$8)</f>
        <v>1.9285714285708</v>
      </c>
      <c r="AJ107" s="18" t="n">
        <f aca="false">SUMPRODUCT($AB107:$AF107,Validation!$D$9:$H$9)</f>
        <v>2.0533333333328</v>
      </c>
      <c r="AK107" s="18" t="n">
        <f aca="false">SUMPRODUCT($AB107:$AF107,Validation!$D$10:$H$10)</f>
        <v>1.9466666666672</v>
      </c>
      <c r="AL107" s="18" t="n">
        <f aca="false">SUMPRODUCT($AB107:$AF107,Validation!$D$11:$H$11)</f>
        <v>1.975</v>
      </c>
      <c r="AM107" s="18" t="n">
        <f aca="false">SUMPRODUCT($AB107:$AF107,Validation!$D$12:$H$12)</f>
        <v>2.025</v>
      </c>
      <c r="AN107" s="18" t="n">
        <f aca="false">SUMPRODUCT($AB107:$AF107,Validation!$D$13:$H$13)</f>
        <v>1.8000000000001</v>
      </c>
      <c r="AO107" s="18" t="n">
        <f aca="false">SUMPRODUCT($AB107:$AF107,Validation!$D$14:$H$14)</f>
        <v>2.1999999999999</v>
      </c>
      <c r="AP107" s="18" t="n">
        <f aca="false">SUMPRODUCT($AB107:$AF107,Validation!$D$15:$H$15)</f>
        <v>1.9764705882347</v>
      </c>
      <c r="AQ107" s="18" t="n">
        <f aca="false">SUMPRODUCT($AB107:$AF107,Validation!$D$16:$H$16)</f>
        <v>2.0235294117653</v>
      </c>
      <c r="AR107" s="8" t="n">
        <f aca="false">COUNTIF($C107:$V107,"&gt;=4")</f>
        <v>3</v>
      </c>
      <c r="AS107" s="8" t="str">
        <f aca="false">IF($X107&lt;=1.6,"Low",IF($X107&lt;=2.2,"Medium","High"))</f>
        <v>Medium</v>
      </c>
      <c r="AT107" s="8" t="str">
        <f aca="false">IF($AR107=0,"Low",IF($AR107&lt;3,"Medium","High"))</f>
        <v>High</v>
      </c>
      <c r="AU107" s="8" t="str">
        <f aca="false">IF(OR($AS107="High",$AT107="High"),"High",IF(OR($AS107="Medium",$AT107="Medium"),"Medium","Low"))</f>
        <v>High</v>
      </c>
      <c r="AV107" s="15" t="str">
        <f aca="false">IF($Z107="Yes","High",$AU107)</f>
        <v>High</v>
      </c>
    </row>
    <row r="108" customFormat="false" ht="15" hidden="false" customHeight="false" outlineLevel="0" collapsed="false">
      <c r="A108" s="7" t="str">
        <f aca="false">Customers!$A108</f>
        <v>NG-10359</v>
      </c>
      <c r="B108" s="7" t="str">
        <f aca="false">Customers!$B108</f>
        <v>Sole trader</v>
      </c>
      <c r="C108" s="8" t="n">
        <f aca="false">INDEX(Mapping!$C$2:$C$99,MATCH(C$1&amp;"|"&amp;Customers!C108,Mapping!$D$2:$D$99,0))</f>
        <v>2</v>
      </c>
      <c r="D108" s="8" t="n">
        <f aca="false">INDEX(Mapping!$C$2:$C$99,MATCH(D$1&amp;"|"&amp;Customers!D108,Mapping!$D$2:$D$99,0))</f>
        <v>1</v>
      </c>
      <c r="E108" s="8" t="n">
        <f aca="false">INDEX(Mapping!$C$2:$C$99,MATCH(E$1&amp;"|"&amp;Customers!E108,Mapping!$D$2:$D$99,0))</f>
        <v>4</v>
      </c>
      <c r="F108" s="8" t="n">
        <f aca="false">INDEX(Mapping!$C$2:$C$99,MATCH(F$1&amp;"|"&amp;Customers!F108,Mapping!$D$2:$D$99,0))</f>
        <v>1</v>
      </c>
      <c r="G108" s="8" t="n">
        <f aca="false">INDEX(Mapping!$C$2:$C$99,MATCH(G$1&amp;"|"&amp;Customers!G108,Mapping!$D$2:$D$99,0))</f>
        <v>1</v>
      </c>
      <c r="H108" s="8" t="n">
        <f aca="false">INDEX(Mapping!$C$2:$C$99,MATCH(H$1&amp;"|"&amp;Customers!H108,Mapping!$D$2:$D$99,0))</f>
        <v>1</v>
      </c>
      <c r="I108" s="8" t="n">
        <f aca="false">INDEX(Mapping!$C$2:$C$99,MATCH(I$1&amp;"|"&amp;Customers!I108,Mapping!$D$2:$D$99,0))</f>
        <v>1</v>
      </c>
      <c r="J108" s="8" t="n">
        <f aca="false">INDEX(Mapping!$C$2:$C$99,MATCH(J$1&amp;"|"&amp;Customers!J108,Mapping!$D$2:$D$99,0))</f>
        <v>1</v>
      </c>
      <c r="K108" s="8" t="n">
        <f aca="false">INDEX(Mapping!$C$2:$C$99,MATCH(K$1&amp;"|"&amp;Customers!K108,Mapping!$D$2:$D$99,0))</f>
        <v>4</v>
      </c>
      <c r="L108" s="8" t="n">
        <f aca="false">INDEX(Mapping!$C$2:$C$99,MATCH(L$1&amp;"|"&amp;Customers!L108,Mapping!$D$2:$D$99,0))</f>
        <v>4</v>
      </c>
      <c r="M108" s="8" t="n">
        <f aca="false">INDEX(Mapping!$C$2:$C$99,MATCH(M$1&amp;"|"&amp;Customers!M108,Mapping!$D$2:$D$99,0))</f>
        <v>1</v>
      </c>
      <c r="N108" s="8" t="n">
        <f aca="false">INDEX(Mapping!$C$2:$C$99,MATCH(N$1&amp;"|"&amp;Customers!N108,Mapping!$D$2:$D$99,0))</f>
        <v>1</v>
      </c>
      <c r="O108" s="8" t="n">
        <f aca="false">INDEX(Mapping!$C$2:$C$99,MATCH(O$1&amp;"|"&amp;Customers!O108,Mapping!$D$2:$D$99,0))</f>
        <v>3</v>
      </c>
      <c r="P108" s="8" t="n">
        <f aca="false">INDEX(Mapping!$C$2:$C$99,MATCH(P$1&amp;"|"&amp;Customers!P108,Mapping!$D$2:$D$99,0))</f>
        <v>3</v>
      </c>
      <c r="Q108" s="8" t="n">
        <f aca="false">INDEX(Mapping!$C$2:$C$99,MATCH(Q$1&amp;"|"&amp;Customers!Q108,Mapping!$D$2:$D$99,0))</f>
        <v>1</v>
      </c>
      <c r="R108" s="8" t="n">
        <f aca="false">INDEX(Mapping!$C$2:$C$99,MATCH(R$1&amp;"|"&amp;Customers!R108,Mapping!$D$2:$D$99,0))</f>
        <v>2</v>
      </c>
      <c r="S108" s="8" t="n">
        <f aca="false">INDEX(Mapping!$C$2:$C$99,MATCH(S$1&amp;"|"&amp;Customers!S108,Mapping!$D$2:$D$99,0))</f>
        <v>2</v>
      </c>
      <c r="T108" s="8" t="n">
        <f aca="false">INDEX(Mapping!$C$2:$C$99,MATCH(T$1&amp;"|"&amp;Customers!T108,Mapping!$D$2:$D$99,0))</f>
        <v>1</v>
      </c>
      <c r="U108" s="8" t="n">
        <f aca="false">INDEX(Mapping!$C$2:$C$99,MATCH(U$1&amp;"|"&amp;Customers!U108,Mapping!$D$2:$D$99,0))</f>
        <v>2</v>
      </c>
      <c r="V108" s="8" t="n">
        <f aca="false">INDEX(Mapping!$C$2:$C$99,MATCH(V$1&amp;"|"&amp;Customers!V108,Mapping!$D$2:$D$99,0))</f>
        <v>2</v>
      </c>
      <c r="W108" s="17" t="n">
        <f aca="false">SUMPRODUCT($C108:$V108,Weights!$C$27:$V$27)</f>
        <v>1.925</v>
      </c>
      <c r="X108" s="18" t="n">
        <f aca="false">ROUND($W108,2)</f>
        <v>1.93</v>
      </c>
      <c r="Y108" s="8" t="str">
        <f aca="false">IF($X108&lt;=2,"Low",IF($X108&lt;=3.49,"Medium","High"))</f>
        <v>Low</v>
      </c>
      <c r="Z108" s="8" t="str">
        <f aca="false">IF(OR($F108&gt;=3,$E108=5,$D108=5,$C108=5,$G108=5,$H108=5,$I108=5,$J108=5,Customers!$W108="Yes"),"Yes","No")</f>
        <v>No</v>
      </c>
      <c r="AA108" s="15" t="str">
        <f aca="false">IF($Z108="Yes","High",$Y108)</f>
        <v>Low</v>
      </c>
      <c r="AB108" s="18" t="n">
        <f aca="false">SUMPRODUCT($C108:$G108,Weights!$C$28:$G$28)</f>
        <v>1.95</v>
      </c>
      <c r="AC108" s="18" t="n">
        <f aca="false">SUMPRODUCT($H108:$J108,Weights!$H$28:$J$28)</f>
        <v>1</v>
      </c>
      <c r="AD108" s="18" t="n">
        <f aca="false">SUMPRODUCT($K108:$N108,Weights!$K$28:$N$28)</f>
        <v>2.8</v>
      </c>
      <c r="AE108" s="18" t="n">
        <f aca="false">SUMPRODUCT($O108:$Q108,Weights!$O$28:$Q$28)</f>
        <v>2.6</v>
      </c>
      <c r="AF108" s="18" t="n">
        <f aca="false">SUMPRODUCT($R108:$V108,Weights!$R$28:$V$28)</f>
        <v>1.8</v>
      </c>
      <c r="AH108" s="18" t="n">
        <f aca="false">SUMPRODUCT($AB108:$AF108,Validation!$D$7:$H$7)</f>
        <v>1.9214285714286</v>
      </c>
      <c r="AI108" s="18" t="n">
        <f aca="false">SUMPRODUCT($AB108:$AF108,Validation!$D$8:$H$8)</f>
        <v>1.9285714285714</v>
      </c>
      <c r="AJ108" s="18" t="n">
        <f aca="false">SUMPRODUCT($AB108:$AF108,Validation!$D$9:$H$9)</f>
        <v>2.0483333333334</v>
      </c>
      <c r="AK108" s="18" t="n">
        <f aca="false">SUMPRODUCT($AB108:$AF108,Validation!$D$10:$H$10)</f>
        <v>1.8016666666666</v>
      </c>
      <c r="AL108" s="18" t="n">
        <f aca="false">SUMPRODUCT($AB108:$AF108,Validation!$D$11:$H$11)</f>
        <v>1.815625</v>
      </c>
      <c r="AM108" s="18" t="n">
        <f aca="false">SUMPRODUCT($AB108:$AF108,Validation!$D$12:$H$12)</f>
        <v>2.034375</v>
      </c>
      <c r="AN108" s="18" t="n">
        <f aca="false">SUMPRODUCT($AB108:$AF108,Validation!$D$13:$H$13)</f>
        <v>1.84999999999955</v>
      </c>
      <c r="AO108" s="18" t="n">
        <f aca="false">SUMPRODUCT($AB108:$AF108,Validation!$D$14:$H$14)</f>
        <v>2.00000000000045</v>
      </c>
      <c r="AP108" s="18" t="n">
        <f aca="false">SUMPRODUCT($AB108:$AF108,Validation!$D$15:$H$15)</f>
        <v>1.93970588235285</v>
      </c>
      <c r="AQ108" s="18" t="n">
        <f aca="false">SUMPRODUCT($AB108:$AF108,Validation!$D$16:$H$16)</f>
        <v>1.91029411764715</v>
      </c>
      <c r="AR108" s="8" t="n">
        <f aca="false">COUNTIF($C108:$V108,"&gt;=4")</f>
        <v>3</v>
      </c>
      <c r="AS108" s="8" t="str">
        <f aca="false">IF($X108&lt;=1.6,"Low",IF($X108&lt;=2.2,"Medium","High"))</f>
        <v>Medium</v>
      </c>
      <c r="AT108" s="8" t="str">
        <f aca="false">IF($AR108=0,"Low",IF($AR108&lt;3,"Medium","High"))</f>
        <v>High</v>
      </c>
      <c r="AU108" s="8" t="str">
        <f aca="false">IF(OR($AS108="High",$AT108="High"),"High",IF(OR($AS108="Medium",$AT108="Medium"),"Medium","Low"))</f>
        <v>High</v>
      </c>
      <c r="AV108" s="15" t="str">
        <f aca="false">IF($Z108="Yes","High",$AU108)</f>
        <v>High</v>
      </c>
    </row>
    <row r="109" customFormat="false" ht="15" hidden="false" customHeight="false" outlineLevel="0" collapsed="false">
      <c r="A109" s="7" t="str">
        <f aca="false">Customers!$A109</f>
        <v>NG-10349</v>
      </c>
      <c r="B109" s="7" t="str">
        <f aca="false">Customers!$B109</f>
        <v>Sole trader</v>
      </c>
      <c r="C109" s="8" t="n">
        <f aca="false">INDEX(Mapping!$C$2:$C$99,MATCH(C$1&amp;"|"&amp;Customers!C109,Mapping!$D$2:$D$99,0))</f>
        <v>2</v>
      </c>
      <c r="D109" s="8" t="n">
        <f aca="false">INDEX(Mapping!$C$2:$C$99,MATCH(D$1&amp;"|"&amp;Customers!D109,Mapping!$D$2:$D$99,0))</f>
        <v>1</v>
      </c>
      <c r="E109" s="8" t="n">
        <f aca="false">INDEX(Mapping!$C$2:$C$99,MATCH(E$1&amp;"|"&amp;Customers!E109,Mapping!$D$2:$D$99,0))</f>
        <v>4</v>
      </c>
      <c r="F109" s="8" t="n">
        <f aca="false">INDEX(Mapping!$C$2:$C$99,MATCH(F$1&amp;"|"&amp;Customers!F109,Mapping!$D$2:$D$99,0))</f>
        <v>1</v>
      </c>
      <c r="G109" s="8" t="n">
        <f aca="false">INDEX(Mapping!$C$2:$C$99,MATCH(G$1&amp;"|"&amp;Customers!G109,Mapping!$D$2:$D$99,0))</f>
        <v>1</v>
      </c>
      <c r="H109" s="8" t="n">
        <f aca="false">INDEX(Mapping!$C$2:$C$99,MATCH(H$1&amp;"|"&amp;Customers!H109,Mapping!$D$2:$D$99,0))</f>
        <v>1</v>
      </c>
      <c r="I109" s="8" t="n">
        <f aca="false">INDEX(Mapping!$C$2:$C$99,MATCH(I$1&amp;"|"&amp;Customers!I109,Mapping!$D$2:$D$99,0))</f>
        <v>1</v>
      </c>
      <c r="J109" s="8" t="n">
        <f aca="false">INDEX(Mapping!$C$2:$C$99,MATCH(J$1&amp;"|"&amp;Customers!J109,Mapping!$D$2:$D$99,0))</f>
        <v>1</v>
      </c>
      <c r="K109" s="8" t="n">
        <f aca="false">INDEX(Mapping!$C$2:$C$99,MATCH(K$1&amp;"|"&amp;Customers!K109,Mapping!$D$2:$D$99,0))</f>
        <v>5</v>
      </c>
      <c r="L109" s="8" t="n">
        <f aca="false">INDEX(Mapping!$C$2:$C$99,MATCH(L$1&amp;"|"&amp;Customers!L109,Mapping!$D$2:$D$99,0))</f>
        <v>3</v>
      </c>
      <c r="M109" s="8" t="n">
        <f aca="false">INDEX(Mapping!$C$2:$C$99,MATCH(M$1&amp;"|"&amp;Customers!M109,Mapping!$D$2:$D$99,0))</f>
        <v>4</v>
      </c>
      <c r="N109" s="8" t="n">
        <f aca="false">INDEX(Mapping!$C$2:$C$99,MATCH(N$1&amp;"|"&amp;Customers!N109,Mapping!$D$2:$D$99,0))</f>
        <v>1</v>
      </c>
      <c r="O109" s="8" t="n">
        <f aca="false">INDEX(Mapping!$C$2:$C$99,MATCH(O$1&amp;"|"&amp;Customers!O109,Mapping!$D$2:$D$99,0))</f>
        <v>3</v>
      </c>
      <c r="P109" s="8" t="n">
        <f aca="false">INDEX(Mapping!$C$2:$C$99,MATCH(P$1&amp;"|"&amp;Customers!P109,Mapping!$D$2:$D$99,0))</f>
        <v>2</v>
      </c>
      <c r="Q109" s="8" t="n">
        <f aca="false">INDEX(Mapping!$C$2:$C$99,MATCH(Q$1&amp;"|"&amp;Customers!Q109,Mapping!$D$2:$D$99,0))</f>
        <v>1</v>
      </c>
      <c r="R109" s="8" t="n">
        <f aca="false">INDEX(Mapping!$C$2:$C$99,MATCH(R$1&amp;"|"&amp;Customers!R109,Mapping!$D$2:$D$99,0))</f>
        <v>2</v>
      </c>
      <c r="S109" s="8" t="n">
        <f aca="false">INDEX(Mapping!$C$2:$C$99,MATCH(S$1&amp;"|"&amp;Customers!S109,Mapping!$D$2:$D$99,0))</f>
        <v>4</v>
      </c>
      <c r="T109" s="8" t="n">
        <f aca="false">INDEX(Mapping!$C$2:$C$99,MATCH(T$1&amp;"|"&amp;Customers!T109,Mapping!$D$2:$D$99,0))</f>
        <v>1</v>
      </c>
      <c r="U109" s="8" t="n">
        <f aca="false">INDEX(Mapping!$C$2:$C$99,MATCH(U$1&amp;"|"&amp;Customers!U109,Mapping!$D$2:$D$99,0))</f>
        <v>3</v>
      </c>
      <c r="V109" s="8" t="n">
        <f aca="false">INDEX(Mapping!$C$2:$C$99,MATCH(V$1&amp;"|"&amp;Customers!V109,Mapping!$D$2:$D$99,0))</f>
        <v>1</v>
      </c>
      <c r="W109" s="17" t="n">
        <f aca="false">SUMPRODUCT($C109:$V109,Weights!$C$27:$V$27)</f>
        <v>2.1575</v>
      </c>
      <c r="X109" s="18" t="n">
        <f aca="false">ROUND($W109,2)</f>
        <v>2.16</v>
      </c>
      <c r="Y109" s="8" t="str">
        <f aca="false">IF($X109&lt;=2,"Low",IF($X109&lt;=3.49,"Medium","High"))</f>
        <v>Medium</v>
      </c>
      <c r="Z109" s="8" t="str">
        <f aca="false">IF(OR($F109&gt;=3,$E109=5,$D109=5,$C109=5,$G109=5,$H109=5,$I109=5,$J109=5,Customers!$W109="Yes"),"Yes","No")</f>
        <v>No</v>
      </c>
      <c r="AA109" s="15" t="str">
        <f aca="false">IF($Z109="Yes","High",$Y109)</f>
        <v>Medium</v>
      </c>
      <c r="AB109" s="18" t="n">
        <f aca="false">SUMPRODUCT($C109:$G109,Weights!$C$28:$G$28)</f>
        <v>1.95</v>
      </c>
      <c r="AC109" s="18" t="n">
        <f aca="false">SUMPRODUCT($H109:$J109,Weights!$H$28:$J$28)</f>
        <v>1</v>
      </c>
      <c r="AD109" s="18" t="n">
        <f aca="false">SUMPRODUCT($K109:$N109,Weights!$K$28:$N$28)</f>
        <v>3.65</v>
      </c>
      <c r="AE109" s="18" t="n">
        <f aca="false">SUMPRODUCT($O109:$Q109,Weights!$O$28:$Q$28)</f>
        <v>2.25</v>
      </c>
      <c r="AF109" s="18" t="n">
        <f aca="false">SUMPRODUCT($R109:$V109,Weights!$R$28:$V$28)</f>
        <v>2.45</v>
      </c>
      <c r="AH109" s="18" t="n">
        <f aca="false">SUMPRODUCT($AB109:$AF109,Validation!$D$7:$H$7)</f>
        <v>2.1871428571427</v>
      </c>
      <c r="AI109" s="18" t="n">
        <f aca="false">SUMPRODUCT($AB109:$AF109,Validation!$D$8:$H$8)</f>
        <v>2.1278571428573</v>
      </c>
      <c r="AJ109" s="18" t="n">
        <f aca="false">SUMPRODUCT($AB109:$AF109,Validation!$D$9:$H$9)</f>
        <v>2.3118333333338</v>
      </c>
      <c r="AK109" s="18" t="n">
        <f aca="false">SUMPRODUCT($AB109:$AF109,Validation!$D$10:$H$10)</f>
        <v>2.0031666666662</v>
      </c>
      <c r="AL109" s="18" t="n">
        <f aca="false">SUMPRODUCT($AB109:$AF109,Validation!$D$11:$H$11)</f>
        <v>1.9709375</v>
      </c>
      <c r="AM109" s="18" t="n">
        <f aca="false">SUMPRODUCT($AB109:$AF109,Validation!$D$12:$H$12)</f>
        <v>2.3440625</v>
      </c>
      <c r="AN109" s="18" t="n">
        <f aca="false">SUMPRODUCT($AB109:$AF109,Validation!$D$13:$H$13)</f>
        <v>2.1472222222218</v>
      </c>
      <c r="AO109" s="18" t="n">
        <f aca="false">SUMPRODUCT($AB109:$AF109,Validation!$D$14:$H$14)</f>
        <v>2.1677777777782</v>
      </c>
      <c r="AP109" s="18" t="n">
        <f aca="false">SUMPRODUCT($AB109:$AF109,Validation!$D$15:$H$15)</f>
        <v>2.1230882352944</v>
      </c>
      <c r="AQ109" s="18" t="n">
        <f aca="false">SUMPRODUCT($AB109:$AF109,Validation!$D$16:$H$16)</f>
        <v>2.1919117647056</v>
      </c>
      <c r="AR109" s="8" t="n">
        <f aca="false">COUNTIF($C109:$V109,"&gt;=4")</f>
        <v>4</v>
      </c>
      <c r="AS109" s="8" t="str">
        <f aca="false">IF($X109&lt;=1.6,"Low",IF($X109&lt;=2.2,"Medium","High"))</f>
        <v>Medium</v>
      </c>
      <c r="AT109" s="8" t="str">
        <f aca="false">IF($AR109=0,"Low",IF($AR109&lt;3,"Medium","High"))</f>
        <v>High</v>
      </c>
      <c r="AU109" s="8" t="str">
        <f aca="false">IF(OR($AS109="High",$AT109="High"),"High",IF(OR($AS109="Medium",$AT109="Medium"),"Medium","Low"))</f>
        <v>High</v>
      </c>
      <c r="AV109" s="15" t="str">
        <f aca="false">IF($Z109="Yes","High",$AU109)</f>
        <v>High</v>
      </c>
    </row>
    <row r="110" customFormat="false" ht="15" hidden="false" customHeight="false" outlineLevel="0" collapsed="false">
      <c r="A110" s="7" t="str">
        <f aca="false">Customers!$A110</f>
        <v>NG-10374</v>
      </c>
      <c r="B110" s="7" t="str">
        <f aca="false">Customers!$B110</f>
        <v>Limited company</v>
      </c>
      <c r="C110" s="8" t="n">
        <f aca="false">INDEX(Mapping!$C$2:$C$99,MATCH(C$1&amp;"|"&amp;Customers!C110,Mapping!$D$2:$D$99,0))</f>
        <v>4</v>
      </c>
      <c r="D110" s="8" t="n">
        <f aca="false">INDEX(Mapping!$C$2:$C$99,MATCH(D$1&amp;"|"&amp;Customers!D110,Mapping!$D$2:$D$99,0))</f>
        <v>4</v>
      </c>
      <c r="E110" s="8" t="n">
        <f aca="false">INDEX(Mapping!$C$2:$C$99,MATCH(E$1&amp;"|"&amp;Customers!E110,Mapping!$D$2:$D$99,0))</f>
        <v>3</v>
      </c>
      <c r="F110" s="8" t="n">
        <f aca="false">INDEX(Mapping!$C$2:$C$99,MATCH(F$1&amp;"|"&amp;Customers!F110,Mapping!$D$2:$D$99,0))</f>
        <v>1</v>
      </c>
      <c r="G110" s="8" t="n">
        <f aca="false">INDEX(Mapping!$C$2:$C$99,MATCH(G$1&amp;"|"&amp;Customers!G110,Mapping!$D$2:$D$99,0))</f>
        <v>1</v>
      </c>
      <c r="H110" s="8" t="n">
        <f aca="false">INDEX(Mapping!$C$2:$C$99,MATCH(H$1&amp;"|"&amp;Customers!H110,Mapping!$D$2:$D$99,0))</f>
        <v>1</v>
      </c>
      <c r="I110" s="8" t="n">
        <f aca="false">INDEX(Mapping!$C$2:$C$99,MATCH(I$1&amp;"|"&amp;Customers!I110,Mapping!$D$2:$D$99,0))</f>
        <v>1</v>
      </c>
      <c r="J110" s="8" t="n">
        <f aca="false">INDEX(Mapping!$C$2:$C$99,MATCH(J$1&amp;"|"&amp;Customers!J110,Mapping!$D$2:$D$99,0))</f>
        <v>3</v>
      </c>
      <c r="K110" s="8" t="n">
        <f aca="false">INDEX(Mapping!$C$2:$C$99,MATCH(K$1&amp;"|"&amp;Customers!K110,Mapping!$D$2:$D$99,0))</f>
        <v>4</v>
      </c>
      <c r="L110" s="8" t="n">
        <f aca="false">INDEX(Mapping!$C$2:$C$99,MATCH(L$1&amp;"|"&amp;Customers!L110,Mapping!$D$2:$D$99,0))</f>
        <v>3</v>
      </c>
      <c r="M110" s="8" t="n">
        <f aca="false">INDEX(Mapping!$C$2:$C$99,MATCH(M$1&amp;"|"&amp;Customers!M110,Mapping!$D$2:$D$99,0))</f>
        <v>3</v>
      </c>
      <c r="N110" s="8" t="n">
        <f aca="false">INDEX(Mapping!$C$2:$C$99,MATCH(N$1&amp;"|"&amp;Customers!N110,Mapping!$D$2:$D$99,0))</f>
        <v>4</v>
      </c>
      <c r="O110" s="8" t="n">
        <f aca="false">INDEX(Mapping!$C$2:$C$99,MATCH(O$1&amp;"|"&amp;Customers!O110,Mapping!$D$2:$D$99,0))</f>
        <v>1</v>
      </c>
      <c r="P110" s="8" t="n">
        <f aca="false">INDEX(Mapping!$C$2:$C$99,MATCH(P$1&amp;"|"&amp;Customers!P110,Mapping!$D$2:$D$99,0))</f>
        <v>3</v>
      </c>
      <c r="Q110" s="8" t="n">
        <f aca="false">INDEX(Mapping!$C$2:$C$99,MATCH(Q$1&amp;"|"&amp;Customers!Q110,Mapping!$D$2:$D$99,0))</f>
        <v>1</v>
      </c>
      <c r="R110" s="8" t="n">
        <f aca="false">INDEX(Mapping!$C$2:$C$99,MATCH(R$1&amp;"|"&amp;Customers!R110,Mapping!$D$2:$D$99,0))</f>
        <v>4</v>
      </c>
      <c r="S110" s="8" t="n">
        <f aca="false">INDEX(Mapping!$C$2:$C$99,MATCH(S$1&amp;"|"&amp;Customers!S110,Mapping!$D$2:$D$99,0))</f>
        <v>3</v>
      </c>
      <c r="T110" s="8" t="n">
        <f aca="false">INDEX(Mapping!$C$2:$C$99,MATCH(T$1&amp;"|"&amp;Customers!T110,Mapping!$D$2:$D$99,0))</f>
        <v>2</v>
      </c>
      <c r="U110" s="8" t="n">
        <f aca="false">INDEX(Mapping!$C$2:$C$99,MATCH(U$1&amp;"|"&amp;Customers!U110,Mapping!$D$2:$D$99,0))</f>
        <v>3</v>
      </c>
      <c r="V110" s="8" t="n">
        <f aca="false">INDEX(Mapping!$C$2:$C$99,MATCH(V$1&amp;"|"&amp;Customers!V110,Mapping!$D$2:$D$99,0))</f>
        <v>1</v>
      </c>
      <c r="W110" s="17" t="n">
        <f aca="false">SUMPRODUCT($C110:$V110,Weights!$C$27:$V$27)</f>
        <v>2.5575</v>
      </c>
      <c r="X110" s="18" t="n">
        <f aca="false">ROUND($W110,2)</f>
        <v>2.56</v>
      </c>
      <c r="Y110" s="8" t="str">
        <f aca="false">IF($X110&lt;=2,"Low",IF($X110&lt;=3.49,"Medium","High"))</f>
        <v>Medium</v>
      </c>
      <c r="Z110" s="8" t="str">
        <f aca="false">IF(OR($F110&gt;=3,$E110=5,$D110=5,$C110=5,$G110=5,$H110=5,$I110=5,$J110=5,Customers!$W110="Yes"),"Yes","No")</f>
        <v>No</v>
      </c>
      <c r="AA110" s="15" t="str">
        <f aca="false">IF($Z110="Yes","High",$Y110)</f>
        <v>Medium</v>
      </c>
      <c r="AB110" s="18" t="n">
        <f aca="false">SUMPRODUCT($C110:$G110,Weights!$C$28:$G$28)</f>
        <v>2.7</v>
      </c>
      <c r="AC110" s="18" t="n">
        <f aca="false">SUMPRODUCT($H110:$J110,Weights!$H$28:$J$28)</f>
        <v>1.8</v>
      </c>
      <c r="AD110" s="18" t="n">
        <f aca="false">SUMPRODUCT($K110:$N110,Weights!$K$28:$N$28)</f>
        <v>3.5</v>
      </c>
      <c r="AE110" s="18" t="n">
        <f aca="false">SUMPRODUCT($O110:$Q110,Weights!$O$28:$Q$28)</f>
        <v>1.7</v>
      </c>
      <c r="AF110" s="18" t="n">
        <f aca="false">SUMPRODUCT($R110:$V110,Weights!$R$28:$V$28)</f>
        <v>2.85</v>
      </c>
      <c r="AH110" s="18" t="n">
        <f aca="false">SUMPRODUCT($AB110:$AF110,Validation!$D$7:$H$7)</f>
        <v>2.53714285714255</v>
      </c>
      <c r="AI110" s="18" t="n">
        <f aca="false">SUMPRODUCT($AB110:$AF110,Validation!$D$8:$H$8)</f>
        <v>2.57785714285745</v>
      </c>
      <c r="AJ110" s="18" t="n">
        <f aca="false">SUMPRODUCT($AB110:$AF110,Validation!$D$9:$H$9)</f>
        <v>2.6585000000006</v>
      </c>
      <c r="AK110" s="18" t="n">
        <f aca="false">SUMPRODUCT($AB110:$AF110,Validation!$D$10:$H$10)</f>
        <v>2.4564999999994</v>
      </c>
      <c r="AL110" s="18" t="n">
        <f aca="false">SUMPRODUCT($AB110:$AF110,Validation!$D$11:$H$11)</f>
        <v>2.4396875</v>
      </c>
      <c r="AM110" s="18" t="n">
        <f aca="false">SUMPRODUCT($AB110:$AF110,Validation!$D$12:$H$12)</f>
        <v>2.6753125</v>
      </c>
      <c r="AN110" s="18" t="n">
        <f aca="false">SUMPRODUCT($AB110:$AF110,Validation!$D$13:$H$13)</f>
        <v>2.65277777777745</v>
      </c>
      <c r="AO110" s="18" t="n">
        <f aca="false">SUMPRODUCT($AB110:$AF110,Validation!$D$14:$H$14)</f>
        <v>2.46222222222255</v>
      </c>
      <c r="AP110" s="18" t="n">
        <f aca="false">SUMPRODUCT($AB110:$AF110,Validation!$D$15:$H$15)</f>
        <v>2.5230882352946</v>
      </c>
      <c r="AQ110" s="18" t="n">
        <f aca="false">SUMPRODUCT($AB110:$AF110,Validation!$D$16:$H$16)</f>
        <v>2.5919117647054</v>
      </c>
      <c r="AR110" s="8" t="n">
        <f aca="false">COUNTIF($C110:$V110,"&gt;=4")</f>
        <v>5</v>
      </c>
      <c r="AS110" s="8" t="str">
        <f aca="false">IF($X110&lt;=1.6,"Low",IF($X110&lt;=2.2,"Medium","High"))</f>
        <v>High</v>
      </c>
      <c r="AT110" s="8" t="str">
        <f aca="false">IF($AR110=0,"Low",IF($AR110&lt;3,"Medium","High"))</f>
        <v>High</v>
      </c>
      <c r="AU110" s="8" t="str">
        <f aca="false">IF(OR($AS110="High",$AT110="High"),"High",IF(OR($AS110="Medium",$AT110="Medium"),"Medium","Low"))</f>
        <v>High</v>
      </c>
      <c r="AV110" s="15" t="str">
        <f aca="false">IF($Z110="Yes","High",$AU110)</f>
        <v>High</v>
      </c>
    </row>
    <row r="111" customFormat="false" ht="15" hidden="false" customHeight="false" outlineLevel="0" collapsed="false">
      <c r="A111" s="7" t="str">
        <f aca="false">Customers!$A111</f>
        <v>NG-10283</v>
      </c>
      <c r="B111" s="7" t="str">
        <f aca="false">Customers!$B111</f>
        <v>Personal</v>
      </c>
      <c r="C111" s="8" t="n">
        <f aca="false">INDEX(Mapping!$C$2:$C$99,MATCH(C$1&amp;"|"&amp;Customers!C111,Mapping!$D$2:$D$99,0))</f>
        <v>2</v>
      </c>
      <c r="D111" s="8" t="n">
        <f aca="false">INDEX(Mapping!$C$2:$C$99,MATCH(D$1&amp;"|"&amp;Customers!D111,Mapping!$D$2:$D$99,0))</f>
        <v>1</v>
      </c>
      <c r="E111" s="8" t="n">
        <f aca="false">INDEX(Mapping!$C$2:$C$99,MATCH(E$1&amp;"|"&amp;Customers!E111,Mapping!$D$2:$D$99,0))</f>
        <v>3</v>
      </c>
      <c r="F111" s="8" t="n">
        <f aca="false">INDEX(Mapping!$C$2:$C$99,MATCH(F$1&amp;"|"&amp;Customers!F111,Mapping!$D$2:$D$99,0))</f>
        <v>1</v>
      </c>
      <c r="G111" s="8" t="n">
        <f aca="false">INDEX(Mapping!$C$2:$C$99,MATCH(G$1&amp;"|"&amp;Customers!G111,Mapping!$D$2:$D$99,0))</f>
        <v>1</v>
      </c>
      <c r="H111" s="8" t="n">
        <f aca="false">INDEX(Mapping!$C$2:$C$99,MATCH(H$1&amp;"|"&amp;Customers!H111,Mapping!$D$2:$D$99,0))</f>
        <v>1</v>
      </c>
      <c r="I111" s="8" t="n">
        <f aca="false">INDEX(Mapping!$C$2:$C$99,MATCH(I$1&amp;"|"&amp;Customers!I111,Mapping!$D$2:$D$99,0))</f>
        <v>1</v>
      </c>
      <c r="J111" s="8" t="n">
        <f aca="false">INDEX(Mapping!$C$2:$C$99,MATCH(J$1&amp;"|"&amp;Customers!J111,Mapping!$D$2:$D$99,0))</f>
        <v>1</v>
      </c>
      <c r="K111" s="8" t="n">
        <f aca="false">INDEX(Mapping!$C$2:$C$99,MATCH(K$1&amp;"|"&amp;Customers!K111,Mapping!$D$2:$D$99,0))</f>
        <v>2</v>
      </c>
      <c r="L111" s="8" t="n">
        <f aca="false">INDEX(Mapping!$C$2:$C$99,MATCH(L$1&amp;"|"&amp;Customers!L111,Mapping!$D$2:$D$99,0))</f>
        <v>2</v>
      </c>
      <c r="M111" s="8" t="n">
        <f aca="false">INDEX(Mapping!$C$2:$C$99,MATCH(M$1&amp;"|"&amp;Customers!M111,Mapping!$D$2:$D$99,0))</f>
        <v>2</v>
      </c>
      <c r="N111" s="8" t="n">
        <f aca="false">INDEX(Mapping!$C$2:$C$99,MATCH(N$1&amp;"|"&amp;Customers!N111,Mapping!$D$2:$D$99,0))</f>
        <v>2</v>
      </c>
      <c r="O111" s="8" t="n">
        <f aca="false">INDEX(Mapping!$C$2:$C$99,MATCH(O$1&amp;"|"&amp;Customers!O111,Mapping!$D$2:$D$99,0))</f>
        <v>3</v>
      </c>
      <c r="P111" s="8" t="n">
        <f aca="false">INDEX(Mapping!$C$2:$C$99,MATCH(P$1&amp;"|"&amp;Customers!P111,Mapping!$D$2:$D$99,0))</f>
        <v>3</v>
      </c>
      <c r="Q111" s="8" t="n">
        <f aca="false">INDEX(Mapping!$C$2:$C$99,MATCH(Q$1&amp;"|"&amp;Customers!Q111,Mapping!$D$2:$D$99,0))</f>
        <v>1</v>
      </c>
      <c r="R111" s="8" t="n">
        <f aca="false">INDEX(Mapping!$C$2:$C$99,MATCH(R$1&amp;"|"&amp;Customers!R111,Mapping!$D$2:$D$99,0))</f>
        <v>1</v>
      </c>
      <c r="S111" s="8" t="n">
        <f aca="false">INDEX(Mapping!$C$2:$C$99,MATCH(S$1&amp;"|"&amp;Customers!S111,Mapping!$D$2:$D$99,0))</f>
        <v>1</v>
      </c>
      <c r="T111" s="8" t="n">
        <f aca="false">INDEX(Mapping!$C$2:$C$99,MATCH(T$1&amp;"|"&amp;Customers!T111,Mapping!$D$2:$D$99,0))</f>
        <v>1</v>
      </c>
      <c r="U111" s="8" t="n">
        <f aca="false">INDEX(Mapping!$C$2:$C$99,MATCH(U$1&amp;"|"&amp;Customers!U111,Mapping!$D$2:$D$99,0))</f>
        <v>1</v>
      </c>
      <c r="V111" s="8" t="n">
        <f aca="false">INDEX(Mapping!$C$2:$C$99,MATCH(V$1&amp;"|"&amp;Customers!V111,Mapping!$D$2:$D$99,0))</f>
        <v>1</v>
      </c>
      <c r="W111" s="17" t="n">
        <f aca="false">SUMPRODUCT($C111:$V111,Weights!$C$27:$V$27)</f>
        <v>1.57</v>
      </c>
      <c r="X111" s="18" t="n">
        <f aca="false">ROUND($W111,2)</f>
        <v>1.57</v>
      </c>
      <c r="Y111" s="8" t="str">
        <f aca="false">IF($X111&lt;=2,"Low",IF($X111&lt;=3.49,"Medium","High"))</f>
        <v>Low</v>
      </c>
      <c r="Z111" s="8" t="str">
        <f aca="false">IF(OR($F111&gt;=3,$E111=5,$D111=5,$C111=5,$G111=5,$H111=5,$I111=5,$J111=5,Customers!$W111="Yes"),"Yes","No")</f>
        <v>No</v>
      </c>
      <c r="AA111" s="15" t="str">
        <f aca="false">IF($Z111="Yes","High",$Y111)</f>
        <v>Low</v>
      </c>
      <c r="AB111" s="18" t="n">
        <f aca="false">SUMPRODUCT($C111:$G111,Weights!$C$28:$G$28)</f>
        <v>1.7</v>
      </c>
      <c r="AC111" s="18" t="n">
        <f aca="false">SUMPRODUCT($H111:$J111,Weights!$H$28:$J$28)</f>
        <v>1</v>
      </c>
      <c r="AD111" s="18" t="n">
        <f aca="false">SUMPRODUCT($K111:$N111,Weights!$K$28:$N$28)</f>
        <v>2</v>
      </c>
      <c r="AE111" s="18" t="n">
        <f aca="false">SUMPRODUCT($O111:$Q111,Weights!$O$28:$Q$28)</f>
        <v>2.6</v>
      </c>
      <c r="AF111" s="18" t="n">
        <f aca="false">SUMPRODUCT($R111:$V111,Weights!$R$28:$V$28)</f>
        <v>1</v>
      </c>
      <c r="AH111" s="18" t="n">
        <f aca="false">SUMPRODUCT($AB111:$AF111,Validation!$D$7:$H$7)</f>
        <v>1.5514285714286</v>
      </c>
      <c r="AI111" s="18" t="n">
        <f aca="false">SUMPRODUCT($AB111:$AF111,Validation!$D$8:$H$8)</f>
        <v>1.5885714285714</v>
      </c>
      <c r="AJ111" s="18" t="n">
        <f aca="false">SUMPRODUCT($AB111:$AF111,Validation!$D$9:$H$9)</f>
        <v>1.6459999999998</v>
      </c>
      <c r="AK111" s="18" t="n">
        <f aca="false">SUMPRODUCT($AB111:$AF111,Validation!$D$10:$H$10)</f>
        <v>1.4940000000002</v>
      </c>
      <c r="AL111" s="18" t="n">
        <f aca="false">SUMPRODUCT($AB111:$AF111,Validation!$D$11:$H$11)</f>
        <v>1.51625</v>
      </c>
      <c r="AM111" s="18" t="n">
        <f aca="false">SUMPRODUCT($AB111:$AF111,Validation!$D$12:$H$12)</f>
        <v>1.62375</v>
      </c>
      <c r="AN111" s="18" t="n">
        <f aca="false">SUMPRODUCT($AB111:$AF111,Validation!$D$13:$H$13)</f>
        <v>1.4555555555551</v>
      </c>
      <c r="AO111" s="18" t="n">
        <f aca="false">SUMPRODUCT($AB111:$AF111,Validation!$D$14:$H$14)</f>
        <v>1.6844444444449</v>
      </c>
      <c r="AP111" s="18" t="n">
        <f aca="false">SUMPRODUCT($AB111:$AF111,Validation!$D$15:$H$15)</f>
        <v>1.6370588235291</v>
      </c>
      <c r="AQ111" s="18" t="n">
        <f aca="false">SUMPRODUCT($AB111:$AF111,Validation!$D$16:$H$16)</f>
        <v>1.5029411764709</v>
      </c>
      <c r="AR111" s="8" t="n">
        <f aca="false">COUNTIF($C111:$V111,"&gt;=4")</f>
        <v>0</v>
      </c>
      <c r="AS111" s="8" t="str">
        <f aca="false">IF($X111&lt;=1.6,"Low",IF($X111&lt;=2.2,"Medium","High"))</f>
        <v>Low</v>
      </c>
      <c r="AT111" s="8" t="str">
        <f aca="false">IF($AR111=0,"Low",IF($AR111&lt;3,"Medium","High"))</f>
        <v>Low</v>
      </c>
      <c r="AU111" s="8" t="str">
        <f aca="false">IF(OR($AS111="High",$AT111="High"),"High",IF(OR($AS111="Medium",$AT111="Medium"),"Medium","Low"))</f>
        <v>Low</v>
      </c>
      <c r="AV111" s="15" t="str">
        <f aca="false">IF($Z111="Yes","High",$AU111)</f>
        <v>Low</v>
      </c>
    </row>
    <row r="112" customFormat="false" ht="15" hidden="false" customHeight="false" outlineLevel="0" collapsed="false">
      <c r="A112" s="7" t="str">
        <f aca="false">Customers!$A112</f>
        <v>NG-10164</v>
      </c>
      <c r="B112" s="7" t="str">
        <f aca="false">Customers!$B112</f>
        <v>Personal</v>
      </c>
      <c r="C112" s="8" t="n">
        <f aca="false">INDEX(Mapping!$C$2:$C$99,MATCH(C$1&amp;"|"&amp;Customers!C112,Mapping!$D$2:$D$99,0))</f>
        <v>1</v>
      </c>
      <c r="D112" s="8" t="n">
        <f aca="false">INDEX(Mapping!$C$2:$C$99,MATCH(D$1&amp;"|"&amp;Customers!D112,Mapping!$D$2:$D$99,0))</f>
        <v>1</v>
      </c>
      <c r="E112" s="8" t="n">
        <f aca="false">INDEX(Mapping!$C$2:$C$99,MATCH(E$1&amp;"|"&amp;Customers!E112,Mapping!$D$2:$D$99,0))</f>
        <v>3</v>
      </c>
      <c r="F112" s="8" t="n">
        <f aca="false">INDEX(Mapping!$C$2:$C$99,MATCH(F$1&amp;"|"&amp;Customers!F112,Mapping!$D$2:$D$99,0))</f>
        <v>1</v>
      </c>
      <c r="G112" s="8" t="n">
        <f aca="false">INDEX(Mapping!$C$2:$C$99,MATCH(G$1&amp;"|"&amp;Customers!G112,Mapping!$D$2:$D$99,0))</f>
        <v>1</v>
      </c>
      <c r="H112" s="8" t="n">
        <f aca="false">INDEX(Mapping!$C$2:$C$99,MATCH(H$1&amp;"|"&amp;Customers!H112,Mapping!$D$2:$D$99,0))</f>
        <v>1</v>
      </c>
      <c r="I112" s="8" t="n">
        <f aca="false">INDEX(Mapping!$C$2:$C$99,MATCH(I$1&amp;"|"&amp;Customers!I112,Mapping!$D$2:$D$99,0))</f>
        <v>1</v>
      </c>
      <c r="J112" s="8" t="n">
        <f aca="false">INDEX(Mapping!$C$2:$C$99,MATCH(J$1&amp;"|"&amp;Customers!J112,Mapping!$D$2:$D$99,0))</f>
        <v>1</v>
      </c>
      <c r="K112" s="8" t="n">
        <f aca="false">INDEX(Mapping!$C$2:$C$99,MATCH(K$1&amp;"|"&amp;Customers!K112,Mapping!$D$2:$D$99,0))</f>
        <v>2</v>
      </c>
      <c r="L112" s="8" t="n">
        <f aca="false">INDEX(Mapping!$C$2:$C$99,MATCH(L$1&amp;"|"&amp;Customers!L112,Mapping!$D$2:$D$99,0))</f>
        <v>1</v>
      </c>
      <c r="M112" s="8" t="n">
        <f aca="false">INDEX(Mapping!$C$2:$C$99,MATCH(M$1&amp;"|"&amp;Customers!M112,Mapping!$D$2:$D$99,0))</f>
        <v>1</v>
      </c>
      <c r="N112" s="8" t="n">
        <f aca="false">INDEX(Mapping!$C$2:$C$99,MATCH(N$1&amp;"|"&amp;Customers!N112,Mapping!$D$2:$D$99,0))</f>
        <v>1</v>
      </c>
      <c r="O112" s="8" t="n">
        <f aca="false">INDEX(Mapping!$C$2:$C$99,MATCH(O$1&amp;"|"&amp;Customers!O112,Mapping!$D$2:$D$99,0))</f>
        <v>3</v>
      </c>
      <c r="P112" s="8" t="n">
        <f aca="false">INDEX(Mapping!$C$2:$C$99,MATCH(P$1&amp;"|"&amp;Customers!P112,Mapping!$D$2:$D$99,0))</f>
        <v>3</v>
      </c>
      <c r="Q112" s="8" t="n">
        <f aca="false">INDEX(Mapping!$C$2:$C$99,MATCH(Q$1&amp;"|"&amp;Customers!Q112,Mapping!$D$2:$D$99,0))</f>
        <v>1</v>
      </c>
      <c r="R112" s="8" t="n">
        <f aca="false">INDEX(Mapping!$C$2:$C$99,MATCH(R$1&amp;"|"&amp;Customers!R112,Mapping!$D$2:$D$99,0))</f>
        <v>2</v>
      </c>
      <c r="S112" s="8" t="n">
        <f aca="false">INDEX(Mapping!$C$2:$C$99,MATCH(S$1&amp;"|"&amp;Customers!S112,Mapping!$D$2:$D$99,0))</f>
        <v>3</v>
      </c>
      <c r="T112" s="8" t="n">
        <f aca="false">INDEX(Mapping!$C$2:$C$99,MATCH(T$1&amp;"|"&amp;Customers!T112,Mapping!$D$2:$D$99,0))</f>
        <v>1</v>
      </c>
      <c r="U112" s="8" t="n">
        <f aca="false">INDEX(Mapping!$C$2:$C$99,MATCH(U$1&amp;"|"&amp;Customers!U112,Mapping!$D$2:$D$99,0))</f>
        <v>1</v>
      </c>
      <c r="V112" s="8" t="n">
        <f aca="false">INDEX(Mapping!$C$2:$C$99,MATCH(V$1&amp;"|"&amp;Customers!V112,Mapping!$D$2:$D$99,0))</f>
        <v>1</v>
      </c>
      <c r="W112" s="17" t="n">
        <f aca="false">SUMPRODUCT($C112:$V112,Weights!$C$27:$V$27)</f>
        <v>1.5075</v>
      </c>
      <c r="X112" s="18" t="n">
        <f aca="false">ROUND($W112,2)</f>
        <v>1.51</v>
      </c>
      <c r="Y112" s="8" t="str">
        <f aca="false">IF($X112&lt;=2,"Low",IF($X112&lt;=3.49,"Medium","High"))</f>
        <v>Low</v>
      </c>
      <c r="Z112" s="8" t="str">
        <f aca="false">IF(OR($F112&gt;=3,$E112=5,$D112=5,$C112=5,$G112=5,$H112=5,$I112=5,$J112=5,Customers!$W112="Yes"),"Yes","No")</f>
        <v>No</v>
      </c>
      <c r="AA112" s="15" t="str">
        <f aca="false">IF($Z112="Yes","High",$Y112)</f>
        <v>Low</v>
      </c>
      <c r="AB112" s="18" t="n">
        <f aca="false">SUMPRODUCT($C112:$G112,Weights!$C$28:$G$28)</f>
        <v>1.5</v>
      </c>
      <c r="AC112" s="18" t="n">
        <f aca="false">SUMPRODUCT($H112:$J112,Weights!$H$28:$J$28)</f>
        <v>1</v>
      </c>
      <c r="AD112" s="18" t="n">
        <f aca="false">SUMPRODUCT($K112:$N112,Weights!$K$28:$N$28)</f>
        <v>1.35</v>
      </c>
      <c r="AE112" s="18" t="n">
        <f aca="false">SUMPRODUCT($O112:$Q112,Weights!$O$28:$Q$28)</f>
        <v>2.6</v>
      </c>
      <c r="AF112" s="18" t="n">
        <f aca="false">SUMPRODUCT($R112:$V112,Weights!$R$28:$V$28)</f>
        <v>1.85</v>
      </c>
      <c r="AH112" s="18" t="n">
        <f aca="false">SUMPRODUCT($AB112:$AF112,Validation!$D$7:$H$7)</f>
        <v>1.5085714285721</v>
      </c>
      <c r="AI112" s="18" t="n">
        <f aca="false">SUMPRODUCT($AB112:$AF112,Validation!$D$8:$H$8)</f>
        <v>1.5064285714279</v>
      </c>
      <c r="AJ112" s="18" t="n">
        <f aca="false">SUMPRODUCT($AB112:$AF112,Validation!$D$9:$H$9)</f>
        <v>1.57516666666625</v>
      </c>
      <c r="AK112" s="18" t="n">
        <f aca="false">SUMPRODUCT($AB112:$AF112,Validation!$D$10:$H$10)</f>
        <v>1.43983333333375</v>
      </c>
      <c r="AL112" s="18" t="n">
        <f aca="false">SUMPRODUCT($AB112:$AF112,Validation!$D$11:$H$11)</f>
        <v>1.5271875</v>
      </c>
      <c r="AM112" s="18" t="n">
        <f aca="false">SUMPRODUCT($AB112:$AF112,Validation!$D$12:$H$12)</f>
        <v>1.4878125</v>
      </c>
      <c r="AN112" s="18" t="n">
        <f aca="false">SUMPRODUCT($AB112:$AF112,Validation!$D$13:$H$13)</f>
        <v>1.38611111111115</v>
      </c>
      <c r="AO112" s="18" t="n">
        <f aca="false">SUMPRODUCT($AB112:$AF112,Validation!$D$14:$H$14)</f>
        <v>1.62888888888885</v>
      </c>
      <c r="AP112" s="18" t="n">
        <f aca="false">SUMPRODUCT($AB112:$AF112,Validation!$D$15:$H$15)</f>
        <v>1.46720588235245</v>
      </c>
      <c r="AQ112" s="18" t="n">
        <f aca="false">SUMPRODUCT($AB112:$AF112,Validation!$D$16:$H$16)</f>
        <v>1.54779411764755</v>
      </c>
      <c r="AR112" s="8" t="n">
        <f aca="false">COUNTIF($C112:$V112,"&gt;=4")</f>
        <v>0</v>
      </c>
      <c r="AS112" s="8" t="str">
        <f aca="false">IF($X112&lt;=1.6,"Low",IF($X112&lt;=2.2,"Medium","High"))</f>
        <v>Low</v>
      </c>
      <c r="AT112" s="8" t="str">
        <f aca="false">IF($AR112=0,"Low",IF($AR112&lt;3,"Medium","High"))</f>
        <v>Low</v>
      </c>
      <c r="AU112" s="8" t="str">
        <f aca="false">IF(OR($AS112="High",$AT112="High"),"High",IF(OR($AS112="Medium",$AT112="Medium"),"Medium","Low"))</f>
        <v>Low</v>
      </c>
      <c r="AV112" s="15" t="str">
        <f aca="false">IF($Z112="Yes","High",$AU112)</f>
        <v>Low</v>
      </c>
    </row>
    <row r="113" customFormat="false" ht="15" hidden="false" customHeight="false" outlineLevel="0" collapsed="false">
      <c r="A113" s="7" t="str">
        <f aca="false">Customers!$A113</f>
        <v>NG-10146</v>
      </c>
      <c r="B113" s="7" t="str">
        <f aca="false">Customers!$B113</f>
        <v>Personal</v>
      </c>
      <c r="C113" s="8" t="n">
        <f aca="false">INDEX(Mapping!$C$2:$C$99,MATCH(C$1&amp;"|"&amp;Customers!C113,Mapping!$D$2:$D$99,0))</f>
        <v>1</v>
      </c>
      <c r="D113" s="8" t="n">
        <f aca="false">INDEX(Mapping!$C$2:$C$99,MATCH(D$1&amp;"|"&amp;Customers!D113,Mapping!$D$2:$D$99,0))</f>
        <v>1</v>
      </c>
      <c r="E113" s="8" t="n">
        <f aca="false">INDEX(Mapping!$C$2:$C$99,MATCH(E$1&amp;"|"&amp;Customers!E113,Mapping!$D$2:$D$99,0))</f>
        <v>3</v>
      </c>
      <c r="F113" s="8" t="n">
        <f aca="false">INDEX(Mapping!$C$2:$C$99,MATCH(F$1&amp;"|"&amp;Customers!F113,Mapping!$D$2:$D$99,0))</f>
        <v>1</v>
      </c>
      <c r="G113" s="8" t="n">
        <f aca="false">INDEX(Mapping!$C$2:$C$99,MATCH(G$1&amp;"|"&amp;Customers!G113,Mapping!$D$2:$D$99,0))</f>
        <v>1</v>
      </c>
      <c r="H113" s="8" t="n">
        <f aca="false">INDEX(Mapping!$C$2:$C$99,MATCH(H$1&amp;"|"&amp;Customers!H113,Mapping!$D$2:$D$99,0))</f>
        <v>1</v>
      </c>
      <c r="I113" s="8" t="n">
        <f aca="false">INDEX(Mapping!$C$2:$C$99,MATCH(I$1&amp;"|"&amp;Customers!I113,Mapping!$D$2:$D$99,0))</f>
        <v>1</v>
      </c>
      <c r="J113" s="8" t="n">
        <f aca="false">INDEX(Mapping!$C$2:$C$99,MATCH(J$1&amp;"|"&amp;Customers!J113,Mapping!$D$2:$D$99,0))</f>
        <v>1</v>
      </c>
      <c r="K113" s="8" t="n">
        <f aca="false">INDEX(Mapping!$C$2:$C$99,MATCH(K$1&amp;"|"&amp;Customers!K113,Mapping!$D$2:$D$99,0))</f>
        <v>2</v>
      </c>
      <c r="L113" s="8" t="n">
        <f aca="false">INDEX(Mapping!$C$2:$C$99,MATCH(L$1&amp;"|"&amp;Customers!L113,Mapping!$D$2:$D$99,0))</f>
        <v>3</v>
      </c>
      <c r="M113" s="8" t="n">
        <f aca="false">INDEX(Mapping!$C$2:$C$99,MATCH(M$1&amp;"|"&amp;Customers!M113,Mapping!$D$2:$D$99,0))</f>
        <v>3</v>
      </c>
      <c r="N113" s="8" t="n">
        <f aca="false">INDEX(Mapping!$C$2:$C$99,MATCH(N$1&amp;"|"&amp;Customers!N113,Mapping!$D$2:$D$99,0))</f>
        <v>1</v>
      </c>
      <c r="O113" s="8" t="n">
        <f aca="false">INDEX(Mapping!$C$2:$C$99,MATCH(O$1&amp;"|"&amp;Customers!O113,Mapping!$D$2:$D$99,0))</f>
        <v>3</v>
      </c>
      <c r="P113" s="8" t="n">
        <f aca="false">INDEX(Mapping!$C$2:$C$99,MATCH(P$1&amp;"|"&amp;Customers!P113,Mapping!$D$2:$D$99,0))</f>
        <v>3</v>
      </c>
      <c r="Q113" s="8" t="n">
        <f aca="false">INDEX(Mapping!$C$2:$C$99,MATCH(Q$1&amp;"|"&amp;Customers!Q113,Mapping!$D$2:$D$99,0))</f>
        <v>3</v>
      </c>
      <c r="R113" s="8" t="n">
        <f aca="false">INDEX(Mapping!$C$2:$C$99,MATCH(R$1&amp;"|"&amp;Customers!R113,Mapping!$D$2:$D$99,0))</f>
        <v>1</v>
      </c>
      <c r="S113" s="8" t="n">
        <f aca="false">INDEX(Mapping!$C$2:$C$99,MATCH(S$1&amp;"|"&amp;Customers!S113,Mapping!$D$2:$D$99,0))</f>
        <v>2</v>
      </c>
      <c r="T113" s="8" t="n">
        <f aca="false">INDEX(Mapping!$C$2:$C$99,MATCH(T$1&amp;"|"&amp;Customers!T113,Mapping!$D$2:$D$99,0))</f>
        <v>3</v>
      </c>
      <c r="U113" s="8" t="n">
        <f aca="false">INDEX(Mapping!$C$2:$C$99,MATCH(U$1&amp;"|"&amp;Customers!U113,Mapping!$D$2:$D$99,0))</f>
        <v>1</v>
      </c>
      <c r="V113" s="8" t="n">
        <f aca="false">INDEX(Mapping!$C$2:$C$99,MATCH(V$1&amp;"|"&amp;Customers!V113,Mapping!$D$2:$D$99,0))</f>
        <v>1</v>
      </c>
      <c r="W113" s="17" t="n">
        <f aca="false">SUMPRODUCT($C113:$V113,Weights!$C$27:$V$27)</f>
        <v>1.725</v>
      </c>
      <c r="X113" s="18" t="n">
        <f aca="false">ROUND($W113,2)</f>
        <v>1.73</v>
      </c>
      <c r="Y113" s="8" t="str">
        <f aca="false">IF($X113&lt;=2,"Low",IF($X113&lt;=3.49,"Medium","High"))</f>
        <v>Low</v>
      </c>
      <c r="Z113" s="8" t="str">
        <f aca="false">IF(OR($F113&gt;=3,$E113=5,$D113=5,$C113=5,$G113=5,$H113=5,$I113=5,$J113=5,Customers!$W113="Yes"),"Yes","No")</f>
        <v>No</v>
      </c>
      <c r="AA113" s="15" t="str">
        <f aca="false">IF($Z113="Yes","High",$Y113)</f>
        <v>Low</v>
      </c>
      <c r="AB113" s="18" t="n">
        <f aca="false">SUMPRODUCT($C113:$G113,Weights!$C$28:$G$28)</f>
        <v>1.5</v>
      </c>
      <c r="AC113" s="18" t="n">
        <f aca="false">SUMPRODUCT($H113:$J113,Weights!$H$28:$J$28)</f>
        <v>1</v>
      </c>
      <c r="AD113" s="18" t="n">
        <f aca="false">SUMPRODUCT($K113:$N113,Weights!$K$28:$N$28)</f>
        <v>2.35</v>
      </c>
      <c r="AE113" s="18" t="n">
        <f aca="false">SUMPRODUCT($O113:$Q113,Weights!$O$28:$Q$28)</f>
        <v>3</v>
      </c>
      <c r="AF113" s="18" t="n">
        <f aca="false">SUMPRODUCT($R113:$V113,Weights!$R$28:$V$28)</f>
        <v>1.7</v>
      </c>
      <c r="AH113" s="18" t="n">
        <f aca="false">SUMPRODUCT($AB113:$AF113,Validation!$D$7:$H$7)</f>
        <v>1.75714285714315</v>
      </c>
      <c r="AI113" s="18" t="n">
        <f aca="false">SUMPRODUCT($AB113:$AF113,Validation!$D$8:$H$8)</f>
        <v>1.69285714285685</v>
      </c>
      <c r="AJ113" s="18" t="n">
        <f aca="false">SUMPRODUCT($AB113:$AF113,Validation!$D$9:$H$9)</f>
        <v>1.82166666666645</v>
      </c>
      <c r="AK113" s="18" t="n">
        <f aca="false">SUMPRODUCT($AB113:$AF113,Validation!$D$10:$H$10)</f>
        <v>1.62833333333355</v>
      </c>
      <c r="AL113" s="18" t="n">
        <f aca="false">SUMPRODUCT($AB113:$AF113,Validation!$D$11:$H$11)</f>
        <v>1.646875</v>
      </c>
      <c r="AM113" s="18" t="n">
        <f aca="false">SUMPRODUCT($AB113:$AF113,Validation!$D$12:$H$12)</f>
        <v>1.803125</v>
      </c>
      <c r="AN113" s="18" t="n">
        <f aca="false">SUMPRODUCT($AB113:$AF113,Validation!$D$13:$H$13)</f>
        <v>1.5833333333331</v>
      </c>
      <c r="AO113" s="18" t="n">
        <f aca="false">SUMPRODUCT($AB113:$AF113,Validation!$D$14:$H$14)</f>
        <v>1.8666666666669</v>
      </c>
      <c r="AP113" s="18" t="n">
        <f aca="false">SUMPRODUCT($AB113:$AF113,Validation!$D$15:$H$15)</f>
        <v>1.72794117647025</v>
      </c>
      <c r="AQ113" s="18" t="n">
        <f aca="false">SUMPRODUCT($AB113:$AF113,Validation!$D$16:$H$16)</f>
        <v>1.72205882352975</v>
      </c>
      <c r="AR113" s="8" t="n">
        <f aca="false">COUNTIF($C113:$V113,"&gt;=4")</f>
        <v>0</v>
      </c>
      <c r="AS113" s="8" t="str">
        <f aca="false">IF($X113&lt;=1.6,"Low",IF($X113&lt;=2.2,"Medium","High"))</f>
        <v>Medium</v>
      </c>
      <c r="AT113" s="8" t="str">
        <f aca="false">IF($AR113=0,"Low",IF($AR113&lt;3,"Medium","High"))</f>
        <v>Low</v>
      </c>
      <c r="AU113" s="8" t="str">
        <f aca="false">IF(OR($AS113="High",$AT113="High"),"High",IF(OR($AS113="Medium",$AT113="Medium"),"Medium","Low"))</f>
        <v>Medium</v>
      </c>
      <c r="AV113" s="15" t="str">
        <f aca="false">IF($Z113="Yes","High",$AU113)</f>
        <v>Medium</v>
      </c>
    </row>
    <row r="114" customFormat="false" ht="15" hidden="false" customHeight="false" outlineLevel="0" collapsed="false">
      <c r="A114" s="7" t="str">
        <f aca="false">Customers!$A114</f>
        <v>NG-10101</v>
      </c>
      <c r="B114" s="7" t="str">
        <f aca="false">Customers!$B114</f>
        <v>Personal</v>
      </c>
      <c r="C114" s="8" t="n">
        <f aca="false">INDEX(Mapping!$C$2:$C$99,MATCH(C$1&amp;"|"&amp;Customers!C114,Mapping!$D$2:$D$99,0))</f>
        <v>1</v>
      </c>
      <c r="D114" s="8" t="n">
        <f aca="false">INDEX(Mapping!$C$2:$C$99,MATCH(D$1&amp;"|"&amp;Customers!D114,Mapping!$D$2:$D$99,0))</f>
        <v>1</v>
      </c>
      <c r="E114" s="8" t="n">
        <f aca="false">INDEX(Mapping!$C$2:$C$99,MATCH(E$1&amp;"|"&amp;Customers!E114,Mapping!$D$2:$D$99,0))</f>
        <v>3</v>
      </c>
      <c r="F114" s="8" t="n">
        <f aca="false">INDEX(Mapping!$C$2:$C$99,MATCH(F$1&amp;"|"&amp;Customers!F114,Mapping!$D$2:$D$99,0))</f>
        <v>1</v>
      </c>
      <c r="G114" s="8" t="n">
        <f aca="false">INDEX(Mapping!$C$2:$C$99,MATCH(G$1&amp;"|"&amp;Customers!G114,Mapping!$D$2:$D$99,0))</f>
        <v>1</v>
      </c>
      <c r="H114" s="8" t="n">
        <f aca="false">INDEX(Mapping!$C$2:$C$99,MATCH(H$1&amp;"|"&amp;Customers!H114,Mapping!$D$2:$D$99,0))</f>
        <v>1</v>
      </c>
      <c r="I114" s="8" t="n">
        <f aca="false">INDEX(Mapping!$C$2:$C$99,MATCH(I$1&amp;"|"&amp;Customers!I114,Mapping!$D$2:$D$99,0))</f>
        <v>1</v>
      </c>
      <c r="J114" s="8" t="n">
        <f aca="false">INDEX(Mapping!$C$2:$C$99,MATCH(J$1&amp;"|"&amp;Customers!J114,Mapping!$D$2:$D$99,0))</f>
        <v>1</v>
      </c>
      <c r="K114" s="8" t="n">
        <f aca="false">INDEX(Mapping!$C$2:$C$99,MATCH(K$1&amp;"|"&amp;Customers!K114,Mapping!$D$2:$D$99,0))</f>
        <v>3</v>
      </c>
      <c r="L114" s="8" t="n">
        <f aca="false">INDEX(Mapping!$C$2:$C$99,MATCH(L$1&amp;"|"&amp;Customers!L114,Mapping!$D$2:$D$99,0))</f>
        <v>3</v>
      </c>
      <c r="M114" s="8" t="n">
        <f aca="false">INDEX(Mapping!$C$2:$C$99,MATCH(M$1&amp;"|"&amp;Customers!M114,Mapping!$D$2:$D$99,0))</f>
        <v>1</v>
      </c>
      <c r="N114" s="8" t="n">
        <f aca="false">INDEX(Mapping!$C$2:$C$99,MATCH(N$1&amp;"|"&amp;Customers!N114,Mapping!$D$2:$D$99,0))</f>
        <v>1</v>
      </c>
      <c r="O114" s="8" t="n">
        <f aca="false">INDEX(Mapping!$C$2:$C$99,MATCH(O$1&amp;"|"&amp;Customers!O114,Mapping!$D$2:$D$99,0))</f>
        <v>3</v>
      </c>
      <c r="P114" s="8" t="n">
        <f aca="false">INDEX(Mapping!$C$2:$C$99,MATCH(P$1&amp;"|"&amp;Customers!P114,Mapping!$D$2:$D$99,0))</f>
        <v>3</v>
      </c>
      <c r="Q114" s="8" t="n">
        <f aca="false">INDEX(Mapping!$C$2:$C$99,MATCH(Q$1&amp;"|"&amp;Customers!Q114,Mapping!$D$2:$D$99,0))</f>
        <v>1</v>
      </c>
      <c r="R114" s="8" t="n">
        <f aca="false">INDEX(Mapping!$C$2:$C$99,MATCH(R$1&amp;"|"&amp;Customers!R114,Mapping!$D$2:$D$99,0))</f>
        <v>1</v>
      </c>
      <c r="S114" s="8" t="n">
        <f aca="false">INDEX(Mapping!$C$2:$C$99,MATCH(S$1&amp;"|"&amp;Customers!S114,Mapping!$D$2:$D$99,0))</f>
        <v>3</v>
      </c>
      <c r="T114" s="8" t="n">
        <f aca="false">INDEX(Mapping!$C$2:$C$99,MATCH(T$1&amp;"|"&amp;Customers!T114,Mapping!$D$2:$D$99,0))</f>
        <v>1</v>
      </c>
      <c r="U114" s="8" t="n">
        <f aca="false">INDEX(Mapping!$C$2:$C$99,MATCH(U$1&amp;"|"&amp;Customers!U114,Mapping!$D$2:$D$99,0))</f>
        <v>1</v>
      </c>
      <c r="V114" s="8" t="n">
        <f aca="false">INDEX(Mapping!$C$2:$C$99,MATCH(V$1&amp;"|"&amp;Customers!V114,Mapping!$D$2:$D$99,0))</f>
        <v>1</v>
      </c>
      <c r="W114" s="17" t="n">
        <f aca="false">SUMPRODUCT($C114:$V114,Weights!$C$27:$V$27)</f>
        <v>1.64</v>
      </c>
      <c r="X114" s="18" t="n">
        <f aca="false">ROUND($W114,2)</f>
        <v>1.64</v>
      </c>
      <c r="Y114" s="8" t="str">
        <f aca="false">IF($X114&lt;=2,"Low",IF($X114&lt;=3.49,"Medium","High"))</f>
        <v>Low</v>
      </c>
      <c r="Z114" s="8" t="str">
        <f aca="false">IF(OR($F114&gt;=3,$E114=5,$D114=5,$C114=5,$G114=5,$H114=5,$I114=5,$J114=5,Customers!$W114="Yes"),"Yes","No")</f>
        <v>No</v>
      </c>
      <c r="AA114" s="15" t="str">
        <f aca="false">IF($Z114="Yes","High",$Y114)</f>
        <v>Low</v>
      </c>
      <c r="AB114" s="18" t="n">
        <f aca="false">SUMPRODUCT($C114:$G114,Weights!$C$28:$G$28)</f>
        <v>1.5</v>
      </c>
      <c r="AC114" s="18" t="n">
        <f aca="false">SUMPRODUCT($H114:$J114,Weights!$H$28:$J$28)</f>
        <v>1</v>
      </c>
      <c r="AD114" s="18" t="n">
        <f aca="false">SUMPRODUCT($K114:$N114,Weights!$K$28:$N$28)</f>
        <v>2.2</v>
      </c>
      <c r="AE114" s="18" t="n">
        <f aca="false">SUMPRODUCT($O114:$Q114,Weights!$O$28:$Q$28)</f>
        <v>2.6</v>
      </c>
      <c r="AF114" s="18" t="n">
        <f aca="false">SUMPRODUCT($R114:$V114,Weights!$R$28:$V$28)</f>
        <v>1.6</v>
      </c>
      <c r="AH114" s="18" t="n">
        <f aca="false">SUMPRODUCT($AB114:$AF114,Validation!$D$7:$H$7)</f>
        <v>1.6600000000002</v>
      </c>
      <c r="AI114" s="18" t="n">
        <f aca="false">SUMPRODUCT($AB114:$AF114,Validation!$D$8:$H$8)</f>
        <v>1.6199999999998</v>
      </c>
      <c r="AJ114" s="18" t="n">
        <f aca="false">SUMPRODUCT($AB114:$AF114,Validation!$D$9:$H$9)</f>
        <v>1.7253333333332</v>
      </c>
      <c r="AK114" s="18" t="n">
        <f aca="false">SUMPRODUCT($AB114:$AF114,Validation!$D$10:$H$10)</f>
        <v>1.5546666666668</v>
      </c>
      <c r="AL114" s="18" t="n">
        <f aca="false">SUMPRODUCT($AB114:$AF114,Validation!$D$11:$H$11)</f>
        <v>1.57</v>
      </c>
      <c r="AM114" s="18" t="n">
        <f aca="false">SUMPRODUCT($AB114:$AF114,Validation!$D$12:$H$12)</f>
        <v>1.71</v>
      </c>
      <c r="AN114" s="18" t="n">
        <f aca="false">SUMPRODUCT($AB114:$AF114,Validation!$D$13:$H$13)</f>
        <v>1.5333333333331</v>
      </c>
      <c r="AO114" s="18" t="n">
        <f aca="false">SUMPRODUCT($AB114:$AF114,Validation!$D$14:$H$14)</f>
        <v>1.7466666666669</v>
      </c>
      <c r="AP114" s="18" t="n">
        <f aca="false">SUMPRODUCT($AB114:$AF114,Validation!$D$15:$H$15)</f>
        <v>1.6447058823527</v>
      </c>
      <c r="AQ114" s="18" t="n">
        <f aca="false">SUMPRODUCT($AB114:$AF114,Validation!$D$16:$H$16)</f>
        <v>1.6352941176473</v>
      </c>
      <c r="AR114" s="8" t="n">
        <f aca="false">COUNTIF($C114:$V114,"&gt;=4")</f>
        <v>0</v>
      </c>
      <c r="AS114" s="8" t="str">
        <f aca="false">IF($X114&lt;=1.6,"Low",IF($X114&lt;=2.2,"Medium","High"))</f>
        <v>Medium</v>
      </c>
      <c r="AT114" s="8" t="str">
        <f aca="false">IF($AR114=0,"Low",IF($AR114&lt;3,"Medium","High"))</f>
        <v>Low</v>
      </c>
      <c r="AU114" s="8" t="str">
        <f aca="false">IF(OR($AS114="High",$AT114="High"),"High",IF(OR($AS114="Medium",$AT114="Medium"),"Medium","Low"))</f>
        <v>Medium</v>
      </c>
      <c r="AV114" s="15" t="str">
        <f aca="false">IF($Z114="Yes","High",$AU114)</f>
        <v>Medium</v>
      </c>
    </row>
    <row r="115" customFormat="false" ht="15" hidden="false" customHeight="false" outlineLevel="0" collapsed="false">
      <c r="A115" s="7" t="str">
        <f aca="false">Customers!$A115</f>
        <v>NG-10199</v>
      </c>
      <c r="B115" s="7" t="str">
        <f aca="false">Customers!$B115</f>
        <v>Personal</v>
      </c>
      <c r="C115" s="8" t="n">
        <f aca="false">INDEX(Mapping!$C$2:$C$99,MATCH(C$1&amp;"|"&amp;Customers!C115,Mapping!$D$2:$D$99,0))</f>
        <v>1</v>
      </c>
      <c r="D115" s="8" t="n">
        <f aca="false">INDEX(Mapping!$C$2:$C$99,MATCH(D$1&amp;"|"&amp;Customers!D115,Mapping!$D$2:$D$99,0))</f>
        <v>1</v>
      </c>
      <c r="E115" s="8" t="n">
        <f aca="false">INDEX(Mapping!$C$2:$C$99,MATCH(E$1&amp;"|"&amp;Customers!E115,Mapping!$D$2:$D$99,0))</f>
        <v>1</v>
      </c>
      <c r="F115" s="8" t="n">
        <f aca="false">INDEX(Mapping!$C$2:$C$99,MATCH(F$1&amp;"|"&amp;Customers!F115,Mapping!$D$2:$D$99,0))</f>
        <v>1</v>
      </c>
      <c r="G115" s="8" t="n">
        <f aca="false">INDEX(Mapping!$C$2:$C$99,MATCH(G$1&amp;"|"&amp;Customers!G115,Mapping!$D$2:$D$99,0))</f>
        <v>1</v>
      </c>
      <c r="H115" s="8" t="n">
        <f aca="false">INDEX(Mapping!$C$2:$C$99,MATCH(H$1&amp;"|"&amp;Customers!H115,Mapping!$D$2:$D$99,0))</f>
        <v>1</v>
      </c>
      <c r="I115" s="8" t="n">
        <f aca="false">INDEX(Mapping!$C$2:$C$99,MATCH(I$1&amp;"|"&amp;Customers!I115,Mapping!$D$2:$D$99,0))</f>
        <v>2</v>
      </c>
      <c r="J115" s="8" t="n">
        <f aca="false">INDEX(Mapping!$C$2:$C$99,MATCH(J$1&amp;"|"&amp;Customers!J115,Mapping!$D$2:$D$99,0))</f>
        <v>1</v>
      </c>
      <c r="K115" s="8" t="n">
        <f aca="false">INDEX(Mapping!$C$2:$C$99,MATCH(K$1&amp;"|"&amp;Customers!K115,Mapping!$D$2:$D$99,0))</f>
        <v>2</v>
      </c>
      <c r="L115" s="8" t="n">
        <f aca="false">INDEX(Mapping!$C$2:$C$99,MATCH(L$1&amp;"|"&amp;Customers!L115,Mapping!$D$2:$D$99,0))</f>
        <v>1</v>
      </c>
      <c r="M115" s="8" t="n">
        <f aca="false">INDEX(Mapping!$C$2:$C$99,MATCH(M$1&amp;"|"&amp;Customers!M115,Mapping!$D$2:$D$99,0))</f>
        <v>2</v>
      </c>
      <c r="N115" s="8" t="n">
        <f aca="false">INDEX(Mapping!$C$2:$C$99,MATCH(N$1&amp;"|"&amp;Customers!N115,Mapping!$D$2:$D$99,0))</f>
        <v>2</v>
      </c>
      <c r="O115" s="8" t="n">
        <f aca="false">INDEX(Mapping!$C$2:$C$99,MATCH(O$1&amp;"|"&amp;Customers!O115,Mapping!$D$2:$D$99,0))</f>
        <v>3</v>
      </c>
      <c r="P115" s="8" t="n">
        <f aca="false">INDEX(Mapping!$C$2:$C$99,MATCH(P$1&amp;"|"&amp;Customers!P115,Mapping!$D$2:$D$99,0))</f>
        <v>3</v>
      </c>
      <c r="Q115" s="8" t="n">
        <f aca="false">INDEX(Mapping!$C$2:$C$99,MATCH(Q$1&amp;"|"&amp;Customers!Q115,Mapping!$D$2:$D$99,0))</f>
        <v>2</v>
      </c>
      <c r="R115" s="8" t="n">
        <f aca="false">INDEX(Mapping!$C$2:$C$99,MATCH(R$1&amp;"|"&amp;Customers!R115,Mapping!$D$2:$D$99,0))</f>
        <v>1</v>
      </c>
      <c r="S115" s="8" t="n">
        <f aca="false">INDEX(Mapping!$C$2:$C$99,MATCH(S$1&amp;"|"&amp;Customers!S115,Mapping!$D$2:$D$99,0))</f>
        <v>1</v>
      </c>
      <c r="T115" s="8" t="n">
        <f aca="false">INDEX(Mapping!$C$2:$C$99,MATCH(T$1&amp;"|"&amp;Customers!T115,Mapping!$D$2:$D$99,0))</f>
        <v>4</v>
      </c>
      <c r="U115" s="8" t="n">
        <f aca="false">INDEX(Mapping!$C$2:$C$99,MATCH(U$1&amp;"|"&amp;Customers!U115,Mapping!$D$2:$D$99,0))</f>
        <v>3</v>
      </c>
      <c r="V115" s="8" t="n">
        <f aca="false">INDEX(Mapping!$C$2:$C$99,MATCH(V$1&amp;"|"&amp;Customers!V115,Mapping!$D$2:$D$99,0))</f>
        <v>1</v>
      </c>
      <c r="W115" s="17" t="n">
        <f aca="false">SUMPRODUCT($C115:$V115,Weights!$C$27:$V$27)</f>
        <v>1.515</v>
      </c>
      <c r="X115" s="18" t="n">
        <f aca="false">ROUND($W115,2)</f>
        <v>1.52</v>
      </c>
      <c r="Y115" s="8" t="str">
        <f aca="false">IF($X115&lt;=2,"Low",IF($X115&lt;=3.49,"Medium","High"))</f>
        <v>Low</v>
      </c>
      <c r="Z115" s="8" t="str">
        <f aca="false">IF(OR($F115&gt;=3,$E115=5,$D115=5,$C115=5,$G115=5,$H115=5,$I115=5,$J115=5,Customers!$W115="Yes"),"Yes","No")</f>
        <v>No</v>
      </c>
      <c r="AA115" s="15" t="str">
        <f aca="false">IF($Z115="Yes","High",$Y115)</f>
        <v>Low</v>
      </c>
      <c r="AB115" s="18" t="n">
        <f aca="false">SUMPRODUCT($C115:$G115,Weights!$C$28:$G$28)</f>
        <v>1</v>
      </c>
      <c r="AC115" s="18" t="n">
        <f aca="false">SUMPRODUCT($H115:$J115,Weights!$H$28:$J$28)</f>
        <v>1.2</v>
      </c>
      <c r="AD115" s="18" t="n">
        <f aca="false">SUMPRODUCT($K115:$N115,Weights!$K$28:$N$28)</f>
        <v>1.75</v>
      </c>
      <c r="AE115" s="18" t="n">
        <f aca="false">SUMPRODUCT($O115:$Q115,Weights!$O$28:$Q$28)</f>
        <v>2.8</v>
      </c>
      <c r="AF115" s="18" t="n">
        <f aca="false">SUMPRODUCT($R115:$V115,Weights!$R$28:$V$28)</f>
        <v>1.9</v>
      </c>
      <c r="AH115" s="18" t="n">
        <f aca="false">SUMPRODUCT($AB115:$AF115,Validation!$D$7:$H$7)</f>
        <v>1.58857142857195</v>
      </c>
      <c r="AI115" s="18" t="n">
        <f aca="false">SUMPRODUCT($AB115:$AF115,Validation!$D$8:$H$8)</f>
        <v>1.44142857142805</v>
      </c>
      <c r="AJ115" s="18" t="n">
        <f aca="false">SUMPRODUCT($AB115:$AF115,Validation!$D$9:$H$9)</f>
        <v>1.55699999999965</v>
      </c>
      <c r="AK115" s="18" t="n">
        <f aca="false">SUMPRODUCT($AB115:$AF115,Validation!$D$10:$H$10)</f>
        <v>1.47300000000035</v>
      </c>
      <c r="AL115" s="18" t="n">
        <f aca="false">SUMPRODUCT($AB115:$AF115,Validation!$D$11:$H$11)</f>
        <v>1.485625</v>
      </c>
      <c r="AM115" s="18" t="n">
        <f aca="false">SUMPRODUCT($AB115:$AF115,Validation!$D$12:$H$12)</f>
        <v>1.544375</v>
      </c>
      <c r="AN115" s="18" t="n">
        <f aca="false">SUMPRODUCT($AB115:$AF115,Validation!$D$13:$H$13)</f>
        <v>1.3722222222224</v>
      </c>
      <c r="AO115" s="18" t="n">
        <f aca="false">SUMPRODUCT($AB115:$AF115,Validation!$D$14:$H$14)</f>
        <v>1.6577777777776</v>
      </c>
      <c r="AP115" s="18" t="n">
        <f aca="false">SUMPRODUCT($AB115:$AF115,Validation!$D$15:$H$15)</f>
        <v>1.46970588235255</v>
      </c>
      <c r="AQ115" s="18" t="n">
        <f aca="false">SUMPRODUCT($AB115:$AF115,Validation!$D$16:$H$16)</f>
        <v>1.56029411764745</v>
      </c>
      <c r="AR115" s="8" t="n">
        <f aca="false">COUNTIF($C115:$V115,"&gt;=4")</f>
        <v>1</v>
      </c>
      <c r="AS115" s="8" t="str">
        <f aca="false">IF($X115&lt;=1.6,"Low",IF($X115&lt;=2.2,"Medium","High"))</f>
        <v>Low</v>
      </c>
      <c r="AT115" s="8" t="str">
        <f aca="false">IF($AR115=0,"Low",IF($AR115&lt;3,"Medium","High"))</f>
        <v>Medium</v>
      </c>
      <c r="AU115" s="8" t="str">
        <f aca="false">IF(OR($AS115="High",$AT115="High"),"High",IF(OR($AS115="Medium",$AT115="Medium"),"Medium","Low"))</f>
        <v>Medium</v>
      </c>
      <c r="AV115" s="15" t="str">
        <f aca="false">IF($Z115="Yes","High",$AU115)</f>
        <v>Medium</v>
      </c>
    </row>
    <row r="116" customFormat="false" ht="15" hidden="false" customHeight="false" outlineLevel="0" collapsed="false">
      <c r="A116" s="7" t="str">
        <f aca="false">Customers!$A116</f>
        <v>NG-10227</v>
      </c>
      <c r="B116" s="7" t="str">
        <f aca="false">Customers!$B116</f>
        <v>Personal</v>
      </c>
      <c r="C116" s="8" t="n">
        <f aca="false">INDEX(Mapping!$C$2:$C$99,MATCH(C$1&amp;"|"&amp;Customers!C116,Mapping!$D$2:$D$99,0))</f>
        <v>1</v>
      </c>
      <c r="D116" s="8" t="n">
        <f aca="false">INDEX(Mapping!$C$2:$C$99,MATCH(D$1&amp;"|"&amp;Customers!D116,Mapping!$D$2:$D$99,0))</f>
        <v>1</v>
      </c>
      <c r="E116" s="8" t="n">
        <f aca="false">INDEX(Mapping!$C$2:$C$99,MATCH(E$1&amp;"|"&amp;Customers!E116,Mapping!$D$2:$D$99,0))</f>
        <v>2</v>
      </c>
      <c r="F116" s="8" t="n">
        <f aca="false">INDEX(Mapping!$C$2:$C$99,MATCH(F$1&amp;"|"&amp;Customers!F116,Mapping!$D$2:$D$99,0))</f>
        <v>3</v>
      </c>
      <c r="G116" s="8" t="n">
        <f aca="false">INDEX(Mapping!$C$2:$C$99,MATCH(G$1&amp;"|"&amp;Customers!G116,Mapping!$D$2:$D$99,0))</f>
        <v>2</v>
      </c>
      <c r="H116" s="8" t="n">
        <f aca="false">INDEX(Mapping!$C$2:$C$99,MATCH(H$1&amp;"|"&amp;Customers!H116,Mapping!$D$2:$D$99,0))</f>
        <v>1</v>
      </c>
      <c r="I116" s="8" t="n">
        <f aca="false">INDEX(Mapping!$C$2:$C$99,MATCH(I$1&amp;"|"&amp;Customers!I116,Mapping!$D$2:$D$99,0))</f>
        <v>1</v>
      </c>
      <c r="J116" s="8" t="n">
        <f aca="false">INDEX(Mapping!$C$2:$C$99,MATCH(J$1&amp;"|"&amp;Customers!J116,Mapping!$D$2:$D$99,0))</f>
        <v>1</v>
      </c>
      <c r="K116" s="8" t="n">
        <f aca="false">INDEX(Mapping!$C$2:$C$99,MATCH(K$1&amp;"|"&amp;Customers!K116,Mapping!$D$2:$D$99,0))</f>
        <v>2</v>
      </c>
      <c r="L116" s="8" t="n">
        <f aca="false">INDEX(Mapping!$C$2:$C$99,MATCH(L$1&amp;"|"&amp;Customers!L116,Mapping!$D$2:$D$99,0))</f>
        <v>3</v>
      </c>
      <c r="M116" s="8" t="n">
        <f aca="false">INDEX(Mapping!$C$2:$C$99,MATCH(M$1&amp;"|"&amp;Customers!M116,Mapping!$D$2:$D$99,0))</f>
        <v>2</v>
      </c>
      <c r="N116" s="8" t="n">
        <f aca="false">INDEX(Mapping!$C$2:$C$99,MATCH(N$1&amp;"|"&amp;Customers!N116,Mapping!$D$2:$D$99,0))</f>
        <v>1</v>
      </c>
      <c r="O116" s="8" t="n">
        <f aca="false">INDEX(Mapping!$C$2:$C$99,MATCH(O$1&amp;"|"&amp;Customers!O116,Mapping!$D$2:$D$99,0))</f>
        <v>3</v>
      </c>
      <c r="P116" s="8" t="n">
        <f aca="false">INDEX(Mapping!$C$2:$C$99,MATCH(P$1&amp;"|"&amp;Customers!P116,Mapping!$D$2:$D$99,0))</f>
        <v>2</v>
      </c>
      <c r="Q116" s="8" t="n">
        <f aca="false">INDEX(Mapping!$C$2:$C$99,MATCH(Q$1&amp;"|"&amp;Customers!Q116,Mapping!$D$2:$D$99,0))</f>
        <v>1</v>
      </c>
      <c r="R116" s="8" t="n">
        <f aca="false">INDEX(Mapping!$C$2:$C$99,MATCH(R$1&amp;"|"&amp;Customers!R116,Mapping!$D$2:$D$99,0))</f>
        <v>2</v>
      </c>
      <c r="S116" s="8" t="n">
        <f aca="false">INDEX(Mapping!$C$2:$C$99,MATCH(S$1&amp;"|"&amp;Customers!S116,Mapping!$D$2:$D$99,0))</f>
        <v>2</v>
      </c>
      <c r="T116" s="8" t="n">
        <f aca="false">INDEX(Mapping!$C$2:$C$99,MATCH(T$1&amp;"|"&amp;Customers!T116,Mapping!$D$2:$D$99,0))</f>
        <v>1</v>
      </c>
      <c r="U116" s="8" t="n">
        <f aca="false">INDEX(Mapping!$C$2:$C$99,MATCH(U$1&amp;"|"&amp;Customers!U116,Mapping!$D$2:$D$99,0))</f>
        <v>1</v>
      </c>
      <c r="V116" s="8" t="n">
        <f aca="false">INDEX(Mapping!$C$2:$C$99,MATCH(V$1&amp;"|"&amp;Customers!V116,Mapping!$D$2:$D$99,0))</f>
        <v>1</v>
      </c>
      <c r="W116" s="17" t="n">
        <f aca="false">SUMPRODUCT($C116:$V116,Weights!$C$27:$V$27)</f>
        <v>1.6675</v>
      </c>
      <c r="X116" s="18" t="n">
        <f aca="false">ROUND($W116,2)</f>
        <v>1.67</v>
      </c>
      <c r="Y116" s="8" t="str">
        <f aca="false">IF($X116&lt;=2,"Low",IF($X116&lt;=3.49,"Medium","High"))</f>
        <v>Low</v>
      </c>
      <c r="Z116" s="8" t="str">
        <f aca="false">IF(OR($F116&gt;=3,$E116=5,$D116=5,$C116=5,$G116=5,$H116=5,$I116=5,$J116=5,Customers!$W116="Yes"),"Yes","No")</f>
        <v>Yes</v>
      </c>
      <c r="AA116" s="15" t="str">
        <f aca="false">IF($Z116="Yes","High",$Y116)</f>
        <v>High</v>
      </c>
      <c r="AB116" s="18" t="n">
        <f aca="false">SUMPRODUCT($C116:$G116,Weights!$C$28:$G$28)</f>
        <v>1.8</v>
      </c>
      <c r="AC116" s="18" t="n">
        <f aca="false">SUMPRODUCT($H116:$J116,Weights!$H$28:$J$28)</f>
        <v>1</v>
      </c>
      <c r="AD116" s="18" t="n">
        <f aca="false">SUMPRODUCT($K116:$N116,Weights!$K$28:$N$28)</f>
        <v>2.1</v>
      </c>
      <c r="AE116" s="18" t="n">
        <f aca="false">SUMPRODUCT($O116:$Q116,Weights!$O$28:$Q$28)</f>
        <v>2.25</v>
      </c>
      <c r="AF116" s="18" t="n">
        <f aca="false">SUMPRODUCT($R116:$V116,Weights!$R$28:$V$28)</f>
        <v>1.55</v>
      </c>
      <c r="AH116" s="18" t="n">
        <f aca="false">SUMPRODUCT($AB116:$AF116,Validation!$D$7:$H$7)</f>
        <v>1.64857142857155</v>
      </c>
      <c r="AI116" s="18" t="n">
        <f aca="false">SUMPRODUCT($AB116:$AF116,Validation!$D$8:$H$8)</f>
        <v>1.68642857142845</v>
      </c>
      <c r="AJ116" s="18" t="n">
        <f aca="false">SUMPRODUCT($AB116:$AF116,Validation!$D$9:$H$9)</f>
        <v>1.75649999999995</v>
      </c>
      <c r="AK116" s="18" t="n">
        <f aca="false">SUMPRODUCT($AB116:$AF116,Validation!$D$10:$H$10)</f>
        <v>1.57850000000005</v>
      </c>
      <c r="AL116" s="18" t="n">
        <f aca="false">SUMPRODUCT($AB116:$AF116,Validation!$D$11:$H$11)</f>
        <v>1.6134375</v>
      </c>
      <c r="AM116" s="18" t="n">
        <f aca="false">SUMPRODUCT($AB116:$AF116,Validation!$D$12:$H$12)</f>
        <v>1.7215625</v>
      </c>
      <c r="AN116" s="18" t="n">
        <f aca="false">SUMPRODUCT($AB116:$AF116,Validation!$D$13:$H$13)</f>
        <v>1.60277777777745</v>
      </c>
      <c r="AO116" s="18" t="n">
        <f aca="false">SUMPRODUCT($AB116:$AF116,Validation!$D$14:$H$14)</f>
        <v>1.73222222222255</v>
      </c>
      <c r="AP116" s="18" t="n">
        <f aca="false">SUMPRODUCT($AB116:$AF116,Validation!$D$15:$H$15)</f>
        <v>1.6813235294116</v>
      </c>
      <c r="AQ116" s="18" t="n">
        <f aca="false">SUMPRODUCT($AB116:$AF116,Validation!$D$16:$H$16)</f>
        <v>1.6536764705884</v>
      </c>
      <c r="AR116" s="8" t="n">
        <f aca="false">COUNTIF($C116:$V116,"&gt;=4")</f>
        <v>0</v>
      </c>
      <c r="AS116" s="8" t="str">
        <f aca="false">IF($X116&lt;=1.6,"Low",IF($X116&lt;=2.2,"Medium","High"))</f>
        <v>Medium</v>
      </c>
      <c r="AT116" s="8" t="str">
        <f aca="false">IF($AR116=0,"Low",IF($AR116&lt;3,"Medium","High"))</f>
        <v>Low</v>
      </c>
      <c r="AU116" s="8" t="str">
        <f aca="false">IF(OR($AS116="High",$AT116="High"),"High",IF(OR($AS116="Medium",$AT116="Medium"),"Medium","Low"))</f>
        <v>Medium</v>
      </c>
      <c r="AV116" s="15" t="str">
        <f aca="false">IF($Z116="Yes","High",$AU116)</f>
        <v>High</v>
      </c>
    </row>
    <row r="117" customFormat="false" ht="15" hidden="false" customHeight="false" outlineLevel="0" collapsed="false">
      <c r="A117" s="7" t="str">
        <f aca="false">Customers!$A117</f>
        <v>NG-10269</v>
      </c>
      <c r="B117" s="7" t="str">
        <f aca="false">Customers!$B117</f>
        <v>Personal</v>
      </c>
      <c r="C117" s="8" t="n">
        <f aca="false">INDEX(Mapping!$C$2:$C$99,MATCH(C$1&amp;"|"&amp;Customers!C117,Mapping!$D$2:$D$99,0))</f>
        <v>2</v>
      </c>
      <c r="D117" s="8" t="n">
        <f aca="false">INDEX(Mapping!$C$2:$C$99,MATCH(D$1&amp;"|"&amp;Customers!D117,Mapping!$D$2:$D$99,0))</f>
        <v>1</v>
      </c>
      <c r="E117" s="8" t="n">
        <f aca="false">INDEX(Mapping!$C$2:$C$99,MATCH(E$1&amp;"|"&amp;Customers!E117,Mapping!$D$2:$D$99,0))</f>
        <v>1</v>
      </c>
      <c r="F117" s="8" t="n">
        <f aca="false">INDEX(Mapping!$C$2:$C$99,MATCH(F$1&amp;"|"&amp;Customers!F117,Mapping!$D$2:$D$99,0))</f>
        <v>1</v>
      </c>
      <c r="G117" s="8" t="n">
        <f aca="false">INDEX(Mapping!$C$2:$C$99,MATCH(G$1&amp;"|"&amp;Customers!G117,Mapping!$D$2:$D$99,0))</f>
        <v>1</v>
      </c>
      <c r="H117" s="8" t="n">
        <f aca="false">INDEX(Mapping!$C$2:$C$99,MATCH(H$1&amp;"|"&amp;Customers!H117,Mapping!$D$2:$D$99,0))</f>
        <v>1</v>
      </c>
      <c r="I117" s="8" t="n">
        <f aca="false">INDEX(Mapping!$C$2:$C$99,MATCH(I$1&amp;"|"&amp;Customers!I117,Mapping!$D$2:$D$99,0))</f>
        <v>1</v>
      </c>
      <c r="J117" s="8" t="n">
        <f aca="false">INDEX(Mapping!$C$2:$C$99,MATCH(J$1&amp;"|"&amp;Customers!J117,Mapping!$D$2:$D$99,0))</f>
        <v>1</v>
      </c>
      <c r="K117" s="8" t="n">
        <f aca="false">INDEX(Mapping!$C$2:$C$99,MATCH(K$1&amp;"|"&amp;Customers!K117,Mapping!$D$2:$D$99,0))</f>
        <v>3</v>
      </c>
      <c r="L117" s="8" t="n">
        <f aca="false">INDEX(Mapping!$C$2:$C$99,MATCH(L$1&amp;"|"&amp;Customers!L117,Mapping!$D$2:$D$99,0))</f>
        <v>1</v>
      </c>
      <c r="M117" s="8" t="n">
        <f aca="false">INDEX(Mapping!$C$2:$C$99,MATCH(M$1&amp;"|"&amp;Customers!M117,Mapping!$D$2:$D$99,0))</f>
        <v>3</v>
      </c>
      <c r="N117" s="8" t="n">
        <f aca="false">INDEX(Mapping!$C$2:$C$99,MATCH(N$1&amp;"|"&amp;Customers!N117,Mapping!$D$2:$D$99,0))</f>
        <v>1</v>
      </c>
      <c r="O117" s="8" t="n">
        <f aca="false">INDEX(Mapping!$C$2:$C$99,MATCH(O$1&amp;"|"&amp;Customers!O117,Mapping!$D$2:$D$99,0))</f>
        <v>1</v>
      </c>
      <c r="P117" s="8" t="n">
        <f aca="false">INDEX(Mapping!$C$2:$C$99,MATCH(P$1&amp;"|"&amp;Customers!P117,Mapping!$D$2:$D$99,0))</f>
        <v>3</v>
      </c>
      <c r="Q117" s="8" t="n">
        <f aca="false">INDEX(Mapping!$C$2:$C$99,MATCH(Q$1&amp;"|"&amp;Customers!Q117,Mapping!$D$2:$D$99,0))</f>
        <v>1</v>
      </c>
      <c r="R117" s="8" t="n">
        <f aca="false">INDEX(Mapping!$C$2:$C$99,MATCH(R$1&amp;"|"&amp;Customers!R117,Mapping!$D$2:$D$99,0))</f>
        <v>2</v>
      </c>
      <c r="S117" s="8" t="n">
        <f aca="false">INDEX(Mapping!$C$2:$C$99,MATCH(S$1&amp;"|"&amp;Customers!S117,Mapping!$D$2:$D$99,0))</f>
        <v>2</v>
      </c>
      <c r="T117" s="8" t="n">
        <f aca="false">INDEX(Mapping!$C$2:$C$99,MATCH(T$1&amp;"|"&amp;Customers!T117,Mapping!$D$2:$D$99,0))</f>
        <v>2</v>
      </c>
      <c r="U117" s="8" t="n">
        <f aca="false">INDEX(Mapping!$C$2:$C$99,MATCH(U$1&amp;"|"&amp;Customers!U117,Mapping!$D$2:$D$99,0))</f>
        <v>1</v>
      </c>
      <c r="V117" s="8" t="n">
        <f aca="false">INDEX(Mapping!$C$2:$C$99,MATCH(V$1&amp;"|"&amp;Customers!V117,Mapping!$D$2:$D$99,0))</f>
        <v>1</v>
      </c>
      <c r="W117" s="17" t="n">
        <f aca="false">SUMPRODUCT($C117:$V117,Weights!$C$27:$V$27)</f>
        <v>1.4825</v>
      </c>
      <c r="X117" s="18" t="n">
        <f aca="false">ROUND($W117,2)</f>
        <v>1.48</v>
      </c>
      <c r="Y117" s="8" t="str">
        <f aca="false">IF($X117&lt;=2,"Low",IF($X117&lt;=3.49,"Medium","High"))</f>
        <v>Low</v>
      </c>
      <c r="Z117" s="8" t="str">
        <f aca="false">IF(OR($F117&gt;=3,$E117=5,$D117=5,$C117=5,$G117=5,$H117=5,$I117=5,$J117=5,Customers!$W117="Yes"),"Yes","No")</f>
        <v>No</v>
      </c>
      <c r="AA117" s="15" t="str">
        <f aca="false">IF($Z117="Yes","High",$Y117)</f>
        <v>Low</v>
      </c>
      <c r="AB117" s="18" t="n">
        <f aca="false">SUMPRODUCT($C117:$G117,Weights!$C$28:$G$28)</f>
        <v>1.2</v>
      </c>
      <c r="AC117" s="18" t="n">
        <f aca="false">SUMPRODUCT($H117:$J117,Weights!$H$28:$J$28)</f>
        <v>1</v>
      </c>
      <c r="AD117" s="18" t="n">
        <f aca="false">SUMPRODUCT($K117:$N117,Weights!$K$28:$N$28)</f>
        <v>2.2</v>
      </c>
      <c r="AE117" s="18" t="n">
        <f aca="false">SUMPRODUCT($O117:$Q117,Weights!$O$28:$Q$28)</f>
        <v>1.7</v>
      </c>
      <c r="AF117" s="18" t="n">
        <f aca="false">SUMPRODUCT($R117:$V117,Weights!$R$28:$V$28)</f>
        <v>1.75</v>
      </c>
      <c r="AH117" s="18" t="n">
        <f aca="false">SUMPRODUCT($AB117:$AF117,Validation!$D$7:$H$7)</f>
        <v>1.52285714285715</v>
      </c>
      <c r="AI117" s="18" t="n">
        <f aca="false">SUMPRODUCT($AB117:$AF117,Validation!$D$8:$H$8)</f>
        <v>1.44214285714285</v>
      </c>
      <c r="AJ117" s="18" t="n">
        <f aca="false">SUMPRODUCT($AB117:$AF117,Validation!$D$9:$H$9)</f>
        <v>1.5468333333335</v>
      </c>
      <c r="AK117" s="18" t="n">
        <f aca="false">SUMPRODUCT($AB117:$AF117,Validation!$D$10:$H$10)</f>
        <v>1.4181666666665</v>
      </c>
      <c r="AL117" s="18" t="n">
        <f aca="false">SUMPRODUCT($AB117:$AF117,Validation!$D$11:$H$11)</f>
        <v>1.3928125</v>
      </c>
      <c r="AM117" s="18" t="n">
        <f aca="false">SUMPRODUCT($AB117:$AF117,Validation!$D$12:$H$12)</f>
        <v>1.5721875</v>
      </c>
      <c r="AN117" s="18" t="n">
        <f aca="false">SUMPRODUCT($AB117:$AF117,Validation!$D$13:$H$13)</f>
        <v>1.45833333333325</v>
      </c>
      <c r="AO117" s="18" t="n">
        <f aca="false">SUMPRODUCT($AB117:$AF117,Validation!$D$14:$H$14)</f>
        <v>1.50666666666675</v>
      </c>
      <c r="AP117" s="18" t="n">
        <f aca="false">SUMPRODUCT($AB117:$AF117,Validation!$D$15:$H$15)</f>
        <v>1.4510294117648</v>
      </c>
      <c r="AQ117" s="18" t="n">
        <f aca="false">SUMPRODUCT($AB117:$AF117,Validation!$D$16:$H$16)</f>
        <v>1.5139705882352</v>
      </c>
      <c r="AR117" s="8" t="n">
        <f aca="false">COUNTIF($C117:$V117,"&gt;=4")</f>
        <v>0</v>
      </c>
      <c r="AS117" s="8" t="str">
        <f aca="false">IF($X117&lt;=1.6,"Low",IF($X117&lt;=2.2,"Medium","High"))</f>
        <v>Low</v>
      </c>
      <c r="AT117" s="8" t="str">
        <f aca="false">IF($AR117=0,"Low",IF($AR117&lt;3,"Medium","High"))</f>
        <v>Low</v>
      </c>
      <c r="AU117" s="8" t="str">
        <f aca="false">IF(OR($AS117="High",$AT117="High"),"High",IF(OR($AS117="Medium",$AT117="Medium"),"Medium","Low"))</f>
        <v>Low</v>
      </c>
      <c r="AV117" s="15" t="str">
        <f aca="false">IF($Z117="Yes","High",$AU117)</f>
        <v>Low</v>
      </c>
    </row>
    <row r="118" customFormat="false" ht="15" hidden="false" customHeight="false" outlineLevel="0" collapsed="false">
      <c r="A118" s="7" t="str">
        <f aca="false">Customers!$A118</f>
        <v>NG-10159</v>
      </c>
      <c r="B118" s="7" t="str">
        <f aca="false">Customers!$B118</f>
        <v>Personal</v>
      </c>
      <c r="C118" s="8" t="n">
        <f aca="false">INDEX(Mapping!$C$2:$C$99,MATCH(C$1&amp;"|"&amp;Customers!C118,Mapping!$D$2:$D$99,0))</f>
        <v>1</v>
      </c>
      <c r="D118" s="8" t="n">
        <f aca="false">INDEX(Mapping!$C$2:$C$99,MATCH(D$1&amp;"|"&amp;Customers!D118,Mapping!$D$2:$D$99,0))</f>
        <v>1</v>
      </c>
      <c r="E118" s="8" t="n">
        <f aca="false">INDEX(Mapping!$C$2:$C$99,MATCH(E$1&amp;"|"&amp;Customers!E118,Mapping!$D$2:$D$99,0))</f>
        <v>1</v>
      </c>
      <c r="F118" s="8" t="n">
        <f aca="false">INDEX(Mapping!$C$2:$C$99,MATCH(F$1&amp;"|"&amp;Customers!F118,Mapping!$D$2:$D$99,0))</f>
        <v>1</v>
      </c>
      <c r="G118" s="8" t="n">
        <f aca="false">INDEX(Mapping!$C$2:$C$99,MATCH(G$1&amp;"|"&amp;Customers!G118,Mapping!$D$2:$D$99,0))</f>
        <v>1</v>
      </c>
      <c r="H118" s="8" t="n">
        <f aca="false">INDEX(Mapping!$C$2:$C$99,MATCH(H$1&amp;"|"&amp;Customers!H118,Mapping!$D$2:$D$99,0))</f>
        <v>1</v>
      </c>
      <c r="I118" s="8" t="n">
        <f aca="false">INDEX(Mapping!$C$2:$C$99,MATCH(I$1&amp;"|"&amp;Customers!I118,Mapping!$D$2:$D$99,0))</f>
        <v>1</v>
      </c>
      <c r="J118" s="8" t="n">
        <f aca="false">INDEX(Mapping!$C$2:$C$99,MATCH(J$1&amp;"|"&amp;Customers!J118,Mapping!$D$2:$D$99,0))</f>
        <v>1</v>
      </c>
      <c r="K118" s="8" t="n">
        <f aca="false">INDEX(Mapping!$C$2:$C$99,MATCH(K$1&amp;"|"&amp;Customers!K118,Mapping!$D$2:$D$99,0))</f>
        <v>2</v>
      </c>
      <c r="L118" s="8" t="n">
        <f aca="false">INDEX(Mapping!$C$2:$C$99,MATCH(L$1&amp;"|"&amp;Customers!L118,Mapping!$D$2:$D$99,0))</f>
        <v>2</v>
      </c>
      <c r="M118" s="8" t="n">
        <f aca="false">INDEX(Mapping!$C$2:$C$99,MATCH(M$1&amp;"|"&amp;Customers!M118,Mapping!$D$2:$D$99,0))</f>
        <v>1</v>
      </c>
      <c r="N118" s="8" t="n">
        <f aca="false">INDEX(Mapping!$C$2:$C$99,MATCH(N$1&amp;"|"&amp;Customers!N118,Mapping!$D$2:$D$99,0))</f>
        <v>2</v>
      </c>
      <c r="O118" s="8" t="n">
        <f aca="false">INDEX(Mapping!$C$2:$C$99,MATCH(O$1&amp;"|"&amp;Customers!O118,Mapping!$D$2:$D$99,0))</f>
        <v>3</v>
      </c>
      <c r="P118" s="8" t="n">
        <f aca="false">INDEX(Mapping!$C$2:$C$99,MATCH(P$1&amp;"|"&amp;Customers!P118,Mapping!$D$2:$D$99,0))</f>
        <v>3</v>
      </c>
      <c r="Q118" s="8" t="n">
        <f aca="false">INDEX(Mapping!$C$2:$C$99,MATCH(Q$1&amp;"|"&amp;Customers!Q118,Mapping!$D$2:$D$99,0))</f>
        <v>2</v>
      </c>
      <c r="R118" s="8" t="n">
        <f aca="false">INDEX(Mapping!$C$2:$C$99,MATCH(R$1&amp;"|"&amp;Customers!R118,Mapping!$D$2:$D$99,0))</f>
        <v>1</v>
      </c>
      <c r="S118" s="8" t="n">
        <f aca="false">INDEX(Mapping!$C$2:$C$99,MATCH(S$1&amp;"|"&amp;Customers!S118,Mapping!$D$2:$D$99,0))</f>
        <v>1</v>
      </c>
      <c r="T118" s="8" t="n">
        <f aca="false">INDEX(Mapping!$C$2:$C$99,MATCH(T$1&amp;"|"&amp;Customers!T118,Mapping!$D$2:$D$99,0))</f>
        <v>1</v>
      </c>
      <c r="U118" s="8" t="n">
        <f aca="false">INDEX(Mapping!$C$2:$C$99,MATCH(U$1&amp;"|"&amp;Customers!U118,Mapping!$D$2:$D$99,0))</f>
        <v>2</v>
      </c>
      <c r="V118" s="8" t="n">
        <f aca="false">INDEX(Mapping!$C$2:$C$99,MATCH(V$1&amp;"|"&amp;Customers!V118,Mapping!$D$2:$D$99,0))</f>
        <v>1</v>
      </c>
      <c r="W118" s="17" t="n">
        <f aca="false">SUMPRODUCT($C118:$V118,Weights!$C$27:$V$27)</f>
        <v>1.3525</v>
      </c>
      <c r="X118" s="18" t="n">
        <f aca="false">ROUND($W118,2)</f>
        <v>1.35</v>
      </c>
      <c r="Y118" s="8" t="str">
        <f aca="false">IF($X118&lt;=2,"Low",IF($X118&lt;=3.49,"Medium","High"))</f>
        <v>Low</v>
      </c>
      <c r="Z118" s="8" t="str">
        <f aca="false">IF(OR($F118&gt;=3,$E118=5,$D118=5,$C118=5,$G118=5,$H118=5,$I118=5,$J118=5,Customers!$W118="Yes"),"Yes","No")</f>
        <v>No</v>
      </c>
      <c r="AA118" s="15" t="str">
        <f aca="false">IF($Z118="Yes","High",$Y118)</f>
        <v>Low</v>
      </c>
      <c r="AB118" s="18" t="n">
        <f aca="false">SUMPRODUCT($C118:$G118,Weights!$C$28:$G$28)</f>
        <v>1</v>
      </c>
      <c r="AC118" s="18" t="n">
        <f aca="false">SUMPRODUCT($H118:$J118,Weights!$H$28:$J$28)</f>
        <v>1</v>
      </c>
      <c r="AD118" s="18" t="n">
        <f aca="false">SUMPRODUCT($K118:$N118,Weights!$K$28:$N$28)</f>
        <v>1.75</v>
      </c>
      <c r="AE118" s="18" t="n">
        <f aca="false">SUMPRODUCT($O118:$Q118,Weights!$O$28:$Q$28)</f>
        <v>2.8</v>
      </c>
      <c r="AF118" s="18" t="n">
        <f aca="false">SUMPRODUCT($R118:$V118,Weights!$R$28:$V$28)</f>
        <v>1.15</v>
      </c>
      <c r="AH118" s="18" t="n">
        <f aca="false">SUMPRODUCT($AB118:$AF118,Validation!$D$7:$H$7)</f>
        <v>1.4028571428574</v>
      </c>
      <c r="AI118" s="18" t="n">
        <f aca="false">SUMPRODUCT($AB118:$AF118,Validation!$D$8:$H$8)</f>
        <v>1.3021428571426</v>
      </c>
      <c r="AJ118" s="18" t="n">
        <f aca="false">SUMPRODUCT($AB118:$AF118,Validation!$D$9:$H$9)</f>
        <v>1.39949999999965</v>
      </c>
      <c r="AK118" s="18" t="n">
        <f aca="false">SUMPRODUCT($AB118:$AF118,Validation!$D$10:$H$10)</f>
        <v>1.30550000000035</v>
      </c>
      <c r="AL118" s="18" t="n">
        <f aca="false">SUMPRODUCT($AB118:$AF118,Validation!$D$11:$H$11)</f>
        <v>1.3028125</v>
      </c>
      <c r="AM118" s="18" t="n">
        <f aca="false">SUMPRODUCT($AB118:$AF118,Validation!$D$12:$H$12)</f>
        <v>1.4021875</v>
      </c>
      <c r="AN118" s="18" t="n">
        <f aca="false">SUMPRODUCT($AB118:$AF118,Validation!$D$13:$H$13)</f>
        <v>1.19166666666655</v>
      </c>
      <c r="AO118" s="18" t="n">
        <f aca="false">SUMPRODUCT($AB118:$AF118,Validation!$D$14:$H$14)</f>
        <v>1.51333333333345</v>
      </c>
      <c r="AP118" s="18" t="n">
        <f aca="false">SUMPRODUCT($AB118:$AF118,Validation!$D$15:$H$15)</f>
        <v>1.37632352941135</v>
      </c>
      <c r="AQ118" s="18" t="n">
        <f aca="false">SUMPRODUCT($AB118:$AF118,Validation!$D$16:$H$16)</f>
        <v>1.32867647058865</v>
      </c>
      <c r="AR118" s="8" t="n">
        <f aca="false">COUNTIF($C118:$V118,"&gt;=4")</f>
        <v>0</v>
      </c>
      <c r="AS118" s="8" t="str">
        <f aca="false">IF($X118&lt;=1.6,"Low",IF($X118&lt;=2.2,"Medium","High"))</f>
        <v>Low</v>
      </c>
      <c r="AT118" s="8" t="str">
        <f aca="false">IF($AR118=0,"Low",IF($AR118&lt;3,"Medium","High"))</f>
        <v>Low</v>
      </c>
      <c r="AU118" s="8" t="str">
        <f aca="false">IF(OR($AS118="High",$AT118="High"),"High",IF(OR($AS118="Medium",$AT118="Medium"),"Medium","Low"))</f>
        <v>Low</v>
      </c>
      <c r="AV118" s="15" t="str">
        <f aca="false">IF($Z118="Yes","High",$AU118)</f>
        <v>Low</v>
      </c>
    </row>
    <row r="119" customFormat="false" ht="15" hidden="false" customHeight="false" outlineLevel="0" collapsed="false">
      <c r="A119" s="7" t="str">
        <f aca="false">Customers!$A119</f>
        <v>NG-10153</v>
      </c>
      <c r="B119" s="7" t="str">
        <f aca="false">Customers!$B119</f>
        <v>Personal</v>
      </c>
      <c r="C119" s="8" t="n">
        <f aca="false">INDEX(Mapping!$C$2:$C$99,MATCH(C$1&amp;"|"&amp;Customers!C119,Mapping!$D$2:$D$99,0))</f>
        <v>1</v>
      </c>
      <c r="D119" s="8" t="n">
        <f aca="false">INDEX(Mapping!$C$2:$C$99,MATCH(D$1&amp;"|"&amp;Customers!D119,Mapping!$D$2:$D$99,0))</f>
        <v>1</v>
      </c>
      <c r="E119" s="8" t="n">
        <f aca="false">INDEX(Mapping!$C$2:$C$99,MATCH(E$1&amp;"|"&amp;Customers!E119,Mapping!$D$2:$D$99,0))</f>
        <v>1</v>
      </c>
      <c r="F119" s="8" t="n">
        <f aca="false">INDEX(Mapping!$C$2:$C$99,MATCH(F$1&amp;"|"&amp;Customers!F119,Mapping!$D$2:$D$99,0))</f>
        <v>1</v>
      </c>
      <c r="G119" s="8" t="n">
        <f aca="false">INDEX(Mapping!$C$2:$C$99,MATCH(G$1&amp;"|"&amp;Customers!G119,Mapping!$D$2:$D$99,0))</f>
        <v>1</v>
      </c>
      <c r="H119" s="8" t="n">
        <f aca="false">INDEX(Mapping!$C$2:$C$99,MATCH(H$1&amp;"|"&amp;Customers!H119,Mapping!$D$2:$D$99,0))</f>
        <v>1</v>
      </c>
      <c r="I119" s="8" t="n">
        <f aca="false">INDEX(Mapping!$C$2:$C$99,MATCH(I$1&amp;"|"&amp;Customers!I119,Mapping!$D$2:$D$99,0))</f>
        <v>1</v>
      </c>
      <c r="J119" s="8" t="n">
        <f aca="false">INDEX(Mapping!$C$2:$C$99,MATCH(J$1&amp;"|"&amp;Customers!J119,Mapping!$D$2:$D$99,0))</f>
        <v>1</v>
      </c>
      <c r="K119" s="8" t="n">
        <f aca="false">INDEX(Mapping!$C$2:$C$99,MATCH(K$1&amp;"|"&amp;Customers!K119,Mapping!$D$2:$D$99,0))</f>
        <v>1</v>
      </c>
      <c r="L119" s="8" t="n">
        <f aca="false">INDEX(Mapping!$C$2:$C$99,MATCH(L$1&amp;"|"&amp;Customers!L119,Mapping!$D$2:$D$99,0))</f>
        <v>2</v>
      </c>
      <c r="M119" s="8" t="n">
        <f aca="false">INDEX(Mapping!$C$2:$C$99,MATCH(M$1&amp;"|"&amp;Customers!M119,Mapping!$D$2:$D$99,0))</f>
        <v>2</v>
      </c>
      <c r="N119" s="8" t="n">
        <f aca="false">INDEX(Mapping!$C$2:$C$99,MATCH(N$1&amp;"|"&amp;Customers!N119,Mapping!$D$2:$D$99,0))</f>
        <v>1</v>
      </c>
      <c r="O119" s="8" t="n">
        <f aca="false">INDEX(Mapping!$C$2:$C$99,MATCH(O$1&amp;"|"&amp;Customers!O119,Mapping!$D$2:$D$99,0))</f>
        <v>3</v>
      </c>
      <c r="P119" s="8" t="n">
        <f aca="false">INDEX(Mapping!$C$2:$C$99,MATCH(P$1&amp;"|"&amp;Customers!P119,Mapping!$D$2:$D$99,0))</f>
        <v>4</v>
      </c>
      <c r="Q119" s="8" t="n">
        <f aca="false">INDEX(Mapping!$C$2:$C$99,MATCH(Q$1&amp;"|"&amp;Customers!Q119,Mapping!$D$2:$D$99,0))</f>
        <v>1</v>
      </c>
      <c r="R119" s="8" t="n">
        <f aca="false">INDEX(Mapping!$C$2:$C$99,MATCH(R$1&amp;"|"&amp;Customers!R119,Mapping!$D$2:$D$99,0))</f>
        <v>1</v>
      </c>
      <c r="S119" s="8" t="n">
        <f aca="false">INDEX(Mapping!$C$2:$C$99,MATCH(S$1&amp;"|"&amp;Customers!S119,Mapping!$D$2:$D$99,0))</f>
        <v>1</v>
      </c>
      <c r="T119" s="8" t="n">
        <f aca="false">INDEX(Mapping!$C$2:$C$99,MATCH(T$1&amp;"|"&amp;Customers!T119,Mapping!$D$2:$D$99,0))</f>
        <v>1</v>
      </c>
      <c r="U119" s="8" t="n">
        <f aca="false">INDEX(Mapping!$C$2:$C$99,MATCH(U$1&amp;"|"&amp;Customers!U119,Mapping!$D$2:$D$99,0))</f>
        <v>1</v>
      </c>
      <c r="V119" s="8" t="n">
        <f aca="false">INDEX(Mapping!$C$2:$C$99,MATCH(V$1&amp;"|"&amp;Customers!V119,Mapping!$D$2:$D$99,0))</f>
        <v>1</v>
      </c>
      <c r="W119" s="17" t="n">
        <f aca="false">SUMPRODUCT($C119:$V119,Weights!$C$27:$V$27)</f>
        <v>1.295</v>
      </c>
      <c r="X119" s="18" t="n">
        <f aca="false">ROUND($W119,2)</f>
        <v>1.3</v>
      </c>
      <c r="Y119" s="8" t="str">
        <f aca="false">IF($X119&lt;=2,"Low",IF($X119&lt;=3.49,"Medium","High"))</f>
        <v>Low</v>
      </c>
      <c r="Z119" s="8" t="str">
        <f aca="false">IF(OR($F119&gt;=3,$E119=5,$D119=5,$C119=5,$G119=5,$H119=5,$I119=5,$J119=5,Customers!$W119="Yes"),"Yes","No")</f>
        <v>No</v>
      </c>
      <c r="AA119" s="15" t="str">
        <f aca="false">IF($Z119="Yes","High",$Y119)</f>
        <v>Low</v>
      </c>
      <c r="AB119" s="18" t="n">
        <f aca="false">SUMPRODUCT($C119:$G119,Weights!$C$28:$G$28)</f>
        <v>1</v>
      </c>
      <c r="AC119" s="18" t="n">
        <f aca="false">SUMPRODUCT($H119:$J119,Weights!$H$28:$J$28)</f>
        <v>1</v>
      </c>
      <c r="AD119" s="18" t="n">
        <f aca="false">SUMPRODUCT($K119:$N119,Weights!$K$28:$N$28)</f>
        <v>1.5</v>
      </c>
      <c r="AE119" s="18" t="n">
        <f aca="false">SUMPRODUCT($O119:$Q119,Weights!$O$28:$Q$28)</f>
        <v>2.95</v>
      </c>
      <c r="AF119" s="18" t="n">
        <f aca="false">SUMPRODUCT($R119:$V119,Weights!$R$28:$V$28)</f>
        <v>1</v>
      </c>
      <c r="AH119" s="18" t="n">
        <f aca="false">SUMPRODUCT($AB119:$AF119,Validation!$D$7:$H$7)</f>
        <v>1.3371428571432</v>
      </c>
      <c r="AI119" s="18" t="n">
        <f aca="false">SUMPRODUCT($AB119:$AF119,Validation!$D$8:$H$8)</f>
        <v>1.2528571428568</v>
      </c>
      <c r="AJ119" s="18" t="n">
        <f aca="false">SUMPRODUCT($AB119:$AF119,Validation!$D$9:$H$9)</f>
        <v>1.33433333333285</v>
      </c>
      <c r="AK119" s="18" t="n">
        <f aca="false">SUMPRODUCT($AB119:$AF119,Validation!$D$10:$H$10)</f>
        <v>1.25566666666715</v>
      </c>
      <c r="AL119" s="18" t="n">
        <f aca="false">SUMPRODUCT($AB119:$AF119,Validation!$D$11:$H$11)</f>
        <v>1.269375</v>
      </c>
      <c r="AM119" s="18" t="n">
        <f aca="false">SUMPRODUCT($AB119:$AF119,Validation!$D$12:$H$12)</f>
        <v>1.320625</v>
      </c>
      <c r="AN119" s="18" t="n">
        <f aca="false">SUMPRODUCT($AB119:$AF119,Validation!$D$13:$H$13)</f>
        <v>1.111111111111</v>
      </c>
      <c r="AO119" s="18" t="n">
        <f aca="false">SUMPRODUCT($AB119:$AF119,Validation!$D$14:$H$14)</f>
        <v>1.478888888889</v>
      </c>
      <c r="AP119" s="18" t="n">
        <f aca="false">SUMPRODUCT($AB119:$AF119,Validation!$D$15:$H$15)</f>
        <v>1.3297058823524</v>
      </c>
      <c r="AQ119" s="18" t="n">
        <f aca="false">SUMPRODUCT($AB119:$AF119,Validation!$D$16:$H$16)</f>
        <v>1.2602941176476</v>
      </c>
      <c r="AR119" s="8" t="n">
        <f aca="false">COUNTIF($C119:$V119,"&gt;=4")</f>
        <v>1</v>
      </c>
      <c r="AS119" s="8" t="str">
        <f aca="false">IF($X119&lt;=1.6,"Low",IF($X119&lt;=2.2,"Medium","High"))</f>
        <v>Low</v>
      </c>
      <c r="AT119" s="8" t="str">
        <f aca="false">IF($AR119=0,"Low",IF($AR119&lt;3,"Medium","High"))</f>
        <v>Medium</v>
      </c>
      <c r="AU119" s="8" t="str">
        <f aca="false">IF(OR($AS119="High",$AT119="High"),"High",IF(OR($AS119="Medium",$AT119="Medium"),"Medium","Low"))</f>
        <v>Medium</v>
      </c>
      <c r="AV119" s="15" t="str">
        <f aca="false">IF($Z119="Yes","High",$AU119)</f>
        <v>Medium</v>
      </c>
    </row>
    <row r="120" customFormat="false" ht="15" hidden="false" customHeight="false" outlineLevel="0" collapsed="false">
      <c r="A120" s="7" t="str">
        <f aca="false">Customers!$A120</f>
        <v>NG-10183</v>
      </c>
      <c r="B120" s="7" t="str">
        <f aca="false">Customers!$B120</f>
        <v>Personal</v>
      </c>
      <c r="C120" s="8" t="n">
        <f aca="false">INDEX(Mapping!$C$2:$C$99,MATCH(C$1&amp;"|"&amp;Customers!C120,Mapping!$D$2:$D$99,0))</f>
        <v>1</v>
      </c>
      <c r="D120" s="8" t="n">
        <f aca="false">INDEX(Mapping!$C$2:$C$99,MATCH(D$1&amp;"|"&amp;Customers!D120,Mapping!$D$2:$D$99,0))</f>
        <v>1</v>
      </c>
      <c r="E120" s="8" t="n">
        <f aca="false">INDEX(Mapping!$C$2:$C$99,MATCH(E$1&amp;"|"&amp;Customers!E120,Mapping!$D$2:$D$99,0))</f>
        <v>1</v>
      </c>
      <c r="F120" s="8" t="n">
        <f aca="false">INDEX(Mapping!$C$2:$C$99,MATCH(F$1&amp;"|"&amp;Customers!F120,Mapping!$D$2:$D$99,0))</f>
        <v>1</v>
      </c>
      <c r="G120" s="8" t="n">
        <f aca="false">INDEX(Mapping!$C$2:$C$99,MATCH(G$1&amp;"|"&amp;Customers!G120,Mapping!$D$2:$D$99,0))</f>
        <v>1</v>
      </c>
      <c r="H120" s="8" t="n">
        <f aca="false">INDEX(Mapping!$C$2:$C$99,MATCH(H$1&amp;"|"&amp;Customers!H120,Mapping!$D$2:$D$99,0))</f>
        <v>1</v>
      </c>
      <c r="I120" s="8" t="n">
        <f aca="false">INDEX(Mapping!$C$2:$C$99,MATCH(I$1&amp;"|"&amp;Customers!I120,Mapping!$D$2:$D$99,0))</f>
        <v>1</v>
      </c>
      <c r="J120" s="8" t="n">
        <f aca="false">INDEX(Mapping!$C$2:$C$99,MATCH(J$1&amp;"|"&amp;Customers!J120,Mapping!$D$2:$D$99,0))</f>
        <v>1</v>
      </c>
      <c r="K120" s="8" t="n">
        <f aca="false">INDEX(Mapping!$C$2:$C$99,MATCH(K$1&amp;"|"&amp;Customers!K120,Mapping!$D$2:$D$99,0))</f>
        <v>2</v>
      </c>
      <c r="L120" s="8" t="n">
        <f aca="false">INDEX(Mapping!$C$2:$C$99,MATCH(L$1&amp;"|"&amp;Customers!L120,Mapping!$D$2:$D$99,0))</f>
        <v>3</v>
      </c>
      <c r="M120" s="8" t="n">
        <f aca="false">INDEX(Mapping!$C$2:$C$99,MATCH(M$1&amp;"|"&amp;Customers!M120,Mapping!$D$2:$D$99,0))</f>
        <v>2</v>
      </c>
      <c r="N120" s="8" t="n">
        <f aca="false">INDEX(Mapping!$C$2:$C$99,MATCH(N$1&amp;"|"&amp;Customers!N120,Mapping!$D$2:$D$99,0))</f>
        <v>1</v>
      </c>
      <c r="O120" s="8" t="n">
        <f aca="false">INDEX(Mapping!$C$2:$C$99,MATCH(O$1&amp;"|"&amp;Customers!O120,Mapping!$D$2:$D$99,0))</f>
        <v>1</v>
      </c>
      <c r="P120" s="8" t="n">
        <f aca="false">INDEX(Mapping!$C$2:$C$99,MATCH(P$1&amp;"|"&amp;Customers!P120,Mapping!$D$2:$D$99,0))</f>
        <v>4</v>
      </c>
      <c r="Q120" s="8" t="n">
        <f aca="false">INDEX(Mapping!$C$2:$C$99,MATCH(Q$1&amp;"|"&amp;Customers!Q120,Mapping!$D$2:$D$99,0))</f>
        <v>1</v>
      </c>
      <c r="R120" s="8" t="n">
        <f aca="false">INDEX(Mapping!$C$2:$C$99,MATCH(R$1&amp;"|"&amp;Customers!R120,Mapping!$D$2:$D$99,0))</f>
        <v>4</v>
      </c>
      <c r="S120" s="8" t="n">
        <f aca="false">INDEX(Mapping!$C$2:$C$99,MATCH(S$1&amp;"|"&amp;Customers!S120,Mapping!$D$2:$D$99,0))</f>
        <v>2</v>
      </c>
      <c r="T120" s="8" t="n">
        <f aca="false">INDEX(Mapping!$C$2:$C$99,MATCH(T$1&amp;"|"&amp;Customers!T120,Mapping!$D$2:$D$99,0))</f>
        <v>2</v>
      </c>
      <c r="U120" s="8" t="n">
        <f aca="false">INDEX(Mapping!$C$2:$C$99,MATCH(U$1&amp;"|"&amp;Customers!U120,Mapping!$D$2:$D$99,0))</f>
        <v>1</v>
      </c>
      <c r="V120" s="8" t="n">
        <f aca="false">INDEX(Mapping!$C$2:$C$99,MATCH(V$1&amp;"|"&amp;Customers!V120,Mapping!$D$2:$D$99,0))</f>
        <v>1</v>
      </c>
      <c r="W120" s="17" t="n">
        <f aca="false">SUMPRODUCT($C120:$V120,Weights!$C$27:$V$27)</f>
        <v>1.5125</v>
      </c>
      <c r="X120" s="18" t="n">
        <f aca="false">ROUND($W120,2)</f>
        <v>1.51</v>
      </c>
      <c r="Y120" s="8" t="str">
        <f aca="false">IF($X120&lt;=2,"Low",IF($X120&lt;=3.49,"Medium","High"))</f>
        <v>Low</v>
      </c>
      <c r="Z120" s="8" t="str">
        <f aca="false">IF(OR($F120&gt;=3,$E120=5,$D120=5,$C120=5,$G120=5,$H120=5,$I120=5,$J120=5,Customers!$W120="Yes"),"Yes","No")</f>
        <v>No</v>
      </c>
      <c r="AA120" s="15" t="str">
        <f aca="false">IF($Z120="Yes","High",$Y120)</f>
        <v>Low</v>
      </c>
      <c r="AB120" s="18" t="n">
        <f aca="false">SUMPRODUCT($C120:$G120,Weights!$C$28:$G$28)</f>
        <v>1</v>
      </c>
      <c r="AC120" s="18" t="n">
        <f aca="false">SUMPRODUCT($H120:$J120,Weights!$H$28:$J$28)</f>
        <v>1</v>
      </c>
      <c r="AD120" s="18" t="n">
        <f aca="false">SUMPRODUCT($K120:$N120,Weights!$K$28:$N$28)</f>
        <v>2.1</v>
      </c>
      <c r="AE120" s="18" t="n">
        <f aca="false">SUMPRODUCT($O120:$Q120,Weights!$O$28:$Q$28)</f>
        <v>2.05</v>
      </c>
      <c r="AF120" s="18" t="n">
        <f aca="false">SUMPRODUCT($R120:$V120,Weights!$R$28:$V$28)</f>
        <v>2.25</v>
      </c>
      <c r="AH120" s="18" t="n">
        <f aca="false">SUMPRODUCT($AB120:$AF120,Validation!$D$7:$H$7)</f>
        <v>1.58571428571465</v>
      </c>
      <c r="AI120" s="18" t="n">
        <f aca="false">SUMPRODUCT($AB120:$AF120,Validation!$D$8:$H$8)</f>
        <v>1.43928571428535</v>
      </c>
      <c r="AJ120" s="18" t="n">
        <f aca="false">SUMPRODUCT($AB120:$AF120,Validation!$D$9:$H$9)</f>
        <v>1.58083333333335</v>
      </c>
      <c r="AK120" s="18" t="n">
        <f aca="false">SUMPRODUCT($AB120:$AF120,Validation!$D$10:$H$10)</f>
        <v>1.44416666666665</v>
      </c>
      <c r="AL120" s="18" t="n">
        <f aca="false">SUMPRODUCT($AB120:$AF120,Validation!$D$11:$H$11)</f>
        <v>1.4390625</v>
      </c>
      <c r="AM120" s="18" t="n">
        <f aca="false">SUMPRODUCT($AB120:$AF120,Validation!$D$12:$H$12)</f>
        <v>1.5859375</v>
      </c>
      <c r="AN120" s="18" t="n">
        <f aca="false">SUMPRODUCT($AB120:$AF120,Validation!$D$13:$H$13)</f>
        <v>1.45277777777795</v>
      </c>
      <c r="AO120" s="18" t="n">
        <f aca="false">SUMPRODUCT($AB120:$AF120,Validation!$D$14:$H$14)</f>
        <v>1.57222222222205</v>
      </c>
      <c r="AP120" s="18" t="n">
        <f aca="false">SUMPRODUCT($AB120:$AF120,Validation!$D$15:$H$15)</f>
        <v>1.4257352941176</v>
      </c>
      <c r="AQ120" s="18" t="n">
        <f aca="false">SUMPRODUCT($AB120:$AF120,Validation!$D$16:$H$16)</f>
        <v>1.5992647058824</v>
      </c>
      <c r="AR120" s="8" t="n">
        <f aca="false">COUNTIF($C120:$V120,"&gt;=4")</f>
        <v>2</v>
      </c>
      <c r="AS120" s="8" t="str">
        <f aca="false">IF($X120&lt;=1.6,"Low",IF($X120&lt;=2.2,"Medium","High"))</f>
        <v>Low</v>
      </c>
      <c r="AT120" s="8" t="str">
        <f aca="false">IF($AR120=0,"Low",IF($AR120&lt;3,"Medium","High"))</f>
        <v>Medium</v>
      </c>
      <c r="AU120" s="8" t="str">
        <f aca="false">IF(OR($AS120="High",$AT120="High"),"High",IF(OR($AS120="Medium",$AT120="Medium"),"Medium","Low"))</f>
        <v>Medium</v>
      </c>
      <c r="AV120" s="15" t="str">
        <f aca="false">IF($Z120="Yes","High",$AU120)</f>
        <v>Medium</v>
      </c>
    </row>
    <row r="121" customFormat="false" ht="15" hidden="false" customHeight="false" outlineLevel="0" collapsed="false">
      <c r="A121" s="7" t="str">
        <f aca="false">Customers!$A121</f>
        <v>NG-10054</v>
      </c>
      <c r="B121" s="7" t="str">
        <f aca="false">Customers!$B121</f>
        <v>Personal</v>
      </c>
      <c r="C121" s="8" t="n">
        <f aca="false">INDEX(Mapping!$C$2:$C$99,MATCH(C$1&amp;"|"&amp;Customers!C121,Mapping!$D$2:$D$99,0))</f>
        <v>2</v>
      </c>
      <c r="D121" s="8" t="n">
        <f aca="false">INDEX(Mapping!$C$2:$C$99,MATCH(D$1&amp;"|"&amp;Customers!D121,Mapping!$D$2:$D$99,0))</f>
        <v>1</v>
      </c>
      <c r="E121" s="8" t="n">
        <f aca="false">INDEX(Mapping!$C$2:$C$99,MATCH(E$1&amp;"|"&amp;Customers!E121,Mapping!$D$2:$D$99,0))</f>
        <v>1</v>
      </c>
      <c r="F121" s="8" t="n">
        <f aca="false">INDEX(Mapping!$C$2:$C$99,MATCH(F$1&amp;"|"&amp;Customers!F121,Mapping!$D$2:$D$99,0))</f>
        <v>1</v>
      </c>
      <c r="G121" s="8" t="n">
        <f aca="false">INDEX(Mapping!$C$2:$C$99,MATCH(G$1&amp;"|"&amp;Customers!G121,Mapping!$D$2:$D$99,0))</f>
        <v>1</v>
      </c>
      <c r="H121" s="8" t="n">
        <f aca="false">INDEX(Mapping!$C$2:$C$99,MATCH(H$1&amp;"|"&amp;Customers!H121,Mapping!$D$2:$D$99,0))</f>
        <v>1</v>
      </c>
      <c r="I121" s="8" t="n">
        <f aca="false">INDEX(Mapping!$C$2:$C$99,MATCH(I$1&amp;"|"&amp;Customers!I121,Mapping!$D$2:$D$99,0))</f>
        <v>1</v>
      </c>
      <c r="J121" s="8" t="n">
        <f aca="false">INDEX(Mapping!$C$2:$C$99,MATCH(J$1&amp;"|"&amp;Customers!J121,Mapping!$D$2:$D$99,0))</f>
        <v>2</v>
      </c>
      <c r="K121" s="8" t="n">
        <f aca="false">INDEX(Mapping!$C$2:$C$99,MATCH(K$1&amp;"|"&amp;Customers!K121,Mapping!$D$2:$D$99,0))</f>
        <v>2</v>
      </c>
      <c r="L121" s="8" t="n">
        <f aca="false">INDEX(Mapping!$C$2:$C$99,MATCH(L$1&amp;"|"&amp;Customers!L121,Mapping!$D$2:$D$99,0))</f>
        <v>1</v>
      </c>
      <c r="M121" s="8" t="n">
        <f aca="false">INDEX(Mapping!$C$2:$C$99,MATCH(M$1&amp;"|"&amp;Customers!M121,Mapping!$D$2:$D$99,0))</f>
        <v>1</v>
      </c>
      <c r="N121" s="8" t="n">
        <f aca="false">INDEX(Mapping!$C$2:$C$99,MATCH(N$1&amp;"|"&amp;Customers!N121,Mapping!$D$2:$D$99,0))</f>
        <v>1</v>
      </c>
      <c r="O121" s="8" t="n">
        <f aca="false">INDEX(Mapping!$C$2:$C$99,MATCH(O$1&amp;"|"&amp;Customers!O121,Mapping!$D$2:$D$99,0))</f>
        <v>3</v>
      </c>
      <c r="P121" s="8" t="n">
        <f aca="false">INDEX(Mapping!$C$2:$C$99,MATCH(P$1&amp;"|"&amp;Customers!P121,Mapping!$D$2:$D$99,0))</f>
        <v>4</v>
      </c>
      <c r="Q121" s="8" t="n">
        <f aca="false">INDEX(Mapping!$C$2:$C$99,MATCH(Q$1&amp;"|"&amp;Customers!Q121,Mapping!$D$2:$D$99,0))</f>
        <v>1</v>
      </c>
      <c r="R121" s="8" t="n">
        <f aca="false">INDEX(Mapping!$C$2:$C$99,MATCH(R$1&amp;"|"&amp;Customers!R121,Mapping!$D$2:$D$99,0))</f>
        <v>1</v>
      </c>
      <c r="S121" s="8" t="n">
        <f aca="false">INDEX(Mapping!$C$2:$C$99,MATCH(S$1&amp;"|"&amp;Customers!S121,Mapping!$D$2:$D$99,0))</f>
        <v>2</v>
      </c>
      <c r="T121" s="8" t="n">
        <f aca="false">INDEX(Mapping!$C$2:$C$99,MATCH(T$1&amp;"|"&amp;Customers!T121,Mapping!$D$2:$D$99,0))</f>
        <v>1</v>
      </c>
      <c r="U121" s="8" t="n">
        <f aca="false">INDEX(Mapping!$C$2:$C$99,MATCH(U$1&amp;"|"&amp;Customers!U121,Mapping!$D$2:$D$99,0))</f>
        <v>1</v>
      </c>
      <c r="V121" s="8" t="n">
        <f aca="false">INDEX(Mapping!$C$2:$C$99,MATCH(V$1&amp;"|"&amp;Customers!V121,Mapping!$D$2:$D$99,0))</f>
        <v>1</v>
      </c>
      <c r="W121" s="17" t="n">
        <f aca="false">SUMPRODUCT($C121:$V121,Weights!$C$27:$V$27)</f>
        <v>1.47</v>
      </c>
      <c r="X121" s="18" t="n">
        <f aca="false">ROUND($W121,2)</f>
        <v>1.47</v>
      </c>
      <c r="Y121" s="8" t="str">
        <f aca="false">IF($X121&lt;=2,"Low",IF($X121&lt;=3.49,"Medium","High"))</f>
        <v>Low</v>
      </c>
      <c r="Z121" s="8" t="str">
        <f aca="false">IF(OR($F121&gt;=3,$E121=5,$D121=5,$C121=5,$G121=5,$H121=5,$I121=5,$J121=5,Customers!$W121="Yes"),"Yes","No")</f>
        <v>No</v>
      </c>
      <c r="AA121" s="15" t="str">
        <f aca="false">IF($Z121="Yes","High",$Y121)</f>
        <v>Low</v>
      </c>
      <c r="AB121" s="18" t="n">
        <f aca="false">SUMPRODUCT($C121:$G121,Weights!$C$28:$G$28)</f>
        <v>1.2</v>
      </c>
      <c r="AC121" s="18" t="n">
        <f aca="false">SUMPRODUCT($H121:$J121,Weights!$H$28:$J$28)</f>
        <v>1.4</v>
      </c>
      <c r="AD121" s="18" t="n">
        <f aca="false">SUMPRODUCT($K121:$N121,Weights!$K$28:$N$28)</f>
        <v>1.35</v>
      </c>
      <c r="AE121" s="18" t="n">
        <f aca="false">SUMPRODUCT($O121:$Q121,Weights!$O$28:$Q$28)</f>
        <v>2.95</v>
      </c>
      <c r="AF121" s="18" t="n">
        <f aca="false">SUMPRODUCT($R121:$V121,Weights!$R$28:$V$28)</f>
        <v>1.3</v>
      </c>
      <c r="AH121" s="18" t="n">
        <f aca="false">SUMPRODUCT($AB121:$AF121,Validation!$D$7:$H$7)</f>
        <v>1.50857142857185</v>
      </c>
      <c r="AI121" s="18" t="n">
        <f aca="false">SUMPRODUCT($AB121:$AF121,Validation!$D$8:$H$8)</f>
        <v>1.43142857142815</v>
      </c>
      <c r="AJ121" s="18" t="n">
        <f aca="false">SUMPRODUCT($AB121:$AF121,Validation!$D$9:$H$9)</f>
        <v>1.4793333333328</v>
      </c>
      <c r="AK121" s="18" t="n">
        <f aca="false">SUMPRODUCT($AB121:$AF121,Validation!$D$10:$H$10)</f>
        <v>1.4606666666672</v>
      </c>
      <c r="AL121" s="18" t="n">
        <f aca="false">SUMPRODUCT($AB121:$AF121,Validation!$D$11:$H$11)</f>
        <v>1.485</v>
      </c>
      <c r="AM121" s="18" t="n">
        <f aca="false">SUMPRODUCT($AB121:$AF121,Validation!$D$12:$H$12)</f>
        <v>1.455</v>
      </c>
      <c r="AN121" s="18" t="n">
        <f aca="false">SUMPRODUCT($AB121:$AF121,Validation!$D$13:$H$13)</f>
        <v>1.3055555555556</v>
      </c>
      <c r="AO121" s="18" t="n">
        <f aca="false">SUMPRODUCT($AB121:$AF121,Validation!$D$14:$H$14)</f>
        <v>1.6344444444444</v>
      </c>
      <c r="AP121" s="18" t="n">
        <f aca="false">SUMPRODUCT($AB121:$AF121,Validation!$D$15:$H$15)</f>
        <v>1.48999999999945</v>
      </c>
      <c r="AQ121" s="18" t="n">
        <f aca="false">SUMPRODUCT($AB121:$AF121,Validation!$D$16:$H$16)</f>
        <v>1.45000000000055</v>
      </c>
      <c r="AR121" s="8" t="n">
        <f aca="false">COUNTIF($C121:$V121,"&gt;=4")</f>
        <v>1</v>
      </c>
      <c r="AS121" s="8" t="str">
        <f aca="false">IF($X121&lt;=1.6,"Low",IF($X121&lt;=2.2,"Medium","High"))</f>
        <v>Low</v>
      </c>
      <c r="AT121" s="8" t="str">
        <f aca="false">IF($AR121=0,"Low",IF($AR121&lt;3,"Medium","High"))</f>
        <v>Medium</v>
      </c>
      <c r="AU121" s="8" t="str">
        <f aca="false">IF(OR($AS121="High",$AT121="High"),"High",IF(OR($AS121="Medium",$AT121="Medium"),"Medium","Low"))</f>
        <v>Medium</v>
      </c>
      <c r="AV121" s="15" t="str">
        <f aca="false">IF($Z121="Yes","High",$AU121)</f>
        <v>Medium</v>
      </c>
    </row>
    <row r="122" customFormat="false" ht="15" hidden="false" customHeight="false" outlineLevel="0" collapsed="false">
      <c r="A122" s="7" t="str">
        <f aca="false">Customers!$A122</f>
        <v>NG-10198</v>
      </c>
      <c r="B122" s="7" t="str">
        <f aca="false">Customers!$B122</f>
        <v>Personal</v>
      </c>
      <c r="C122" s="8" t="n">
        <f aca="false">INDEX(Mapping!$C$2:$C$99,MATCH(C$1&amp;"|"&amp;Customers!C122,Mapping!$D$2:$D$99,0))</f>
        <v>1</v>
      </c>
      <c r="D122" s="8" t="n">
        <f aca="false">INDEX(Mapping!$C$2:$C$99,MATCH(D$1&amp;"|"&amp;Customers!D122,Mapping!$D$2:$D$99,0))</f>
        <v>1</v>
      </c>
      <c r="E122" s="8" t="n">
        <f aca="false">INDEX(Mapping!$C$2:$C$99,MATCH(E$1&amp;"|"&amp;Customers!E122,Mapping!$D$2:$D$99,0))</f>
        <v>4</v>
      </c>
      <c r="F122" s="8" t="n">
        <f aca="false">INDEX(Mapping!$C$2:$C$99,MATCH(F$1&amp;"|"&amp;Customers!F122,Mapping!$D$2:$D$99,0))</f>
        <v>1</v>
      </c>
      <c r="G122" s="8" t="n">
        <f aca="false">INDEX(Mapping!$C$2:$C$99,MATCH(G$1&amp;"|"&amp;Customers!G122,Mapping!$D$2:$D$99,0))</f>
        <v>2</v>
      </c>
      <c r="H122" s="8" t="n">
        <f aca="false">INDEX(Mapping!$C$2:$C$99,MATCH(H$1&amp;"|"&amp;Customers!H122,Mapping!$D$2:$D$99,0))</f>
        <v>1</v>
      </c>
      <c r="I122" s="8" t="n">
        <f aca="false">INDEX(Mapping!$C$2:$C$99,MATCH(I$1&amp;"|"&amp;Customers!I122,Mapping!$D$2:$D$99,0))</f>
        <v>1</v>
      </c>
      <c r="J122" s="8" t="n">
        <f aca="false">INDEX(Mapping!$C$2:$C$99,MATCH(J$1&amp;"|"&amp;Customers!J122,Mapping!$D$2:$D$99,0))</f>
        <v>1</v>
      </c>
      <c r="K122" s="8" t="n">
        <f aca="false">INDEX(Mapping!$C$2:$C$99,MATCH(K$1&amp;"|"&amp;Customers!K122,Mapping!$D$2:$D$99,0))</f>
        <v>3</v>
      </c>
      <c r="L122" s="8" t="n">
        <f aca="false">INDEX(Mapping!$C$2:$C$99,MATCH(L$1&amp;"|"&amp;Customers!L122,Mapping!$D$2:$D$99,0))</f>
        <v>2</v>
      </c>
      <c r="M122" s="8" t="n">
        <f aca="false">INDEX(Mapping!$C$2:$C$99,MATCH(M$1&amp;"|"&amp;Customers!M122,Mapping!$D$2:$D$99,0))</f>
        <v>2</v>
      </c>
      <c r="N122" s="8" t="n">
        <f aca="false">INDEX(Mapping!$C$2:$C$99,MATCH(N$1&amp;"|"&amp;Customers!N122,Mapping!$D$2:$D$99,0))</f>
        <v>1</v>
      </c>
      <c r="O122" s="8" t="n">
        <f aca="false">INDEX(Mapping!$C$2:$C$99,MATCH(O$1&amp;"|"&amp;Customers!O122,Mapping!$D$2:$D$99,0))</f>
        <v>3</v>
      </c>
      <c r="P122" s="8" t="n">
        <f aca="false">INDEX(Mapping!$C$2:$C$99,MATCH(P$1&amp;"|"&amp;Customers!P122,Mapping!$D$2:$D$99,0))</f>
        <v>3</v>
      </c>
      <c r="Q122" s="8" t="n">
        <f aca="false">INDEX(Mapping!$C$2:$C$99,MATCH(Q$1&amp;"|"&amp;Customers!Q122,Mapping!$D$2:$D$99,0))</f>
        <v>1</v>
      </c>
      <c r="R122" s="8" t="n">
        <f aca="false">INDEX(Mapping!$C$2:$C$99,MATCH(R$1&amp;"|"&amp;Customers!R122,Mapping!$D$2:$D$99,0))</f>
        <v>2</v>
      </c>
      <c r="S122" s="8" t="n">
        <f aca="false">INDEX(Mapping!$C$2:$C$99,MATCH(S$1&amp;"|"&amp;Customers!S122,Mapping!$D$2:$D$99,0))</f>
        <v>3</v>
      </c>
      <c r="T122" s="8" t="n">
        <f aca="false">INDEX(Mapping!$C$2:$C$99,MATCH(T$1&amp;"|"&amp;Customers!T122,Mapping!$D$2:$D$99,0))</f>
        <v>2</v>
      </c>
      <c r="U122" s="8" t="n">
        <f aca="false">INDEX(Mapping!$C$2:$C$99,MATCH(U$1&amp;"|"&amp;Customers!U122,Mapping!$D$2:$D$99,0))</f>
        <v>1</v>
      </c>
      <c r="V122" s="8" t="n">
        <f aca="false">INDEX(Mapping!$C$2:$C$99,MATCH(V$1&amp;"|"&amp;Customers!V122,Mapping!$D$2:$D$99,0))</f>
        <v>1</v>
      </c>
      <c r="W122" s="17" t="n">
        <f aca="false">SUMPRODUCT($C122:$V122,Weights!$C$27:$V$27)</f>
        <v>1.8275</v>
      </c>
      <c r="X122" s="18" t="n">
        <f aca="false">ROUND($W122,2)</f>
        <v>1.83</v>
      </c>
      <c r="Y122" s="8" t="str">
        <f aca="false">IF($X122&lt;=2,"Low",IF($X122&lt;=3.49,"Medium","High"))</f>
        <v>Low</v>
      </c>
      <c r="Z122" s="8" t="str">
        <f aca="false">IF(OR($F122&gt;=3,$E122=5,$D122=5,$C122=5,$G122=5,$H122=5,$I122=5,$J122=5,Customers!$W122="Yes"),"Yes","No")</f>
        <v>No</v>
      </c>
      <c r="AA122" s="15" t="str">
        <f aca="false">IF($Z122="Yes","High",$Y122)</f>
        <v>Low</v>
      </c>
      <c r="AB122" s="18" t="n">
        <f aca="false">SUMPRODUCT($C122:$G122,Weights!$C$28:$G$28)</f>
        <v>1.9</v>
      </c>
      <c r="AC122" s="18" t="n">
        <f aca="false">SUMPRODUCT($H122:$J122,Weights!$H$28:$J$28)</f>
        <v>1</v>
      </c>
      <c r="AD122" s="18" t="n">
        <f aca="false">SUMPRODUCT($K122:$N122,Weights!$K$28:$N$28)</f>
        <v>2.2</v>
      </c>
      <c r="AE122" s="18" t="n">
        <f aca="false">SUMPRODUCT($O122:$Q122,Weights!$O$28:$Q$28)</f>
        <v>2.6</v>
      </c>
      <c r="AF122" s="18" t="n">
        <f aca="false">SUMPRODUCT($R122:$V122,Weights!$R$28:$V$28)</f>
        <v>2.05</v>
      </c>
      <c r="AH122" s="18" t="n">
        <f aca="false">SUMPRODUCT($AB122:$AF122,Validation!$D$7:$H$7)</f>
        <v>1.81714285714325</v>
      </c>
      <c r="AI122" s="18" t="n">
        <f aca="false">SUMPRODUCT($AB122:$AF122,Validation!$D$8:$H$8)</f>
        <v>1.83785714285675</v>
      </c>
      <c r="AJ122" s="18" t="n">
        <f aca="false">SUMPRODUCT($AB122:$AF122,Validation!$D$9:$H$9)</f>
        <v>1.9378333333332</v>
      </c>
      <c r="AK122" s="18" t="n">
        <f aca="false">SUMPRODUCT($AB122:$AF122,Validation!$D$10:$H$10)</f>
        <v>1.7171666666668</v>
      </c>
      <c r="AL122" s="18" t="n">
        <f aca="false">SUMPRODUCT($AB122:$AF122,Validation!$D$11:$H$11)</f>
        <v>1.7809375</v>
      </c>
      <c r="AM122" s="18" t="n">
        <f aca="false">SUMPRODUCT($AB122:$AF122,Validation!$D$12:$H$12)</f>
        <v>1.8740625</v>
      </c>
      <c r="AN122" s="18" t="n">
        <f aca="false">SUMPRODUCT($AB122:$AF122,Validation!$D$13:$H$13)</f>
        <v>1.74166666666645</v>
      </c>
      <c r="AO122" s="18" t="n">
        <f aca="false">SUMPRODUCT($AB122:$AF122,Validation!$D$14:$H$14)</f>
        <v>1.91333333333355</v>
      </c>
      <c r="AP122" s="18" t="n">
        <f aca="false">SUMPRODUCT($AB122:$AF122,Validation!$D$15:$H$15)</f>
        <v>1.8013235294115</v>
      </c>
      <c r="AQ122" s="18" t="n">
        <f aca="false">SUMPRODUCT($AB122:$AF122,Validation!$D$16:$H$16)</f>
        <v>1.8536764705885</v>
      </c>
      <c r="AR122" s="8" t="n">
        <f aca="false">COUNTIF($C122:$V122,"&gt;=4")</f>
        <v>1</v>
      </c>
      <c r="AS122" s="8" t="str">
        <f aca="false">IF($X122&lt;=1.6,"Low",IF($X122&lt;=2.2,"Medium","High"))</f>
        <v>Medium</v>
      </c>
      <c r="AT122" s="8" t="str">
        <f aca="false">IF($AR122=0,"Low",IF($AR122&lt;3,"Medium","High"))</f>
        <v>Medium</v>
      </c>
      <c r="AU122" s="8" t="str">
        <f aca="false">IF(OR($AS122="High",$AT122="High"),"High",IF(OR($AS122="Medium",$AT122="Medium"),"Medium","Low"))</f>
        <v>Medium</v>
      </c>
      <c r="AV122" s="15" t="str">
        <f aca="false">IF($Z122="Yes","High",$AU122)</f>
        <v>Medium</v>
      </c>
    </row>
    <row r="123" customFormat="false" ht="15" hidden="false" customHeight="false" outlineLevel="0" collapsed="false">
      <c r="A123" s="7" t="str">
        <f aca="false">Customers!$A123</f>
        <v>NG-10342</v>
      </c>
      <c r="B123" s="7" t="str">
        <f aca="false">Customers!$B123</f>
        <v>Sole trader</v>
      </c>
      <c r="C123" s="8" t="n">
        <f aca="false">INDEX(Mapping!$C$2:$C$99,MATCH(C$1&amp;"|"&amp;Customers!C123,Mapping!$D$2:$D$99,0))</f>
        <v>2</v>
      </c>
      <c r="D123" s="8" t="n">
        <f aca="false">INDEX(Mapping!$C$2:$C$99,MATCH(D$1&amp;"|"&amp;Customers!D123,Mapping!$D$2:$D$99,0))</f>
        <v>1</v>
      </c>
      <c r="E123" s="8" t="n">
        <f aca="false">INDEX(Mapping!$C$2:$C$99,MATCH(E$1&amp;"|"&amp;Customers!E123,Mapping!$D$2:$D$99,0))</f>
        <v>3</v>
      </c>
      <c r="F123" s="8" t="n">
        <f aca="false">INDEX(Mapping!$C$2:$C$99,MATCH(F$1&amp;"|"&amp;Customers!F123,Mapping!$D$2:$D$99,0))</f>
        <v>1</v>
      </c>
      <c r="G123" s="8" t="n">
        <f aca="false">INDEX(Mapping!$C$2:$C$99,MATCH(G$1&amp;"|"&amp;Customers!G123,Mapping!$D$2:$D$99,0))</f>
        <v>1</v>
      </c>
      <c r="H123" s="8" t="n">
        <f aca="false">INDEX(Mapping!$C$2:$C$99,MATCH(H$1&amp;"|"&amp;Customers!H123,Mapping!$D$2:$D$99,0))</f>
        <v>1</v>
      </c>
      <c r="I123" s="8" t="n">
        <f aca="false">INDEX(Mapping!$C$2:$C$99,MATCH(I$1&amp;"|"&amp;Customers!I123,Mapping!$D$2:$D$99,0))</f>
        <v>1</v>
      </c>
      <c r="J123" s="8" t="n">
        <f aca="false">INDEX(Mapping!$C$2:$C$99,MATCH(J$1&amp;"|"&amp;Customers!J123,Mapping!$D$2:$D$99,0))</f>
        <v>1</v>
      </c>
      <c r="K123" s="8" t="n">
        <f aca="false">INDEX(Mapping!$C$2:$C$99,MATCH(K$1&amp;"|"&amp;Customers!K123,Mapping!$D$2:$D$99,0))</f>
        <v>4</v>
      </c>
      <c r="L123" s="8" t="n">
        <f aca="false">INDEX(Mapping!$C$2:$C$99,MATCH(L$1&amp;"|"&amp;Customers!L123,Mapping!$D$2:$D$99,0))</f>
        <v>3</v>
      </c>
      <c r="M123" s="8" t="n">
        <f aca="false">INDEX(Mapping!$C$2:$C$99,MATCH(M$1&amp;"|"&amp;Customers!M123,Mapping!$D$2:$D$99,0))</f>
        <v>1</v>
      </c>
      <c r="N123" s="8" t="n">
        <f aca="false">INDEX(Mapping!$C$2:$C$99,MATCH(N$1&amp;"|"&amp;Customers!N123,Mapping!$D$2:$D$99,0))</f>
        <v>1</v>
      </c>
      <c r="O123" s="8" t="n">
        <f aca="false">INDEX(Mapping!$C$2:$C$99,MATCH(O$1&amp;"|"&amp;Customers!O123,Mapping!$D$2:$D$99,0))</f>
        <v>3</v>
      </c>
      <c r="P123" s="8" t="n">
        <f aca="false">INDEX(Mapping!$C$2:$C$99,MATCH(P$1&amp;"|"&amp;Customers!P123,Mapping!$D$2:$D$99,0))</f>
        <v>3</v>
      </c>
      <c r="Q123" s="8" t="n">
        <f aca="false">INDEX(Mapping!$C$2:$C$99,MATCH(Q$1&amp;"|"&amp;Customers!Q123,Mapping!$D$2:$D$99,0))</f>
        <v>1</v>
      </c>
      <c r="R123" s="8" t="n">
        <f aca="false">INDEX(Mapping!$C$2:$C$99,MATCH(R$1&amp;"|"&amp;Customers!R123,Mapping!$D$2:$D$99,0))</f>
        <v>2</v>
      </c>
      <c r="S123" s="8" t="n">
        <f aca="false">INDEX(Mapping!$C$2:$C$99,MATCH(S$1&amp;"|"&amp;Customers!S123,Mapping!$D$2:$D$99,0))</f>
        <v>4</v>
      </c>
      <c r="T123" s="8" t="n">
        <f aca="false">INDEX(Mapping!$C$2:$C$99,MATCH(T$1&amp;"|"&amp;Customers!T123,Mapping!$D$2:$D$99,0))</f>
        <v>4</v>
      </c>
      <c r="U123" s="8" t="n">
        <f aca="false">INDEX(Mapping!$C$2:$C$99,MATCH(U$1&amp;"|"&amp;Customers!U123,Mapping!$D$2:$D$99,0))</f>
        <v>3</v>
      </c>
      <c r="V123" s="8" t="n">
        <f aca="false">INDEX(Mapping!$C$2:$C$99,MATCH(V$1&amp;"|"&amp;Customers!V123,Mapping!$D$2:$D$99,0))</f>
        <v>1</v>
      </c>
      <c r="W123" s="17" t="n">
        <f aca="false">SUMPRODUCT($C123:$V123,Weights!$C$27:$V$27)</f>
        <v>1.9875</v>
      </c>
      <c r="X123" s="18" t="n">
        <f aca="false">ROUND($W123,2)</f>
        <v>1.99</v>
      </c>
      <c r="Y123" s="8" t="str">
        <f aca="false">IF($X123&lt;=2,"Low",IF($X123&lt;=3.49,"Medium","High"))</f>
        <v>Low</v>
      </c>
      <c r="Z123" s="8" t="str">
        <f aca="false">IF(OR($F123&gt;=3,$E123=5,$D123=5,$C123=5,$G123=5,$H123=5,$I123=5,$J123=5,Customers!$W123="Yes"),"Yes","No")</f>
        <v>No</v>
      </c>
      <c r="AA123" s="15" t="str">
        <f aca="false">IF($Z123="Yes","High",$Y123)</f>
        <v>Low</v>
      </c>
      <c r="AB123" s="18" t="n">
        <f aca="false">SUMPRODUCT($C123:$G123,Weights!$C$28:$G$28)</f>
        <v>1.7</v>
      </c>
      <c r="AC123" s="18" t="n">
        <f aca="false">SUMPRODUCT($H123:$J123,Weights!$H$28:$J$28)</f>
        <v>1</v>
      </c>
      <c r="AD123" s="18" t="n">
        <f aca="false">SUMPRODUCT($K123:$N123,Weights!$K$28:$N$28)</f>
        <v>2.55</v>
      </c>
      <c r="AE123" s="18" t="n">
        <f aca="false">SUMPRODUCT($O123:$Q123,Weights!$O$28:$Q$28)</f>
        <v>2.6</v>
      </c>
      <c r="AF123" s="18" t="n">
        <f aca="false">SUMPRODUCT($R123:$V123,Weights!$R$28:$V$28)</f>
        <v>3.05</v>
      </c>
      <c r="AH123" s="18" t="n">
        <f aca="false">SUMPRODUCT($AB123:$AF123,Validation!$D$7:$H$7)</f>
        <v>2.0285714285721</v>
      </c>
      <c r="AI123" s="18" t="n">
        <f aca="false">SUMPRODUCT($AB123:$AF123,Validation!$D$8:$H$8)</f>
        <v>1.9464285714279</v>
      </c>
      <c r="AJ123" s="18" t="n">
        <f aca="false">SUMPRODUCT($AB123:$AF123,Validation!$D$9:$H$9)</f>
        <v>2.11916666666665</v>
      </c>
      <c r="AK123" s="18" t="n">
        <f aca="false">SUMPRODUCT($AB123:$AF123,Validation!$D$10:$H$10)</f>
        <v>1.85583333333335</v>
      </c>
      <c r="AL123" s="18" t="n">
        <f aca="false">SUMPRODUCT($AB123:$AF123,Validation!$D$11:$H$11)</f>
        <v>1.9171875</v>
      </c>
      <c r="AM123" s="18" t="n">
        <f aca="false">SUMPRODUCT($AB123:$AF123,Validation!$D$12:$H$12)</f>
        <v>2.0578125</v>
      </c>
      <c r="AN123" s="18" t="n">
        <f aca="false">SUMPRODUCT($AB123:$AF123,Validation!$D$13:$H$13)</f>
        <v>1.91944444444455</v>
      </c>
      <c r="AO123" s="18" t="n">
        <f aca="false">SUMPRODUCT($AB123:$AF123,Validation!$D$14:$H$14)</f>
        <v>2.05555555555545</v>
      </c>
      <c r="AP123" s="18" t="n">
        <f aca="false">SUMPRODUCT($AB123:$AF123,Validation!$D$15:$H$15)</f>
        <v>1.86249999999985</v>
      </c>
      <c r="AQ123" s="18" t="n">
        <f aca="false">SUMPRODUCT($AB123:$AF123,Validation!$D$16:$H$16)</f>
        <v>2.11250000000015</v>
      </c>
      <c r="AR123" s="8" t="n">
        <f aca="false">COUNTIF($C123:$V123,"&gt;=4")</f>
        <v>3</v>
      </c>
      <c r="AS123" s="8" t="str">
        <f aca="false">IF($X123&lt;=1.6,"Low",IF($X123&lt;=2.2,"Medium","High"))</f>
        <v>Medium</v>
      </c>
      <c r="AT123" s="8" t="str">
        <f aca="false">IF($AR123=0,"Low",IF($AR123&lt;3,"Medium","High"))</f>
        <v>High</v>
      </c>
      <c r="AU123" s="8" t="str">
        <f aca="false">IF(OR($AS123="High",$AT123="High"),"High",IF(OR($AS123="Medium",$AT123="Medium"),"Medium","Low"))</f>
        <v>High</v>
      </c>
      <c r="AV123" s="15" t="str">
        <f aca="false">IF($Z123="Yes","High",$AU123)</f>
        <v>High</v>
      </c>
    </row>
    <row r="124" customFormat="false" ht="15" hidden="false" customHeight="false" outlineLevel="0" collapsed="false">
      <c r="A124" s="7" t="str">
        <f aca="false">Customers!$A124</f>
        <v>NG-10289</v>
      </c>
      <c r="B124" s="7" t="str">
        <f aca="false">Customers!$B124</f>
        <v>Personal</v>
      </c>
      <c r="C124" s="8" t="n">
        <f aca="false">INDEX(Mapping!$C$2:$C$99,MATCH(C$1&amp;"|"&amp;Customers!C124,Mapping!$D$2:$D$99,0))</f>
        <v>1</v>
      </c>
      <c r="D124" s="8" t="n">
        <f aca="false">INDEX(Mapping!$C$2:$C$99,MATCH(D$1&amp;"|"&amp;Customers!D124,Mapping!$D$2:$D$99,0))</f>
        <v>1</v>
      </c>
      <c r="E124" s="8" t="n">
        <f aca="false">INDEX(Mapping!$C$2:$C$99,MATCH(E$1&amp;"|"&amp;Customers!E124,Mapping!$D$2:$D$99,0))</f>
        <v>1</v>
      </c>
      <c r="F124" s="8" t="n">
        <f aca="false">INDEX(Mapping!$C$2:$C$99,MATCH(F$1&amp;"|"&amp;Customers!F124,Mapping!$D$2:$D$99,0))</f>
        <v>1</v>
      </c>
      <c r="G124" s="8" t="n">
        <f aca="false">INDEX(Mapping!$C$2:$C$99,MATCH(G$1&amp;"|"&amp;Customers!G124,Mapping!$D$2:$D$99,0))</f>
        <v>1</v>
      </c>
      <c r="H124" s="8" t="n">
        <f aca="false">INDEX(Mapping!$C$2:$C$99,MATCH(H$1&amp;"|"&amp;Customers!H124,Mapping!$D$2:$D$99,0))</f>
        <v>1</v>
      </c>
      <c r="I124" s="8" t="n">
        <f aca="false">INDEX(Mapping!$C$2:$C$99,MATCH(I$1&amp;"|"&amp;Customers!I124,Mapping!$D$2:$D$99,0))</f>
        <v>1</v>
      </c>
      <c r="J124" s="8" t="n">
        <f aca="false">INDEX(Mapping!$C$2:$C$99,MATCH(J$1&amp;"|"&amp;Customers!J124,Mapping!$D$2:$D$99,0))</f>
        <v>1</v>
      </c>
      <c r="K124" s="8" t="n">
        <f aca="false">INDEX(Mapping!$C$2:$C$99,MATCH(K$1&amp;"|"&amp;Customers!K124,Mapping!$D$2:$D$99,0))</f>
        <v>3</v>
      </c>
      <c r="L124" s="8" t="n">
        <f aca="false">INDEX(Mapping!$C$2:$C$99,MATCH(L$1&amp;"|"&amp;Customers!L124,Mapping!$D$2:$D$99,0))</f>
        <v>2</v>
      </c>
      <c r="M124" s="8" t="n">
        <f aca="false">INDEX(Mapping!$C$2:$C$99,MATCH(M$1&amp;"|"&amp;Customers!M124,Mapping!$D$2:$D$99,0))</f>
        <v>3</v>
      </c>
      <c r="N124" s="8" t="n">
        <f aca="false">INDEX(Mapping!$C$2:$C$99,MATCH(N$1&amp;"|"&amp;Customers!N124,Mapping!$D$2:$D$99,0))</f>
        <v>2</v>
      </c>
      <c r="O124" s="8" t="n">
        <f aca="false">INDEX(Mapping!$C$2:$C$99,MATCH(O$1&amp;"|"&amp;Customers!O124,Mapping!$D$2:$D$99,0))</f>
        <v>3</v>
      </c>
      <c r="P124" s="8" t="n">
        <f aca="false">INDEX(Mapping!$C$2:$C$99,MATCH(P$1&amp;"|"&amp;Customers!P124,Mapping!$D$2:$D$99,0))</f>
        <v>3</v>
      </c>
      <c r="Q124" s="8" t="n">
        <f aca="false">INDEX(Mapping!$C$2:$C$99,MATCH(Q$1&amp;"|"&amp;Customers!Q124,Mapping!$D$2:$D$99,0))</f>
        <v>1</v>
      </c>
      <c r="R124" s="8" t="n">
        <f aca="false">INDEX(Mapping!$C$2:$C$99,MATCH(R$1&amp;"|"&amp;Customers!R124,Mapping!$D$2:$D$99,0))</f>
        <v>1</v>
      </c>
      <c r="S124" s="8" t="n">
        <f aca="false">INDEX(Mapping!$C$2:$C$99,MATCH(S$1&amp;"|"&amp;Customers!S124,Mapping!$D$2:$D$99,0))</f>
        <v>3</v>
      </c>
      <c r="T124" s="8" t="n">
        <f aca="false">INDEX(Mapping!$C$2:$C$99,MATCH(T$1&amp;"|"&amp;Customers!T124,Mapping!$D$2:$D$99,0))</f>
        <v>4</v>
      </c>
      <c r="U124" s="8" t="n">
        <f aca="false">INDEX(Mapping!$C$2:$C$99,MATCH(U$1&amp;"|"&amp;Customers!U124,Mapping!$D$2:$D$99,0))</f>
        <v>1</v>
      </c>
      <c r="V124" s="8" t="n">
        <f aca="false">INDEX(Mapping!$C$2:$C$99,MATCH(V$1&amp;"|"&amp;Customers!V124,Mapping!$D$2:$D$99,0))</f>
        <v>2</v>
      </c>
      <c r="W124" s="17" t="n">
        <f aca="false">SUMPRODUCT($C124:$V124,Weights!$C$27:$V$27)</f>
        <v>1.675</v>
      </c>
      <c r="X124" s="18" t="n">
        <f aca="false">ROUND($W124,2)</f>
        <v>1.68</v>
      </c>
      <c r="Y124" s="8" t="str">
        <f aca="false">IF($X124&lt;=2,"Low",IF($X124&lt;=3.49,"Medium","High"))</f>
        <v>Low</v>
      </c>
      <c r="Z124" s="8" t="str">
        <f aca="false">IF(OR($F124&gt;=3,$E124=5,$D124=5,$C124=5,$G124=5,$H124=5,$I124=5,$J124=5,Customers!$W124="Yes"),"Yes","No")</f>
        <v>No</v>
      </c>
      <c r="AA124" s="15" t="str">
        <f aca="false">IF($Z124="Yes","High",$Y124)</f>
        <v>Low</v>
      </c>
      <c r="AB124" s="18" t="n">
        <f aca="false">SUMPRODUCT($C124:$G124,Weights!$C$28:$G$28)</f>
        <v>1</v>
      </c>
      <c r="AC124" s="18" t="n">
        <f aca="false">SUMPRODUCT($H124:$J124,Weights!$H$28:$J$28)</f>
        <v>1</v>
      </c>
      <c r="AD124" s="18" t="n">
        <f aca="false">SUMPRODUCT($K124:$N124,Weights!$K$28:$N$28)</f>
        <v>2.6</v>
      </c>
      <c r="AE124" s="18" t="n">
        <f aca="false">SUMPRODUCT($O124:$Q124,Weights!$O$28:$Q$28)</f>
        <v>2.6</v>
      </c>
      <c r="AF124" s="18" t="n">
        <f aca="false">SUMPRODUCT($R124:$V124,Weights!$R$28:$V$28)</f>
        <v>2.3</v>
      </c>
      <c r="AH124" s="18" t="n">
        <f aca="false">SUMPRODUCT($AB124:$AF124,Validation!$D$7:$H$7)</f>
        <v>1.7714285714289</v>
      </c>
      <c r="AI124" s="18" t="n">
        <f aca="false">SUMPRODUCT($AB124:$AF124,Validation!$D$8:$H$8)</f>
        <v>1.5785714285711</v>
      </c>
      <c r="AJ124" s="18" t="n">
        <f aca="false">SUMPRODUCT($AB124:$AF124,Validation!$D$9:$H$9)</f>
        <v>1.765</v>
      </c>
      <c r="AK124" s="18" t="n">
        <f aca="false">SUMPRODUCT($AB124:$AF124,Validation!$D$10:$H$10)</f>
        <v>1.585</v>
      </c>
      <c r="AL124" s="18" t="n">
        <f aca="false">SUMPRODUCT($AB124:$AF124,Validation!$D$11:$H$11)</f>
        <v>1.559375</v>
      </c>
      <c r="AM124" s="18" t="n">
        <f aca="false">SUMPRODUCT($AB124:$AF124,Validation!$D$12:$H$12)</f>
        <v>1.790625</v>
      </c>
      <c r="AN124" s="18" t="n">
        <f aca="false">SUMPRODUCT($AB124:$AF124,Validation!$D$13:$H$13)</f>
        <v>1.5722222222223</v>
      </c>
      <c r="AO124" s="18" t="n">
        <f aca="false">SUMPRODUCT($AB124:$AF124,Validation!$D$14:$H$14)</f>
        <v>1.7777777777777</v>
      </c>
      <c r="AP124" s="18" t="n">
        <f aca="false">SUMPRODUCT($AB124:$AF124,Validation!$D$15:$H$15)</f>
        <v>1.6014705882352</v>
      </c>
      <c r="AQ124" s="18" t="n">
        <f aca="false">SUMPRODUCT($AB124:$AF124,Validation!$D$16:$H$16)</f>
        <v>1.7485294117648</v>
      </c>
      <c r="AR124" s="8" t="n">
        <f aca="false">COUNTIF($C124:$V124,"&gt;=4")</f>
        <v>1</v>
      </c>
      <c r="AS124" s="8" t="str">
        <f aca="false">IF($X124&lt;=1.6,"Low",IF($X124&lt;=2.2,"Medium","High"))</f>
        <v>Medium</v>
      </c>
      <c r="AT124" s="8" t="str">
        <f aca="false">IF($AR124=0,"Low",IF($AR124&lt;3,"Medium","High"))</f>
        <v>Medium</v>
      </c>
      <c r="AU124" s="8" t="str">
        <f aca="false">IF(OR($AS124="High",$AT124="High"),"High",IF(OR($AS124="Medium",$AT124="Medium"),"Medium","Low"))</f>
        <v>Medium</v>
      </c>
      <c r="AV124" s="15" t="str">
        <f aca="false">IF($Z124="Yes","High",$AU124)</f>
        <v>Medium</v>
      </c>
    </row>
    <row r="125" customFormat="false" ht="15" hidden="false" customHeight="false" outlineLevel="0" collapsed="false">
      <c r="A125" s="7" t="str">
        <f aca="false">Customers!$A125</f>
        <v>NG-10023</v>
      </c>
      <c r="B125" s="7" t="str">
        <f aca="false">Customers!$B125</f>
        <v>Personal</v>
      </c>
      <c r="C125" s="8" t="n">
        <f aca="false">INDEX(Mapping!$C$2:$C$99,MATCH(C$1&amp;"|"&amp;Customers!C125,Mapping!$D$2:$D$99,0))</f>
        <v>1</v>
      </c>
      <c r="D125" s="8" t="n">
        <f aca="false">INDEX(Mapping!$C$2:$C$99,MATCH(D$1&amp;"|"&amp;Customers!D125,Mapping!$D$2:$D$99,0))</f>
        <v>1</v>
      </c>
      <c r="E125" s="8" t="n">
        <f aca="false">INDEX(Mapping!$C$2:$C$99,MATCH(E$1&amp;"|"&amp;Customers!E125,Mapping!$D$2:$D$99,0))</f>
        <v>1</v>
      </c>
      <c r="F125" s="8" t="n">
        <f aca="false">INDEX(Mapping!$C$2:$C$99,MATCH(F$1&amp;"|"&amp;Customers!F125,Mapping!$D$2:$D$99,0))</f>
        <v>1</v>
      </c>
      <c r="G125" s="8" t="n">
        <f aca="false">INDEX(Mapping!$C$2:$C$99,MATCH(G$1&amp;"|"&amp;Customers!G125,Mapping!$D$2:$D$99,0))</f>
        <v>2</v>
      </c>
      <c r="H125" s="8" t="n">
        <f aca="false">INDEX(Mapping!$C$2:$C$99,MATCH(H$1&amp;"|"&amp;Customers!H125,Mapping!$D$2:$D$99,0))</f>
        <v>1</v>
      </c>
      <c r="I125" s="8" t="n">
        <f aca="false">INDEX(Mapping!$C$2:$C$99,MATCH(I$1&amp;"|"&amp;Customers!I125,Mapping!$D$2:$D$99,0))</f>
        <v>1</v>
      </c>
      <c r="J125" s="8" t="n">
        <f aca="false">INDEX(Mapping!$C$2:$C$99,MATCH(J$1&amp;"|"&amp;Customers!J125,Mapping!$D$2:$D$99,0))</f>
        <v>1</v>
      </c>
      <c r="K125" s="8" t="n">
        <f aca="false">INDEX(Mapping!$C$2:$C$99,MATCH(K$1&amp;"|"&amp;Customers!K125,Mapping!$D$2:$D$99,0))</f>
        <v>2</v>
      </c>
      <c r="L125" s="8" t="n">
        <f aca="false">INDEX(Mapping!$C$2:$C$99,MATCH(L$1&amp;"|"&amp;Customers!L125,Mapping!$D$2:$D$99,0))</f>
        <v>4</v>
      </c>
      <c r="M125" s="8" t="n">
        <f aca="false">INDEX(Mapping!$C$2:$C$99,MATCH(M$1&amp;"|"&amp;Customers!M125,Mapping!$D$2:$D$99,0))</f>
        <v>3</v>
      </c>
      <c r="N125" s="8" t="n">
        <f aca="false">INDEX(Mapping!$C$2:$C$99,MATCH(N$1&amp;"|"&amp;Customers!N125,Mapping!$D$2:$D$99,0))</f>
        <v>1</v>
      </c>
      <c r="O125" s="8" t="n">
        <f aca="false">INDEX(Mapping!$C$2:$C$99,MATCH(O$1&amp;"|"&amp;Customers!O125,Mapping!$D$2:$D$99,0))</f>
        <v>4</v>
      </c>
      <c r="P125" s="8" t="n">
        <f aca="false">INDEX(Mapping!$C$2:$C$99,MATCH(P$1&amp;"|"&amp;Customers!P125,Mapping!$D$2:$D$99,0))</f>
        <v>4</v>
      </c>
      <c r="Q125" s="8" t="n">
        <f aca="false">INDEX(Mapping!$C$2:$C$99,MATCH(Q$1&amp;"|"&amp;Customers!Q125,Mapping!$D$2:$D$99,0))</f>
        <v>1</v>
      </c>
      <c r="R125" s="8" t="n">
        <f aca="false">INDEX(Mapping!$C$2:$C$99,MATCH(R$1&amp;"|"&amp;Customers!R125,Mapping!$D$2:$D$99,0))</f>
        <v>1</v>
      </c>
      <c r="S125" s="8" t="n">
        <f aca="false">INDEX(Mapping!$C$2:$C$99,MATCH(S$1&amp;"|"&amp;Customers!S125,Mapping!$D$2:$D$99,0))</f>
        <v>1</v>
      </c>
      <c r="T125" s="8" t="n">
        <f aca="false">INDEX(Mapping!$C$2:$C$99,MATCH(T$1&amp;"|"&amp;Customers!T125,Mapping!$D$2:$D$99,0))</f>
        <v>3</v>
      </c>
      <c r="U125" s="8" t="n">
        <f aca="false">INDEX(Mapping!$C$2:$C$99,MATCH(U$1&amp;"|"&amp;Customers!U125,Mapping!$D$2:$D$99,0))</f>
        <v>1</v>
      </c>
      <c r="V125" s="8" t="n">
        <f aca="false">INDEX(Mapping!$C$2:$C$99,MATCH(V$1&amp;"|"&amp;Customers!V125,Mapping!$D$2:$D$99,0))</f>
        <v>1</v>
      </c>
      <c r="W125" s="17" t="n">
        <f aca="false">SUMPRODUCT($C125:$V125,Weights!$C$27:$V$27)</f>
        <v>1.665</v>
      </c>
      <c r="X125" s="18" t="n">
        <f aca="false">ROUND($W125,2)</f>
        <v>1.67</v>
      </c>
      <c r="Y125" s="8" t="str">
        <f aca="false">IF($X125&lt;=2,"Low",IF($X125&lt;=3.49,"Medium","High"))</f>
        <v>Low</v>
      </c>
      <c r="Z125" s="8" t="str">
        <f aca="false">IF(OR($F125&gt;=3,$E125=5,$D125=5,$C125=5,$G125=5,$H125=5,$I125=5,$J125=5,Customers!$W125="Yes"),"Yes","No")</f>
        <v>No</v>
      </c>
      <c r="AA125" s="15" t="str">
        <f aca="false">IF($Z125="Yes","High",$Y125)</f>
        <v>Low</v>
      </c>
      <c r="AB125" s="18" t="n">
        <f aca="false">SUMPRODUCT($C125:$G125,Weights!$C$28:$G$28)</f>
        <v>1.15</v>
      </c>
      <c r="AC125" s="18" t="n">
        <f aca="false">SUMPRODUCT($H125:$J125,Weights!$H$28:$J$28)</f>
        <v>1</v>
      </c>
      <c r="AD125" s="18" t="n">
        <f aca="false">SUMPRODUCT($K125:$N125,Weights!$K$28:$N$28)</f>
        <v>2.6</v>
      </c>
      <c r="AE125" s="18" t="n">
        <f aca="false">SUMPRODUCT($O125:$Q125,Weights!$O$28:$Q$28)</f>
        <v>3.4</v>
      </c>
      <c r="AF125" s="18" t="n">
        <f aca="false">SUMPRODUCT($R125:$V125,Weights!$R$28:$V$28)</f>
        <v>1.4</v>
      </c>
      <c r="AH125" s="18" t="n">
        <f aca="false">SUMPRODUCT($AB125:$AF125,Validation!$D$7:$H$7)</f>
        <v>1.7385714285716</v>
      </c>
      <c r="AI125" s="18" t="n">
        <f aca="false">SUMPRODUCT($AB125:$AF125,Validation!$D$8:$H$8)</f>
        <v>1.5914285714284</v>
      </c>
      <c r="AJ125" s="18" t="n">
        <f aca="false">SUMPRODUCT($AB125:$AF125,Validation!$D$9:$H$9)</f>
        <v>1.7536666666664</v>
      </c>
      <c r="AK125" s="18" t="n">
        <f aca="false">SUMPRODUCT($AB125:$AF125,Validation!$D$10:$H$10)</f>
        <v>1.5763333333336</v>
      </c>
      <c r="AL125" s="18" t="n">
        <f aca="false">SUMPRODUCT($AB125:$AF125,Validation!$D$11:$H$11)</f>
        <v>1.548125</v>
      </c>
      <c r="AM125" s="18" t="n">
        <f aca="false">SUMPRODUCT($AB125:$AF125,Validation!$D$12:$H$12)</f>
        <v>1.781875</v>
      </c>
      <c r="AN125" s="18" t="n">
        <f aca="false">SUMPRODUCT($AB125:$AF125,Validation!$D$13:$H$13)</f>
        <v>1.47222222222195</v>
      </c>
      <c r="AO125" s="18" t="n">
        <f aca="false">SUMPRODUCT($AB125:$AF125,Validation!$D$14:$H$14)</f>
        <v>1.85777777777805</v>
      </c>
      <c r="AP125" s="18" t="n">
        <f aca="false">SUMPRODUCT($AB125:$AF125,Validation!$D$15:$H$15)</f>
        <v>1.69617647058785</v>
      </c>
      <c r="AQ125" s="18" t="n">
        <f aca="false">SUMPRODUCT($AB125:$AF125,Validation!$D$16:$H$16)</f>
        <v>1.63382352941215</v>
      </c>
      <c r="AR125" s="8" t="n">
        <f aca="false">COUNTIF($C125:$V125,"&gt;=4")</f>
        <v>3</v>
      </c>
      <c r="AS125" s="8" t="str">
        <f aca="false">IF($X125&lt;=1.6,"Low",IF($X125&lt;=2.2,"Medium","High"))</f>
        <v>Medium</v>
      </c>
      <c r="AT125" s="8" t="str">
        <f aca="false">IF($AR125=0,"Low",IF($AR125&lt;3,"Medium","High"))</f>
        <v>High</v>
      </c>
      <c r="AU125" s="8" t="str">
        <f aca="false">IF(OR($AS125="High",$AT125="High"),"High",IF(OR($AS125="Medium",$AT125="Medium"),"Medium","Low"))</f>
        <v>High</v>
      </c>
      <c r="AV125" s="15" t="str">
        <f aca="false">IF($Z125="Yes","High",$AU125)</f>
        <v>High</v>
      </c>
    </row>
    <row r="126" customFormat="false" ht="15" hidden="false" customHeight="false" outlineLevel="0" collapsed="false">
      <c r="A126" s="7" t="str">
        <f aca="false">Customers!$A126</f>
        <v>NG-10056</v>
      </c>
      <c r="B126" s="7" t="str">
        <f aca="false">Customers!$B126</f>
        <v>Personal</v>
      </c>
      <c r="C126" s="8" t="n">
        <f aca="false">INDEX(Mapping!$C$2:$C$99,MATCH(C$1&amp;"|"&amp;Customers!C126,Mapping!$D$2:$D$99,0))</f>
        <v>1</v>
      </c>
      <c r="D126" s="8" t="n">
        <f aca="false">INDEX(Mapping!$C$2:$C$99,MATCH(D$1&amp;"|"&amp;Customers!D126,Mapping!$D$2:$D$99,0))</f>
        <v>1</v>
      </c>
      <c r="E126" s="8" t="n">
        <f aca="false">INDEX(Mapping!$C$2:$C$99,MATCH(E$1&amp;"|"&amp;Customers!E126,Mapping!$D$2:$D$99,0))</f>
        <v>1</v>
      </c>
      <c r="F126" s="8" t="n">
        <f aca="false">INDEX(Mapping!$C$2:$C$99,MATCH(F$1&amp;"|"&amp;Customers!F126,Mapping!$D$2:$D$99,0))</f>
        <v>1</v>
      </c>
      <c r="G126" s="8" t="n">
        <f aca="false">INDEX(Mapping!$C$2:$C$99,MATCH(G$1&amp;"|"&amp;Customers!G126,Mapping!$D$2:$D$99,0))</f>
        <v>1</v>
      </c>
      <c r="H126" s="8" t="n">
        <f aca="false">INDEX(Mapping!$C$2:$C$99,MATCH(H$1&amp;"|"&amp;Customers!H126,Mapping!$D$2:$D$99,0))</f>
        <v>1</v>
      </c>
      <c r="I126" s="8" t="n">
        <f aca="false">INDEX(Mapping!$C$2:$C$99,MATCH(I$1&amp;"|"&amp;Customers!I126,Mapping!$D$2:$D$99,0))</f>
        <v>1</v>
      </c>
      <c r="J126" s="8" t="n">
        <f aca="false">INDEX(Mapping!$C$2:$C$99,MATCH(J$1&amp;"|"&amp;Customers!J126,Mapping!$D$2:$D$99,0))</f>
        <v>1</v>
      </c>
      <c r="K126" s="8" t="n">
        <f aca="false">INDEX(Mapping!$C$2:$C$99,MATCH(K$1&amp;"|"&amp;Customers!K126,Mapping!$D$2:$D$99,0))</f>
        <v>1</v>
      </c>
      <c r="L126" s="8" t="n">
        <f aca="false">INDEX(Mapping!$C$2:$C$99,MATCH(L$1&amp;"|"&amp;Customers!L126,Mapping!$D$2:$D$99,0))</f>
        <v>2</v>
      </c>
      <c r="M126" s="8" t="n">
        <f aca="false">INDEX(Mapping!$C$2:$C$99,MATCH(M$1&amp;"|"&amp;Customers!M126,Mapping!$D$2:$D$99,0))</f>
        <v>2</v>
      </c>
      <c r="N126" s="8" t="n">
        <f aca="false">INDEX(Mapping!$C$2:$C$99,MATCH(N$1&amp;"|"&amp;Customers!N126,Mapping!$D$2:$D$99,0))</f>
        <v>1</v>
      </c>
      <c r="O126" s="8" t="n">
        <f aca="false">INDEX(Mapping!$C$2:$C$99,MATCH(O$1&amp;"|"&amp;Customers!O126,Mapping!$D$2:$D$99,0))</f>
        <v>3</v>
      </c>
      <c r="P126" s="8" t="n">
        <f aca="false">INDEX(Mapping!$C$2:$C$99,MATCH(P$1&amp;"|"&amp;Customers!P126,Mapping!$D$2:$D$99,0))</f>
        <v>3</v>
      </c>
      <c r="Q126" s="8" t="n">
        <f aca="false">INDEX(Mapping!$C$2:$C$99,MATCH(Q$1&amp;"|"&amp;Customers!Q126,Mapping!$D$2:$D$99,0))</f>
        <v>1</v>
      </c>
      <c r="R126" s="8" t="n">
        <f aca="false">INDEX(Mapping!$C$2:$C$99,MATCH(R$1&amp;"|"&amp;Customers!R126,Mapping!$D$2:$D$99,0))</f>
        <v>2</v>
      </c>
      <c r="S126" s="8" t="n">
        <f aca="false">INDEX(Mapping!$C$2:$C$99,MATCH(S$1&amp;"|"&amp;Customers!S126,Mapping!$D$2:$D$99,0))</f>
        <v>1</v>
      </c>
      <c r="T126" s="8" t="n">
        <f aca="false">INDEX(Mapping!$C$2:$C$99,MATCH(T$1&amp;"|"&amp;Customers!T126,Mapping!$D$2:$D$99,0))</f>
        <v>1</v>
      </c>
      <c r="U126" s="8" t="n">
        <f aca="false">INDEX(Mapping!$C$2:$C$99,MATCH(U$1&amp;"|"&amp;Customers!U126,Mapping!$D$2:$D$99,0))</f>
        <v>1</v>
      </c>
      <c r="V126" s="8" t="n">
        <f aca="false">INDEX(Mapping!$C$2:$C$99,MATCH(V$1&amp;"|"&amp;Customers!V126,Mapping!$D$2:$D$99,0))</f>
        <v>1</v>
      </c>
      <c r="W126" s="17" t="n">
        <f aca="false">SUMPRODUCT($C126:$V126,Weights!$C$27:$V$27)</f>
        <v>1.2975</v>
      </c>
      <c r="X126" s="18" t="n">
        <f aca="false">ROUND($W126,2)</f>
        <v>1.3</v>
      </c>
      <c r="Y126" s="8" t="str">
        <f aca="false">IF($X126&lt;=2,"Low",IF($X126&lt;=3.49,"Medium","High"))</f>
        <v>Low</v>
      </c>
      <c r="Z126" s="8" t="str">
        <f aca="false">IF(OR($F126&gt;=3,$E126=5,$D126=5,$C126=5,$G126=5,$H126=5,$I126=5,$J126=5,Customers!$W126="Yes"),"Yes","No")</f>
        <v>Yes</v>
      </c>
      <c r="AA126" s="15" t="str">
        <f aca="false">IF($Z126="Yes","High",$Y126)</f>
        <v>High</v>
      </c>
      <c r="AB126" s="18" t="n">
        <f aca="false">SUMPRODUCT($C126:$G126,Weights!$C$28:$G$28)</f>
        <v>1</v>
      </c>
      <c r="AC126" s="18" t="n">
        <f aca="false">SUMPRODUCT($H126:$J126,Weights!$H$28:$J$28)</f>
        <v>1</v>
      </c>
      <c r="AD126" s="18" t="n">
        <f aca="false">SUMPRODUCT($K126:$N126,Weights!$K$28:$N$28)</f>
        <v>1.5</v>
      </c>
      <c r="AE126" s="18" t="n">
        <f aca="false">SUMPRODUCT($O126:$Q126,Weights!$O$28:$Q$28)</f>
        <v>2.6</v>
      </c>
      <c r="AF126" s="18" t="n">
        <f aca="false">SUMPRODUCT($R126:$V126,Weights!$R$28:$V$28)</f>
        <v>1.25</v>
      </c>
      <c r="AH126" s="18" t="n">
        <f aca="false">SUMPRODUCT($AB126:$AF126,Validation!$D$7:$H$7)</f>
        <v>1.34000000000035</v>
      </c>
      <c r="AI126" s="18" t="n">
        <f aca="false">SUMPRODUCT($AB126:$AF126,Validation!$D$8:$H$8)</f>
        <v>1.25499999999965</v>
      </c>
      <c r="AJ126" s="18" t="n">
        <f aca="false">SUMPRODUCT($AB126:$AF126,Validation!$D$9:$H$9)</f>
        <v>1.3371666666663</v>
      </c>
      <c r="AK126" s="18" t="n">
        <f aca="false">SUMPRODUCT($AB126:$AF126,Validation!$D$10:$H$10)</f>
        <v>1.2578333333337</v>
      </c>
      <c r="AL126" s="18" t="n">
        <f aca="false">SUMPRODUCT($AB126:$AF126,Validation!$D$11:$H$11)</f>
        <v>1.2721875</v>
      </c>
      <c r="AM126" s="18" t="n">
        <f aca="false">SUMPRODUCT($AB126:$AF126,Validation!$D$12:$H$12)</f>
        <v>1.3228125</v>
      </c>
      <c r="AN126" s="18" t="n">
        <f aca="false">SUMPRODUCT($AB126:$AF126,Validation!$D$13:$H$13)</f>
        <v>1.15277777777775</v>
      </c>
      <c r="AO126" s="18" t="n">
        <f aca="false">SUMPRODUCT($AB126:$AF126,Validation!$D$14:$H$14)</f>
        <v>1.44222222222225</v>
      </c>
      <c r="AP126" s="18" t="n">
        <f aca="false">SUMPRODUCT($AB126:$AF126,Validation!$D$15:$H$15)</f>
        <v>1.3030882352937</v>
      </c>
      <c r="AQ126" s="18" t="n">
        <f aca="false">SUMPRODUCT($AB126:$AF126,Validation!$D$16:$H$16)</f>
        <v>1.2919117647063</v>
      </c>
      <c r="AR126" s="8" t="n">
        <f aca="false">COUNTIF($C126:$V126,"&gt;=4")</f>
        <v>0</v>
      </c>
      <c r="AS126" s="8" t="str">
        <f aca="false">IF($X126&lt;=1.6,"Low",IF($X126&lt;=2.2,"Medium","High"))</f>
        <v>Low</v>
      </c>
      <c r="AT126" s="8" t="str">
        <f aca="false">IF($AR126=0,"Low",IF($AR126&lt;3,"Medium","High"))</f>
        <v>Low</v>
      </c>
      <c r="AU126" s="8" t="str">
        <f aca="false">IF(OR($AS126="High",$AT126="High"),"High",IF(OR($AS126="Medium",$AT126="Medium"),"Medium","Low"))</f>
        <v>Low</v>
      </c>
      <c r="AV126" s="15" t="str">
        <f aca="false">IF($Z126="Yes","High",$AU126)</f>
        <v>High</v>
      </c>
    </row>
    <row r="127" customFormat="false" ht="15" hidden="false" customHeight="false" outlineLevel="0" collapsed="false">
      <c r="A127" s="7" t="str">
        <f aca="false">Customers!$A127</f>
        <v>NG-10346</v>
      </c>
      <c r="B127" s="7" t="str">
        <f aca="false">Customers!$B127</f>
        <v>Sole trader</v>
      </c>
      <c r="C127" s="8" t="n">
        <f aca="false">INDEX(Mapping!$C$2:$C$99,MATCH(C$1&amp;"|"&amp;Customers!C127,Mapping!$D$2:$D$99,0))</f>
        <v>2</v>
      </c>
      <c r="D127" s="8" t="n">
        <f aca="false">INDEX(Mapping!$C$2:$C$99,MATCH(D$1&amp;"|"&amp;Customers!D127,Mapping!$D$2:$D$99,0))</f>
        <v>1</v>
      </c>
      <c r="E127" s="8" t="n">
        <f aca="false">INDEX(Mapping!$C$2:$C$99,MATCH(E$1&amp;"|"&amp;Customers!E127,Mapping!$D$2:$D$99,0))</f>
        <v>4</v>
      </c>
      <c r="F127" s="8" t="n">
        <f aca="false">INDEX(Mapping!$C$2:$C$99,MATCH(F$1&amp;"|"&amp;Customers!F127,Mapping!$D$2:$D$99,0))</f>
        <v>1</v>
      </c>
      <c r="G127" s="8" t="n">
        <f aca="false">INDEX(Mapping!$C$2:$C$99,MATCH(G$1&amp;"|"&amp;Customers!G127,Mapping!$D$2:$D$99,0))</f>
        <v>1</v>
      </c>
      <c r="H127" s="8" t="n">
        <f aca="false">INDEX(Mapping!$C$2:$C$99,MATCH(H$1&amp;"|"&amp;Customers!H127,Mapping!$D$2:$D$99,0))</f>
        <v>1</v>
      </c>
      <c r="I127" s="8" t="n">
        <f aca="false">INDEX(Mapping!$C$2:$C$99,MATCH(I$1&amp;"|"&amp;Customers!I127,Mapping!$D$2:$D$99,0))</f>
        <v>1</v>
      </c>
      <c r="J127" s="8" t="n">
        <f aca="false">INDEX(Mapping!$C$2:$C$99,MATCH(J$1&amp;"|"&amp;Customers!J127,Mapping!$D$2:$D$99,0))</f>
        <v>1</v>
      </c>
      <c r="K127" s="8" t="n">
        <f aca="false">INDEX(Mapping!$C$2:$C$99,MATCH(K$1&amp;"|"&amp;Customers!K127,Mapping!$D$2:$D$99,0))</f>
        <v>4</v>
      </c>
      <c r="L127" s="8" t="n">
        <f aca="false">INDEX(Mapping!$C$2:$C$99,MATCH(L$1&amp;"|"&amp;Customers!L127,Mapping!$D$2:$D$99,0))</f>
        <v>4</v>
      </c>
      <c r="M127" s="8" t="n">
        <f aca="false">INDEX(Mapping!$C$2:$C$99,MATCH(M$1&amp;"|"&amp;Customers!M127,Mapping!$D$2:$D$99,0))</f>
        <v>3</v>
      </c>
      <c r="N127" s="8" t="n">
        <f aca="false">INDEX(Mapping!$C$2:$C$99,MATCH(N$1&amp;"|"&amp;Customers!N127,Mapping!$D$2:$D$99,0))</f>
        <v>2</v>
      </c>
      <c r="O127" s="8" t="n">
        <f aca="false">INDEX(Mapping!$C$2:$C$99,MATCH(O$1&amp;"|"&amp;Customers!O127,Mapping!$D$2:$D$99,0))</f>
        <v>3</v>
      </c>
      <c r="P127" s="8" t="n">
        <f aca="false">INDEX(Mapping!$C$2:$C$99,MATCH(P$1&amp;"|"&amp;Customers!P127,Mapping!$D$2:$D$99,0))</f>
        <v>3</v>
      </c>
      <c r="Q127" s="8" t="n">
        <f aca="false">INDEX(Mapping!$C$2:$C$99,MATCH(Q$1&amp;"|"&amp;Customers!Q127,Mapping!$D$2:$D$99,0))</f>
        <v>1</v>
      </c>
      <c r="R127" s="8" t="n">
        <f aca="false">INDEX(Mapping!$C$2:$C$99,MATCH(R$1&amp;"|"&amp;Customers!R127,Mapping!$D$2:$D$99,0))</f>
        <v>1</v>
      </c>
      <c r="S127" s="8" t="n">
        <f aca="false">INDEX(Mapping!$C$2:$C$99,MATCH(S$1&amp;"|"&amp;Customers!S127,Mapping!$D$2:$D$99,0))</f>
        <v>3</v>
      </c>
      <c r="T127" s="8" t="n">
        <f aca="false">INDEX(Mapping!$C$2:$C$99,MATCH(T$1&amp;"|"&amp;Customers!T127,Mapping!$D$2:$D$99,0))</f>
        <v>1</v>
      </c>
      <c r="U127" s="8" t="n">
        <f aca="false">INDEX(Mapping!$C$2:$C$99,MATCH(U$1&amp;"|"&amp;Customers!U127,Mapping!$D$2:$D$99,0))</f>
        <v>2</v>
      </c>
      <c r="V127" s="8" t="n">
        <f aca="false">INDEX(Mapping!$C$2:$C$99,MATCH(V$1&amp;"|"&amp;Customers!V127,Mapping!$D$2:$D$99,0))</f>
        <v>1</v>
      </c>
      <c r="W127" s="17" t="n">
        <f aca="false">SUMPRODUCT($C127:$V127,Weights!$C$27:$V$27)</f>
        <v>2.0475</v>
      </c>
      <c r="X127" s="18" t="n">
        <f aca="false">ROUND($W127,2)</f>
        <v>2.05</v>
      </c>
      <c r="Y127" s="8" t="str">
        <f aca="false">IF($X127&lt;=2,"Low",IF($X127&lt;=3.49,"Medium","High"))</f>
        <v>Medium</v>
      </c>
      <c r="Z127" s="8" t="str">
        <f aca="false">IF(OR($F127&gt;=3,$E127=5,$D127=5,$C127=5,$G127=5,$H127=5,$I127=5,$J127=5,Customers!$W127="Yes"),"Yes","No")</f>
        <v>No</v>
      </c>
      <c r="AA127" s="15" t="str">
        <f aca="false">IF($Z127="Yes","High",$Y127)</f>
        <v>Medium</v>
      </c>
      <c r="AB127" s="18" t="n">
        <f aca="false">SUMPRODUCT($C127:$G127,Weights!$C$28:$G$28)</f>
        <v>1.95</v>
      </c>
      <c r="AC127" s="18" t="n">
        <f aca="false">SUMPRODUCT($H127:$J127,Weights!$H$28:$J$28)</f>
        <v>1</v>
      </c>
      <c r="AD127" s="18" t="n">
        <f aca="false">SUMPRODUCT($K127:$N127,Weights!$K$28:$N$28)</f>
        <v>3.45</v>
      </c>
      <c r="AE127" s="18" t="n">
        <f aca="false">SUMPRODUCT($O127:$Q127,Weights!$O$28:$Q$28)</f>
        <v>2.6</v>
      </c>
      <c r="AF127" s="18" t="n">
        <f aca="false">SUMPRODUCT($R127:$V127,Weights!$R$28:$V$28)</f>
        <v>1.75</v>
      </c>
      <c r="AH127" s="18" t="n">
        <f aca="false">SUMPRODUCT($AB127:$AF127,Validation!$D$7:$H$7)</f>
        <v>2.0614285714283</v>
      </c>
      <c r="AI127" s="18" t="n">
        <f aca="false">SUMPRODUCT($AB127:$AF127,Validation!$D$8:$H$8)</f>
        <v>2.0335714285717</v>
      </c>
      <c r="AJ127" s="18" t="n">
        <f aca="false">SUMPRODUCT($AB127:$AF127,Validation!$D$9:$H$9)</f>
        <v>2.18716666666695</v>
      </c>
      <c r="AK127" s="18" t="n">
        <f aca="false">SUMPRODUCT($AB127:$AF127,Validation!$D$10:$H$10)</f>
        <v>1.90783333333305</v>
      </c>
      <c r="AL127" s="18" t="n">
        <f aca="false">SUMPRODUCT($AB127:$AF127,Validation!$D$11:$H$11)</f>
        <v>1.8721875</v>
      </c>
      <c r="AM127" s="18" t="n">
        <f aca="false">SUMPRODUCT($AB127:$AF127,Validation!$D$12:$H$12)</f>
        <v>2.2228125</v>
      </c>
      <c r="AN127" s="18" t="n">
        <f aca="false">SUMPRODUCT($AB127:$AF127,Validation!$D$13:$H$13)</f>
        <v>1.9861111111105</v>
      </c>
      <c r="AO127" s="18" t="n">
        <f aca="false">SUMPRODUCT($AB127:$AF127,Validation!$D$14:$H$14)</f>
        <v>2.1088888888895</v>
      </c>
      <c r="AP127" s="18" t="n">
        <f aca="false">SUMPRODUCT($AB127:$AF127,Validation!$D$15:$H$15)</f>
        <v>2.0825000000001</v>
      </c>
      <c r="AQ127" s="18" t="n">
        <f aca="false">SUMPRODUCT($AB127:$AF127,Validation!$D$16:$H$16)</f>
        <v>2.0124999999999</v>
      </c>
      <c r="AR127" s="8" t="n">
        <f aca="false">COUNTIF($C127:$V127,"&gt;=4")</f>
        <v>3</v>
      </c>
      <c r="AS127" s="8" t="str">
        <f aca="false">IF($X127&lt;=1.6,"Low",IF($X127&lt;=2.2,"Medium","High"))</f>
        <v>Medium</v>
      </c>
      <c r="AT127" s="8" t="str">
        <f aca="false">IF($AR127=0,"Low",IF($AR127&lt;3,"Medium","High"))</f>
        <v>High</v>
      </c>
      <c r="AU127" s="8" t="str">
        <f aca="false">IF(OR($AS127="High",$AT127="High"),"High",IF(OR($AS127="Medium",$AT127="Medium"),"Medium","Low"))</f>
        <v>High</v>
      </c>
      <c r="AV127" s="15" t="str">
        <f aca="false">IF($Z127="Yes","High",$AU127)</f>
        <v>High</v>
      </c>
    </row>
    <row r="128" customFormat="false" ht="15" hidden="false" customHeight="false" outlineLevel="0" collapsed="false">
      <c r="A128" s="7" t="str">
        <f aca="false">Customers!$A128</f>
        <v>NG-10301</v>
      </c>
      <c r="B128" s="7" t="str">
        <f aca="false">Customers!$B128</f>
        <v>Sole trader</v>
      </c>
      <c r="C128" s="8" t="n">
        <f aca="false">INDEX(Mapping!$C$2:$C$99,MATCH(C$1&amp;"|"&amp;Customers!C128,Mapping!$D$2:$D$99,0))</f>
        <v>2</v>
      </c>
      <c r="D128" s="8" t="n">
        <f aca="false">INDEX(Mapping!$C$2:$C$99,MATCH(D$1&amp;"|"&amp;Customers!D128,Mapping!$D$2:$D$99,0))</f>
        <v>1</v>
      </c>
      <c r="E128" s="8" t="n">
        <f aca="false">INDEX(Mapping!$C$2:$C$99,MATCH(E$1&amp;"|"&amp;Customers!E128,Mapping!$D$2:$D$99,0))</f>
        <v>4</v>
      </c>
      <c r="F128" s="8" t="n">
        <f aca="false">INDEX(Mapping!$C$2:$C$99,MATCH(F$1&amp;"|"&amp;Customers!F128,Mapping!$D$2:$D$99,0))</f>
        <v>1</v>
      </c>
      <c r="G128" s="8" t="n">
        <f aca="false">INDEX(Mapping!$C$2:$C$99,MATCH(G$1&amp;"|"&amp;Customers!G128,Mapping!$D$2:$D$99,0))</f>
        <v>1</v>
      </c>
      <c r="H128" s="8" t="n">
        <f aca="false">INDEX(Mapping!$C$2:$C$99,MATCH(H$1&amp;"|"&amp;Customers!H128,Mapping!$D$2:$D$99,0))</f>
        <v>1</v>
      </c>
      <c r="I128" s="8" t="n">
        <f aca="false">INDEX(Mapping!$C$2:$C$99,MATCH(I$1&amp;"|"&amp;Customers!I128,Mapping!$D$2:$D$99,0))</f>
        <v>1</v>
      </c>
      <c r="J128" s="8" t="n">
        <f aca="false">INDEX(Mapping!$C$2:$C$99,MATCH(J$1&amp;"|"&amp;Customers!J128,Mapping!$D$2:$D$99,0))</f>
        <v>1</v>
      </c>
      <c r="K128" s="8" t="n">
        <f aca="false">INDEX(Mapping!$C$2:$C$99,MATCH(K$1&amp;"|"&amp;Customers!K128,Mapping!$D$2:$D$99,0))</f>
        <v>4</v>
      </c>
      <c r="L128" s="8" t="n">
        <f aca="false">INDEX(Mapping!$C$2:$C$99,MATCH(L$1&amp;"|"&amp;Customers!L128,Mapping!$D$2:$D$99,0))</f>
        <v>1</v>
      </c>
      <c r="M128" s="8" t="n">
        <f aca="false">INDEX(Mapping!$C$2:$C$99,MATCH(M$1&amp;"|"&amp;Customers!M128,Mapping!$D$2:$D$99,0))</f>
        <v>2</v>
      </c>
      <c r="N128" s="8" t="n">
        <f aca="false">INDEX(Mapping!$C$2:$C$99,MATCH(N$1&amp;"|"&amp;Customers!N128,Mapping!$D$2:$D$99,0))</f>
        <v>1</v>
      </c>
      <c r="O128" s="8" t="n">
        <f aca="false">INDEX(Mapping!$C$2:$C$99,MATCH(O$1&amp;"|"&amp;Customers!O128,Mapping!$D$2:$D$99,0))</f>
        <v>3</v>
      </c>
      <c r="P128" s="8" t="n">
        <f aca="false">INDEX(Mapping!$C$2:$C$99,MATCH(P$1&amp;"|"&amp;Customers!P128,Mapping!$D$2:$D$99,0))</f>
        <v>3</v>
      </c>
      <c r="Q128" s="8" t="n">
        <f aca="false">INDEX(Mapping!$C$2:$C$99,MATCH(Q$1&amp;"|"&amp;Customers!Q128,Mapping!$D$2:$D$99,0))</f>
        <v>1</v>
      </c>
      <c r="R128" s="8" t="n">
        <f aca="false">INDEX(Mapping!$C$2:$C$99,MATCH(R$1&amp;"|"&amp;Customers!R128,Mapping!$D$2:$D$99,0))</f>
        <v>2</v>
      </c>
      <c r="S128" s="8" t="n">
        <f aca="false">INDEX(Mapping!$C$2:$C$99,MATCH(S$1&amp;"|"&amp;Customers!S128,Mapping!$D$2:$D$99,0))</f>
        <v>1</v>
      </c>
      <c r="T128" s="8" t="n">
        <f aca="false">INDEX(Mapping!$C$2:$C$99,MATCH(T$1&amp;"|"&amp;Customers!T128,Mapping!$D$2:$D$99,0))</f>
        <v>1</v>
      </c>
      <c r="U128" s="8" t="n">
        <f aca="false">INDEX(Mapping!$C$2:$C$99,MATCH(U$1&amp;"|"&amp;Customers!U128,Mapping!$D$2:$D$99,0))</f>
        <v>3</v>
      </c>
      <c r="V128" s="8" t="n">
        <f aca="false">INDEX(Mapping!$C$2:$C$99,MATCH(V$1&amp;"|"&amp;Customers!V128,Mapping!$D$2:$D$99,0))</f>
        <v>1</v>
      </c>
      <c r="W128" s="17" t="n">
        <f aca="false">SUMPRODUCT($C128:$V128,Weights!$C$27:$V$27)</f>
        <v>1.7875</v>
      </c>
      <c r="X128" s="18" t="n">
        <f aca="false">ROUND($W128,2)</f>
        <v>1.79</v>
      </c>
      <c r="Y128" s="8" t="str">
        <f aca="false">IF($X128&lt;=2,"Low",IF($X128&lt;=3.49,"Medium","High"))</f>
        <v>Low</v>
      </c>
      <c r="Z128" s="8" t="str">
        <f aca="false">IF(OR($F128&gt;=3,$E128=5,$D128=5,$C128=5,$G128=5,$H128=5,$I128=5,$J128=5,Customers!$W128="Yes"),"Yes","No")</f>
        <v>No</v>
      </c>
      <c r="AA128" s="15" t="str">
        <f aca="false">IF($Z128="Yes","High",$Y128)</f>
        <v>Low</v>
      </c>
      <c r="AB128" s="18" t="n">
        <f aca="false">SUMPRODUCT($C128:$G128,Weights!$C$28:$G$28)</f>
        <v>1.95</v>
      </c>
      <c r="AC128" s="18" t="n">
        <f aca="false">SUMPRODUCT($H128:$J128,Weights!$H$28:$J$28)</f>
        <v>1</v>
      </c>
      <c r="AD128" s="18" t="n">
        <f aca="false">SUMPRODUCT($K128:$N128,Weights!$K$28:$N$28)</f>
        <v>2.3</v>
      </c>
      <c r="AE128" s="18" t="n">
        <f aca="false">SUMPRODUCT($O128:$Q128,Weights!$O$28:$Q$28)</f>
        <v>2.6</v>
      </c>
      <c r="AF128" s="18" t="n">
        <f aca="false">SUMPRODUCT($R128:$V128,Weights!$R$28:$V$28)</f>
        <v>1.55</v>
      </c>
      <c r="AH128" s="18" t="n">
        <f aca="false">SUMPRODUCT($AB128:$AF128,Validation!$D$7:$H$7)</f>
        <v>1.76428571428585</v>
      </c>
      <c r="AI128" s="18" t="n">
        <f aca="false">SUMPRODUCT($AB128:$AF128,Validation!$D$8:$H$8)</f>
        <v>1.81071428571415</v>
      </c>
      <c r="AJ128" s="18" t="n">
        <f aca="false">SUMPRODUCT($AB128:$AF128,Validation!$D$9:$H$9)</f>
        <v>1.8924999999999</v>
      </c>
      <c r="AK128" s="18" t="n">
        <f aca="false">SUMPRODUCT($AB128:$AF128,Validation!$D$10:$H$10)</f>
        <v>1.6825000000001</v>
      </c>
      <c r="AL128" s="18" t="n">
        <f aca="false">SUMPRODUCT($AB128:$AF128,Validation!$D$11:$H$11)</f>
        <v>1.7234375</v>
      </c>
      <c r="AM128" s="18" t="n">
        <f aca="false">SUMPRODUCT($AB128:$AF128,Validation!$D$12:$H$12)</f>
        <v>1.8515625</v>
      </c>
      <c r="AN128" s="18" t="n">
        <f aca="false">SUMPRODUCT($AB128:$AF128,Validation!$D$13:$H$13)</f>
        <v>1.6972222222218</v>
      </c>
      <c r="AO128" s="18" t="n">
        <f aca="false">SUMPRODUCT($AB128:$AF128,Validation!$D$14:$H$14)</f>
        <v>1.8777777777782</v>
      </c>
      <c r="AP128" s="18" t="n">
        <f aca="false">SUMPRODUCT($AB128:$AF128,Validation!$D$15:$H$15)</f>
        <v>1.81544117647035</v>
      </c>
      <c r="AQ128" s="18" t="n">
        <f aca="false">SUMPRODUCT($AB128:$AF128,Validation!$D$16:$H$16)</f>
        <v>1.75955882352965</v>
      </c>
      <c r="AR128" s="8" t="n">
        <f aca="false">COUNTIF($C128:$V128,"&gt;=4")</f>
        <v>2</v>
      </c>
      <c r="AS128" s="8" t="str">
        <f aca="false">IF($X128&lt;=1.6,"Low",IF($X128&lt;=2.2,"Medium","High"))</f>
        <v>Medium</v>
      </c>
      <c r="AT128" s="8" t="str">
        <f aca="false">IF($AR128=0,"Low",IF($AR128&lt;3,"Medium","High"))</f>
        <v>Medium</v>
      </c>
      <c r="AU128" s="8" t="str">
        <f aca="false">IF(OR($AS128="High",$AT128="High"),"High",IF(OR($AS128="Medium",$AT128="Medium"),"Medium","Low"))</f>
        <v>Medium</v>
      </c>
      <c r="AV128" s="15" t="str">
        <f aca="false">IF($Z128="Yes","High",$AU128)</f>
        <v>Medium</v>
      </c>
    </row>
    <row r="129" customFormat="false" ht="15" hidden="false" customHeight="false" outlineLevel="0" collapsed="false">
      <c r="A129" s="7" t="str">
        <f aca="false">Customers!$A129</f>
        <v>NG-10222</v>
      </c>
      <c r="B129" s="7" t="str">
        <f aca="false">Customers!$B129</f>
        <v>Personal</v>
      </c>
      <c r="C129" s="8" t="n">
        <f aca="false">INDEX(Mapping!$C$2:$C$99,MATCH(C$1&amp;"|"&amp;Customers!C129,Mapping!$D$2:$D$99,0))</f>
        <v>1</v>
      </c>
      <c r="D129" s="8" t="n">
        <f aca="false">INDEX(Mapping!$C$2:$C$99,MATCH(D$1&amp;"|"&amp;Customers!D129,Mapping!$D$2:$D$99,0))</f>
        <v>1</v>
      </c>
      <c r="E129" s="8" t="n">
        <f aca="false">INDEX(Mapping!$C$2:$C$99,MATCH(E$1&amp;"|"&amp;Customers!E129,Mapping!$D$2:$D$99,0))</f>
        <v>1</v>
      </c>
      <c r="F129" s="8" t="n">
        <f aca="false">INDEX(Mapping!$C$2:$C$99,MATCH(F$1&amp;"|"&amp;Customers!F129,Mapping!$D$2:$D$99,0))</f>
        <v>1</v>
      </c>
      <c r="G129" s="8" t="n">
        <f aca="false">INDEX(Mapping!$C$2:$C$99,MATCH(G$1&amp;"|"&amp;Customers!G129,Mapping!$D$2:$D$99,0))</f>
        <v>1</v>
      </c>
      <c r="H129" s="8" t="n">
        <f aca="false">INDEX(Mapping!$C$2:$C$99,MATCH(H$1&amp;"|"&amp;Customers!H129,Mapping!$D$2:$D$99,0))</f>
        <v>1</v>
      </c>
      <c r="I129" s="8" t="n">
        <f aca="false">INDEX(Mapping!$C$2:$C$99,MATCH(I$1&amp;"|"&amp;Customers!I129,Mapping!$D$2:$D$99,0))</f>
        <v>1</v>
      </c>
      <c r="J129" s="8" t="n">
        <f aca="false">INDEX(Mapping!$C$2:$C$99,MATCH(J$1&amp;"|"&amp;Customers!J129,Mapping!$D$2:$D$99,0))</f>
        <v>1</v>
      </c>
      <c r="K129" s="8" t="n">
        <f aca="false">INDEX(Mapping!$C$2:$C$99,MATCH(K$1&amp;"|"&amp;Customers!K129,Mapping!$D$2:$D$99,0))</f>
        <v>3</v>
      </c>
      <c r="L129" s="8" t="n">
        <f aca="false">INDEX(Mapping!$C$2:$C$99,MATCH(L$1&amp;"|"&amp;Customers!L129,Mapping!$D$2:$D$99,0))</f>
        <v>3</v>
      </c>
      <c r="M129" s="8" t="n">
        <f aca="false">INDEX(Mapping!$C$2:$C$99,MATCH(M$1&amp;"|"&amp;Customers!M129,Mapping!$D$2:$D$99,0))</f>
        <v>3</v>
      </c>
      <c r="N129" s="8" t="n">
        <f aca="false">INDEX(Mapping!$C$2:$C$99,MATCH(N$1&amp;"|"&amp;Customers!N129,Mapping!$D$2:$D$99,0))</f>
        <v>3</v>
      </c>
      <c r="O129" s="8" t="n">
        <f aca="false">INDEX(Mapping!$C$2:$C$99,MATCH(O$1&amp;"|"&amp;Customers!O129,Mapping!$D$2:$D$99,0))</f>
        <v>3</v>
      </c>
      <c r="P129" s="8" t="n">
        <f aca="false">INDEX(Mapping!$C$2:$C$99,MATCH(P$1&amp;"|"&amp;Customers!P129,Mapping!$D$2:$D$99,0))</f>
        <v>3</v>
      </c>
      <c r="Q129" s="8" t="n">
        <f aca="false">INDEX(Mapping!$C$2:$C$99,MATCH(Q$1&amp;"|"&amp;Customers!Q129,Mapping!$D$2:$D$99,0))</f>
        <v>1</v>
      </c>
      <c r="R129" s="8" t="n">
        <f aca="false">INDEX(Mapping!$C$2:$C$99,MATCH(R$1&amp;"|"&amp;Customers!R129,Mapping!$D$2:$D$99,0))</f>
        <v>1</v>
      </c>
      <c r="S129" s="8" t="n">
        <f aca="false">INDEX(Mapping!$C$2:$C$99,MATCH(S$1&amp;"|"&amp;Customers!S129,Mapping!$D$2:$D$99,0))</f>
        <v>2</v>
      </c>
      <c r="T129" s="8" t="n">
        <f aca="false">INDEX(Mapping!$C$2:$C$99,MATCH(T$1&amp;"|"&amp;Customers!T129,Mapping!$D$2:$D$99,0))</f>
        <v>1</v>
      </c>
      <c r="U129" s="8" t="n">
        <f aca="false">INDEX(Mapping!$C$2:$C$99,MATCH(U$1&amp;"|"&amp;Customers!U129,Mapping!$D$2:$D$99,0))</f>
        <v>1</v>
      </c>
      <c r="V129" s="8" t="n">
        <f aca="false">INDEX(Mapping!$C$2:$C$99,MATCH(V$1&amp;"|"&amp;Customers!V129,Mapping!$D$2:$D$99,0))</f>
        <v>1</v>
      </c>
      <c r="W129" s="17" t="n">
        <f aca="false">SUMPRODUCT($C129:$V129,Weights!$C$27:$V$27)</f>
        <v>1.605</v>
      </c>
      <c r="X129" s="18" t="n">
        <f aca="false">ROUND($W129,2)</f>
        <v>1.61</v>
      </c>
      <c r="Y129" s="8" t="str">
        <f aca="false">IF($X129&lt;=2,"Low",IF($X129&lt;=3.49,"Medium","High"))</f>
        <v>Low</v>
      </c>
      <c r="Z129" s="8" t="str">
        <f aca="false">IF(OR($F129&gt;=3,$E129=5,$D129=5,$C129=5,$G129=5,$H129=5,$I129=5,$J129=5,Customers!$W129="Yes"),"Yes","No")</f>
        <v>No</v>
      </c>
      <c r="AA129" s="15" t="str">
        <f aca="false">IF($Z129="Yes","High",$Y129)</f>
        <v>Low</v>
      </c>
      <c r="AB129" s="18" t="n">
        <f aca="false">SUMPRODUCT($C129:$G129,Weights!$C$28:$G$28)</f>
        <v>1</v>
      </c>
      <c r="AC129" s="18" t="n">
        <f aca="false">SUMPRODUCT($H129:$J129,Weights!$H$28:$J$28)</f>
        <v>1</v>
      </c>
      <c r="AD129" s="18" t="n">
        <f aca="false">SUMPRODUCT($K129:$N129,Weights!$K$28:$N$28)</f>
        <v>3</v>
      </c>
      <c r="AE129" s="18" t="n">
        <f aca="false">SUMPRODUCT($O129:$Q129,Weights!$O$28:$Q$28)</f>
        <v>2.6</v>
      </c>
      <c r="AF129" s="18" t="n">
        <f aca="false">SUMPRODUCT($R129:$V129,Weights!$R$28:$V$28)</f>
        <v>1.3</v>
      </c>
      <c r="AH129" s="18" t="n">
        <f aca="false">SUMPRODUCT($AB129:$AF129,Validation!$D$7:$H$7)</f>
        <v>1.6914285714283</v>
      </c>
      <c r="AI129" s="18" t="n">
        <f aca="false">SUMPRODUCT($AB129:$AF129,Validation!$D$8:$H$8)</f>
        <v>1.5185714285717</v>
      </c>
      <c r="AJ129" s="18" t="n">
        <f aca="false">SUMPRODUCT($AB129:$AF129,Validation!$D$9:$H$9)</f>
        <v>1.6856666666668</v>
      </c>
      <c r="AK129" s="18" t="n">
        <f aca="false">SUMPRODUCT($AB129:$AF129,Validation!$D$10:$H$10)</f>
        <v>1.5243333333332</v>
      </c>
      <c r="AL129" s="18" t="n">
        <f aca="false">SUMPRODUCT($AB129:$AF129,Validation!$D$11:$H$11)</f>
        <v>1.430625</v>
      </c>
      <c r="AM129" s="18" t="n">
        <f aca="false">SUMPRODUCT($AB129:$AF129,Validation!$D$12:$H$12)</f>
        <v>1.779375</v>
      </c>
      <c r="AN129" s="18" t="n">
        <f aca="false">SUMPRODUCT($AB129:$AF129,Validation!$D$13:$H$13)</f>
        <v>1.4944444444441</v>
      </c>
      <c r="AO129" s="18" t="n">
        <f aca="false">SUMPRODUCT($AB129:$AF129,Validation!$D$14:$H$14)</f>
        <v>1.7155555555559</v>
      </c>
      <c r="AP129" s="18" t="n">
        <f aca="false">SUMPRODUCT($AB129:$AF129,Validation!$D$15:$H$15)</f>
        <v>1.6408823529412</v>
      </c>
      <c r="AQ129" s="18" t="n">
        <f aca="false">SUMPRODUCT($AB129:$AF129,Validation!$D$16:$H$16)</f>
        <v>1.5691176470588</v>
      </c>
      <c r="AR129" s="8" t="n">
        <f aca="false">COUNTIF($C129:$V129,"&gt;=4")</f>
        <v>0</v>
      </c>
      <c r="AS129" s="8" t="str">
        <f aca="false">IF($X129&lt;=1.6,"Low",IF($X129&lt;=2.2,"Medium","High"))</f>
        <v>Medium</v>
      </c>
      <c r="AT129" s="8" t="str">
        <f aca="false">IF($AR129=0,"Low",IF($AR129&lt;3,"Medium","High"))</f>
        <v>Low</v>
      </c>
      <c r="AU129" s="8" t="str">
        <f aca="false">IF(OR($AS129="High",$AT129="High"),"High",IF(OR($AS129="Medium",$AT129="Medium"),"Medium","Low"))</f>
        <v>Medium</v>
      </c>
      <c r="AV129" s="15" t="str">
        <f aca="false">IF($Z129="Yes","High",$AU129)</f>
        <v>Medium</v>
      </c>
    </row>
    <row r="130" customFormat="false" ht="15" hidden="false" customHeight="false" outlineLevel="0" collapsed="false">
      <c r="A130" s="7" t="str">
        <f aca="false">Customers!$A130</f>
        <v>NG-10129</v>
      </c>
      <c r="B130" s="7" t="str">
        <f aca="false">Customers!$B130</f>
        <v>Personal</v>
      </c>
      <c r="C130" s="8" t="n">
        <f aca="false">INDEX(Mapping!$C$2:$C$99,MATCH(C$1&amp;"|"&amp;Customers!C130,Mapping!$D$2:$D$99,0))</f>
        <v>2</v>
      </c>
      <c r="D130" s="8" t="n">
        <f aca="false">INDEX(Mapping!$C$2:$C$99,MATCH(D$1&amp;"|"&amp;Customers!D130,Mapping!$D$2:$D$99,0))</f>
        <v>1</v>
      </c>
      <c r="E130" s="8" t="n">
        <f aca="false">INDEX(Mapping!$C$2:$C$99,MATCH(E$1&amp;"|"&amp;Customers!E130,Mapping!$D$2:$D$99,0))</f>
        <v>1</v>
      </c>
      <c r="F130" s="8" t="n">
        <f aca="false">INDEX(Mapping!$C$2:$C$99,MATCH(F$1&amp;"|"&amp;Customers!F130,Mapping!$D$2:$D$99,0))</f>
        <v>1</v>
      </c>
      <c r="G130" s="8" t="n">
        <f aca="false">INDEX(Mapping!$C$2:$C$99,MATCH(G$1&amp;"|"&amp;Customers!G130,Mapping!$D$2:$D$99,0))</f>
        <v>1</v>
      </c>
      <c r="H130" s="8" t="n">
        <f aca="false">INDEX(Mapping!$C$2:$C$99,MATCH(H$1&amp;"|"&amp;Customers!H130,Mapping!$D$2:$D$99,0))</f>
        <v>1</v>
      </c>
      <c r="I130" s="8" t="n">
        <f aca="false">INDEX(Mapping!$C$2:$C$99,MATCH(I$1&amp;"|"&amp;Customers!I130,Mapping!$D$2:$D$99,0))</f>
        <v>1</v>
      </c>
      <c r="J130" s="8" t="n">
        <f aca="false">INDEX(Mapping!$C$2:$C$99,MATCH(J$1&amp;"|"&amp;Customers!J130,Mapping!$D$2:$D$99,0))</f>
        <v>2</v>
      </c>
      <c r="K130" s="8" t="n">
        <f aca="false">INDEX(Mapping!$C$2:$C$99,MATCH(K$1&amp;"|"&amp;Customers!K130,Mapping!$D$2:$D$99,0))</f>
        <v>2</v>
      </c>
      <c r="L130" s="8" t="n">
        <f aca="false">INDEX(Mapping!$C$2:$C$99,MATCH(L$1&amp;"|"&amp;Customers!L130,Mapping!$D$2:$D$99,0))</f>
        <v>2</v>
      </c>
      <c r="M130" s="8" t="n">
        <f aca="false">INDEX(Mapping!$C$2:$C$99,MATCH(M$1&amp;"|"&amp;Customers!M130,Mapping!$D$2:$D$99,0))</f>
        <v>1</v>
      </c>
      <c r="N130" s="8" t="n">
        <f aca="false">INDEX(Mapping!$C$2:$C$99,MATCH(N$1&amp;"|"&amp;Customers!N130,Mapping!$D$2:$D$99,0))</f>
        <v>2</v>
      </c>
      <c r="O130" s="8" t="n">
        <f aca="false">INDEX(Mapping!$C$2:$C$99,MATCH(O$1&amp;"|"&amp;Customers!O130,Mapping!$D$2:$D$99,0))</f>
        <v>3</v>
      </c>
      <c r="P130" s="8" t="n">
        <f aca="false">INDEX(Mapping!$C$2:$C$99,MATCH(P$1&amp;"|"&amp;Customers!P130,Mapping!$D$2:$D$99,0))</f>
        <v>3</v>
      </c>
      <c r="Q130" s="8" t="n">
        <f aca="false">INDEX(Mapping!$C$2:$C$99,MATCH(Q$1&amp;"|"&amp;Customers!Q130,Mapping!$D$2:$D$99,0))</f>
        <v>3</v>
      </c>
      <c r="R130" s="8" t="n">
        <f aca="false">INDEX(Mapping!$C$2:$C$99,MATCH(R$1&amp;"|"&amp;Customers!R130,Mapping!$D$2:$D$99,0))</f>
        <v>1</v>
      </c>
      <c r="S130" s="8" t="n">
        <f aca="false">INDEX(Mapping!$C$2:$C$99,MATCH(S$1&amp;"|"&amp;Customers!S130,Mapping!$D$2:$D$99,0))</f>
        <v>2</v>
      </c>
      <c r="T130" s="8" t="n">
        <f aca="false">INDEX(Mapping!$C$2:$C$99,MATCH(T$1&amp;"|"&amp;Customers!T130,Mapping!$D$2:$D$99,0))</f>
        <v>1</v>
      </c>
      <c r="U130" s="8" t="n">
        <f aca="false">INDEX(Mapping!$C$2:$C$99,MATCH(U$1&amp;"|"&amp;Customers!U130,Mapping!$D$2:$D$99,0))</f>
        <v>1</v>
      </c>
      <c r="V130" s="8" t="n">
        <f aca="false">INDEX(Mapping!$C$2:$C$99,MATCH(V$1&amp;"|"&amp;Customers!V130,Mapping!$D$2:$D$99,0))</f>
        <v>1</v>
      </c>
      <c r="W130" s="17" t="n">
        <f aca="false">SUMPRODUCT($C130:$V130,Weights!$C$27:$V$27)</f>
        <v>1.555</v>
      </c>
      <c r="X130" s="18" t="n">
        <f aca="false">ROUND($W130,2)</f>
        <v>1.56</v>
      </c>
      <c r="Y130" s="8" t="str">
        <f aca="false">IF($X130&lt;=2,"Low",IF($X130&lt;=3.49,"Medium","High"))</f>
        <v>Low</v>
      </c>
      <c r="Z130" s="8" t="str">
        <f aca="false">IF(OR($F130&gt;=3,$E130=5,$D130=5,$C130=5,$G130=5,$H130=5,$I130=5,$J130=5,Customers!$W130="Yes"),"Yes","No")</f>
        <v>No</v>
      </c>
      <c r="AA130" s="15" t="str">
        <f aca="false">IF($Z130="Yes","High",$Y130)</f>
        <v>Low</v>
      </c>
      <c r="AB130" s="18" t="n">
        <f aca="false">SUMPRODUCT($C130:$G130,Weights!$C$28:$G$28)</f>
        <v>1.2</v>
      </c>
      <c r="AC130" s="18" t="n">
        <f aca="false">SUMPRODUCT($H130:$J130,Weights!$H$28:$J$28)</f>
        <v>1.4</v>
      </c>
      <c r="AD130" s="18" t="n">
        <f aca="false">SUMPRODUCT($K130:$N130,Weights!$K$28:$N$28)</f>
        <v>1.75</v>
      </c>
      <c r="AE130" s="18" t="n">
        <f aca="false">SUMPRODUCT($O130:$Q130,Weights!$O$28:$Q$28)</f>
        <v>3</v>
      </c>
      <c r="AF130" s="18" t="n">
        <f aca="false">SUMPRODUCT($R130:$V130,Weights!$R$28:$V$28)</f>
        <v>1.3</v>
      </c>
      <c r="AH130" s="18" t="n">
        <f aca="false">SUMPRODUCT($AB130:$AF130,Validation!$D$7:$H$7)</f>
        <v>1.60571428571455</v>
      </c>
      <c r="AI130" s="18" t="n">
        <f aca="false">SUMPRODUCT($AB130:$AF130,Validation!$D$8:$H$8)</f>
        <v>1.50428571428545</v>
      </c>
      <c r="AJ130" s="18" t="n">
        <f aca="false">SUMPRODUCT($AB130:$AF130,Validation!$D$9:$H$9)</f>
        <v>1.57566666666625</v>
      </c>
      <c r="AK130" s="18" t="n">
        <f aca="false">SUMPRODUCT($AB130:$AF130,Validation!$D$10:$H$10)</f>
        <v>1.53433333333375</v>
      </c>
      <c r="AL130" s="18" t="n">
        <f aca="false">SUMPRODUCT($AB130:$AF130,Validation!$D$11:$H$11)</f>
        <v>1.530625</v>
      </c>
      <c r="AM130" s="18" t="n">
        <f aca="false">SUMPRODUCT($AB130:$AF130,Validation!$D$12:$H$12)</f>
        <v>1.579375</v>
      </c>
      <c r="AN130" s="18" t="n">
        <f aca="false">SUMPRODUCT($AB130:$AF130,Validation!$D$13:$H$13)</f>
        <v>1.3944444444444</v>
      </c>
      <c r="AO130" s="18" t="n">
        <f aca="false">SUMPRODUCT($AB130:$AF130,Validation!$D$14:$H$14)</f>
        <v>1.7155555555556</v>
      </c>
      <c r="AP130" s="18" t="n">
        <f aca="false">SUMPRODUCT($AB130:$AF130,Validation!$D$15:$H$15)</f>
        <v>1.58499999999955</v>
      </c>
      <c r="AQ130" s="18" t="n">
        <f aca="false">SUMPRODUCT($AB130:$AF130,Validation!$D$16:$H$16)</f>
        <v>1.52500000000045</v>
      </c>
      <c r="AR130" s="8" t="n">
        <f aca="false">COUNTIF($C130:$V130,"&gt;=4")</f>
        <v>0</v>
      </c>
      <c r="AS130" s="8" t="str">
        <f aca="false">IF($X130&lt;=1.6,"Low",IF($X130&lt;=2.2,"Medium","High"))</f>
        <v>Low</v>
      </c>
      <c r="AT130" s="8" t="str">
        <f aca="false">IF($AR130=0,"Low",IF($AR130&lt;3,"Medium","High"))</f>
        <v>Low</v>
      </c>
      <c r="AU130" s="8" t="str">
        <f aca="false">IF(OR($AS130="High",$AT130="High"),"High",IF(OR($AS130="Medium",$AT130="Medium"),"Medium","Low"))</f>
        <v>Low</v>
      </c>
      <c r="AV130" s="15" t="str">
        <f aca="false">IF($Z130="Yes","High",$AU130)</f>
        <v>Low</v>
      </c>
    </row>
    <row r="131" customFormat="false" ht="15" hidden="false" customHeight="false" outlineLevel="0" collapsed="false">
      <c r="A131" s="7" t="str">
        <f aca="false">Customers!$A131</f>
        <v>NG-10215</v>
      </c>
      <c r="B131" s="7" t="str">
        <f aca="false">Customers!$B131</f>
        <v>Personal</v>
      </c>
      <c r="C131" s="8" t="n">
        <f aca="false">INDEX(Mapping!$C$2:$C$99,MATCH(C$1&amp;"|"&amp;Customers!C131,Mapping!$D$2:$D$99,0))</f>
        <v>1</v>
      </c>
      <c r="D131" s="8" t="n">
        <f aca="false">INDEX(Mapping!$C$2:$C$99,MATCH(D$1&amp;"|"&amp;Customers!D131,Mapping!$D$2:$D$99,0))</f>
        <v>1</v>
      </c>
      <c r="E131" s="8" t="n">
        <f aca="false">INDEX(Mapping!$C$2:$C$99,MATCH(E$1&amp;"|"&amp;Customers!E131,Mapping!$D$2:$D$99,0))</f>
        <v>1</v>
      </c>
      <c r="F131" s="8" t="n">
        <f aca="false">INDEX(Mapping!$C$2:$C$99,MATCH(F$1&amp;"|"&amp;Customers!F131,Mapping!$D$2:$D$99,0))</f>
        <v>3</v>
      </c>
      <c r="G131" s="8" t="n">
        <f aca="false">INDEX(Mapping!$C$2:$C$99,MATCH(G$1&amp;"|"&amp;Customers!G131,Mapping!$D$2:$D$99,0))</f>
        <v>1</v>
      </c>
      <c r="H131" s="8" t="n">
        <f aca="false">INDEX(Mapping!$C$2:$C$99,MATCH(H$1&amp;"|"&amp;Customers!H131,Mapping!$D$2:$D$99,0))</f>
        <v>1</v>
      </c>
      <c r="I131" s="8" t="n">
        <f aca="false">INDEX(Mapping!$C$2:$C$99,MATCH(I$1&amp;"|"&amp;Customers!I131,Mapping!$D$2:$D$99,0))</f>
        <v>1</v>
      </c>
      <c r="J131" s="8" t="n">
        <f aca="false">INDEX(Mapping!$C$2:$C$99,MATCH(J$1&amp;"|"&amp;Customers!J131,Mapping!$D$2:$D$99,0))</f>
        <v>1</v>
      </c>
      <c r="K131" s="8" t="n">
        <f aca="false">INDEX(Mapping!$C$2:$C$99,MATCH(K$1&amp;"|"&amp;Customers!K131,Mapping!$D$2:$D$99,0))</f>
        <v>2</v>
      </c>
      <c r="L131" s="8" t="n">
        <f aca="false">INDEX(Mapping!$C$2:$C$99,MATCH(L$1&amp;"|"&amp;Customers!L131,Mapping!$D$2:$D$99,0))</f>
        <v>2</v>
      </c>
      <c r="M131" s="8" t="n">
        <f aca="false">INDEX(Mapping!$C$2:$C$99,MATCH(M$1&amp;"|"&amp;Customers!M131,Mapping!$D$2:$D$99,0))</f>
        <v>4</v>
      </c>
      <c r="N131" s="8" t="n">
        <f aca="false">INDEX(Mapping!$C$2:$C$99,MATCH(N$1&amp;"|"&amp;Customers!N131,Mapping!$D$2:$D$99,0))</f>
        <v>2</v>
      </c>
      <c r="O131" s="8" t="n">
        <f aca="false">INDEX(Mapping!$C$2:$C$99,MATCH(O$1&amp;"|"&amp;Customers!O131,Mapping!$D$2:$D$99,0))</f>
        <v>4</v>
      </c>
      <c r="P131" s="8" t="n">
        <f aca="false">INDEX(Mapping!$C$2:$C$99,MATCH(P$1&amp;"|"&amp;Customers!P131,Mapping!$D$2:$D$99,0))</f>
        <v>3</v>
      </c>
      <c r="Q131" s="8" t="n">
        <f aca="false">INDEX(Mapping!$C$2:$C$99,MATCH(Q$1&amp;"|"&amp;Customers!Q131,Mapping!$D$2:$D$99,0))</f>
        <v>1</v>
      </c>
      <c r="R131" s="8" t="n">
        <f aca="false">INDEX(Mapping!$C$2:$C$99,MATCH(R$1&amp;"|"&amp;Customers!R131,Mapping!$D$2:$D$99,0))</f>
        <v>1</v>
      </c>
      <c r="S131" s="8" t="n">
        <f aca="false">INDEX(Mapping!$C$2:$C$99,MATCH(S$1&amp;"|"&amp;Customers!S131,Mapping!$D$2:$D$99,0))</f>
        <v>4</v>
      </c>
      <c r="T131" s="8" t="n">
        <f aca="false">INDEX(Mapping!$C$2:$C$99,MATCH(T$1&amp;"|"&amp;Customers!T131,Mapping!$D$2:$D$99,0))</f>
        <v>1</v>
      </c>
      <c r="U131" s="8" t="n">
        <f aca="false">INDEX(Mapping!$C$2:$C$99,MATCH(U$1&amp;"|"&amp;Customers!U131,Mapping!$D$2:$D$99,0))</f>
        <v>1</v>
      </c>
      <c r="V131" s="8" t="n">
        <f aca="false">INDEX(Mapping!$C$2:$C$99,MATCH(V$1&amp;"|"&amp;Customers!V131,Mapping!$D$2:$D$99,0))</f>
        <v>1</v>
      </c>
      <c r="W131" s="17" t="n">
        <f aca="false">SUMPRODUCT($C131:$V131,Weights!$C$27:$V$27)</f>
        <v>1.76</v>
      </c>
      <c r="X131" s="18" t="n">
        <f aca="false">ROUND($W131,2)</f>
        <v>1.76</v>
      </c>
      <c r="Y131" s="8" t="str">
        <f aca="false">IF($X131&lt;=2,"Low",IF($X131&lt;=3.49,"Medium","High"))</f>
        <v>Low</v>
      </c>
      <c r="Z131" s="8" t="str">
        <f aca="false">IF(OR($F131&gt;=3,$E131=5,$D131=5,$C131=5,$G131=5,$H131=5,$I131=5,$J131=5,Customers!$W131="Yes"),"Yes","No")</f>
        <v>Yes</v>
      </c>
      <c r="AA131" s="15" t="str">
        <f aca="false">IF($Z131="Yes","High",$Y131)</f>
        <v>High</v>
      </c>
      <c r="AB131" s="18" t="n">
        <f aca="false">SUMPRODUCT($C131:$G131,Weights!$C$28:$G$28)</f>
        <v>1.4</v>
      </c>
      <c r="AC131" s="18" t="n">
        <f aca="false">SUMPRODUCT($H131:$J131,Weights!$H$28:$J$28)</f>
        <v>1</v>
      </c>
      <c r="AD131" s="18" t="n">
        <f aca="false">SUMPRODUCT($K131:$N131,Weights!$K$28:$N$28)</f>
        <v>2.5</v>
      </c>
      <c r="AE131" s="18" t="n">
        <f aca="false">SUMPRODUCT($O131:$Q131,Weights!$O$28:$Q$28)</f>
        <v>3.05</v>
      </c>
      <c r="AF131" s="18" t="n">
        <f aca="false">SUMPRODUCT($R131:$V131,Weights!$R$28:$V$28)</f>
        <v>1.9</v>
      </c>
      <c r="AH131" s="18" t="n">
        <f aca="false">SUMPRODUCT($AB131:$AF131,Validation!$D$7:$H$7)</f>
        <v>1.8114285714289</v>
      </c>
      <c r="AI131" s="18" t="n">
        <f aca="false">SUMPRODUCT($AB131:$AF131,Validation!$D$8:$H$8)</f>
        <v>1.7085714285711</v>
      </c>
      <c r="AJ131" s="18" t="n">
        <f aca="false">SUMPRODUCT($AB131:$AF131,Validation!$D$9:$H$9)</f>
        <v>1.86133333333315</v>
      </c>
      <c r="AK131" s="18" t="n">
        <f aca="false">SUMPRODUCT($AB131:$AF131,Validation!$D$10:$H$10)</f>
        <v>1.65866666666685</v>
      </c>
      <c r="AL131" s="18" t="n">
        <f aca="false">SUMPRODUCT($AB131:$AF131,Validation!$D$11:$H$11)</f>
        <v>1.6675</v>
      </c>
      <c r="AM131" s="18" t="n">
        <f aca="false">SUMPRODUCT($AB131:$AF131,Validation!$D$12:$H$12)</f>
        <v>1.8525</v>
      </c>
      <c r="AN131" s="18" t="n">
        <f aca="false">SUMPRODUCT($AB131:$AF131,Validation!$D$13:$H$13)</f>
        <v>1.6166666666665</v>
      </c>
      <c r="AO131" s="18" t="n">
        <f aca="false">SUMPRODUCT($AB131:$AF131,Validation!$D$14:$H$14)</f>
        <v>1.9033333333335</v>
      </c>
      <c r="AP131" s="18" t="n">
        <f aca="false">SUMPRODUCT($AB131:$AF131,Validation!$D$15:$H$15)</f>
        <v>1.7435294117644</v>
      </c>
      <c r="AQ131" s="18" t="n">
        <f aca="false">SUMPRODUCT($AB131:$AF131,Validation!$D$16:$H$16)</f>
        <v>1.7764705882356</v>
      </c>
      <c r="AR131" s="8" t="n">
        <f aca="false">COUNTIF($C131:$V131,"&gt;=4")</f>
        <v>3</v>
      </c>
      <c r="AS131" s="8" t="str">
        <f aca="false">IF($X131&lt;=1.6,"Low",IF($X131&lt;=2.2,"Medium","High"))</f>
        <v>Medium</v>
      </c>
      <c r="AT131" s="8" t="str">
        <f aca="false">IF($AR131=0,"Low",IF($AR131&lt;3,"Medium","High"))</f>
        <v>High</v>
      </c>
      <c r="AU131" s="8" t="str">
        <f aca="false">IF(OR($AS131="High",$AT131="High"),"High",IF(OR($AS131="Medium",$AT131="Medium"),"Medium","Low"))</f>
        <v>High</v>
      </c>
      <c r="AV131" s="15" t="str">
        <f aca="false">IF($Z131="Yes","High",$AU131)</f>
        <v>High</v>
      </c>
    </row>
    <row r="132" customFormat="false" ht="15" hidden="false" customHeight="false" outlineLevel="0" collapsed="false">
      <c r="A132" s="7" t="str">
        <f aca="false">Customers!$A132</f>
        <v>NG-10327</v>
      </c>
      <c r="B132" s="7" t="str">
        <f aca="false">Customers!$B132</f>
        <v>Sole trader</v>
      </c>
      <c r="C132" s="8" t="n">
        <f aca="false">INDEX(Mapping!$C$2:$C$99,MATCH(C$1&amp;"|"&amp;Customers!C132,Mapping!$D$2:$D$99,0))</f>
        <v>2</v>
      </c>
      <c r="D132" s="8" t="n">
        <f aca="false">INDEX(Mapping!$C$2:$C$99,MATCH(D$1&amp;"|"&amp;Customers!D132,Mapping!$D$2:$D$99,0))</f>
        <v>1</v>
      </c>
      <c r="E132" s="8" t="n">
        <f aca="false">INDEX(Mapping!$C$2:$C$99,MATCH(E$1&amp;"|"&amp;Customers!E132,Mapping!$D$2:$D$99,0))</f>
        <v>4</v>
      </c>
      <c r="F132" s="8" t="n">
        <f aca="false">INDEX(Mapping!$C$2:$C$99,MATCH(F$1&amp;"|"&amp;Customers!F132,Mapping!$D$2:$D$99,0))</f>
        <v>1</v>
      </c>
      <c r="G132" s="8" t="n">
        <f aca="false">INDEX(Mapping!$C$2:$C$99,MATCH(G$1&amp;"|"&amp;Customers!G132,Mapping!$D$2:$D$99,0))</f>
        <v>1</v>
      </c>
      <c r="H132" s="8" t="n">
        <f aca="false">INDEX(Mapping!$C$2:$C$99,MATCH(H$1&amp;"|"&amp;Customers!H132,Mapping!$D$2:$D$99,0))</f>
        <v>1</v>
      </c>
      <c r="I132" s="8" t="n">
        <f aca="false">INDEX(Mapping!$C$2:$C$99,MATCH(I$1&amp;"|"&amp;Customers!I132,Mapping!$D$2:$D$99,0))</f>
        <v>1</v>
      </c>
      <c r="J132" s="8" t="n">
        <f aca="false">INDEX(Mapping!$C$2:$C$99,MATCH(J$1&amp;"|"&amp;Customers!J132,Mapping!$D$2:$D$99,0))</f>
        <v>3</v>
      </c>
      <c r="K132" s="8" t="n">
        <f aca="false">INDEX(Mapping!$C$2:$C$99,MATCH(K$1&amp;"|"&amp;Customers!K132,Mapping!$D$2:$D$99,0))</f>
        <v>4</v>
      </c>
      <c r="L132" s="8" t="n">
        <f aca="false">INDEX(Mapping!$C$2:$C$99,MATCH(L$1&amp;"|"&amp;Customers!L132,Mapping!$D$2:$D$99,0))</f>
        <v>5</v>
      </c>
      <c r="M132" s="8" t="n">
        <f aca="false">INDEX(Mapping!$C$2:$C$99,MATCH(M$1&amp;"|"&amp;Customers!M132,Mapping!$D$2:$D$99,0))</f>
        <v>3</v>
      </c>
      <c r="N132" s="8" t="n">
        <f aca="false">INDEX(Mapping!$C$2:$C$99,MATCH(N$1&amp;"|"&amp;Customers!N132,Mapping!$D$2:$D$99,0))</f>
        <v>1</v>
      </c>
      <c r="O132" s="8" t="n">
        <f aca="false">INDEX(Mapping!$C$2:$C$99,MATCH(O$1&amp;"|"&amp;Customers!O132,Mapping!$D$2:$D$99,0))</f>
        <v>4</v>
      </c>
      <c r="P132" s="8" t="n">
        <f aca="false">INDEX(Mapping!$C$2:$C$99,MATCH(P$1&amp;"|"&amp;Customers!P132,Mapping!$D$2:$D$99,0))</f>
        <v>1</v>
      </c>
      <c r="Q132" s="8" t="n">
        <f aca="false">INDEX(Mapping!$C$2:$C$99,MATCH(Q$1&amp;"|"&amp;Customers!Q132,Mapping!$D$2:$D$99,0))</f>
        <v>3</v>
      </c>
      <c r="R132" s="8" t="n">
        <f aca="false">INDEX(Mapping!$C$2:$C$99,MATCH(R$1&amp;"|"&amp;Customers!R132,Mapping!$D$2:$D$99,0))</f>
        <v>1</v>
      </c>
      <c r="S132" s="8" t="n">
        <f aca="false">INDEX(Mapping!$C$2:$C$99,MATCH(S$1&amp;"|"&amp;Customers!S132,Mapping!$D$2:$D$99,0))</f>
        <v>2</v>
      </c>
      <c r="T132" s="8" t="n">
        <f aca="false">INDEX(Mapping!$C$2:$C$99,MATCH(T$1&amp;"|"&amp;Customers!T132,Mapping!$D$2:$D$99,0))</f>
        <v>3</v>
      </c>
      <c r="U132" s="8" t="n">
        <f aca="false">INDEX(Mapping!$C$2:$C$99,MATCH(U$1&amp;"|"&amp;Customers!U132,Mapping!$D$2:$D$99,0))</f>
        <v>3</v>
      </c>
      <c r="V132" s="8" t="n">
        <f aca="false">INDEX(Mapping!$C$2:$C$99,MATCH(V$1&amp;"|"&amp;Customers!V132,Mapping!$D$2:$D$99,0))</f>
        <v>1</v>
      </c>
      <c r="W132" s="17" t="n">
        <f aca="false">SUMPRODUCT($C132:$V132,Weights!$C$27:$V$27)</f>
        <v>2.32</v>
      </c>
      <c r="X132" s="18" t="n">
        <f aca="false">ROUND($W132,2)</f>
        <v>2.32</v>
      </c>
      <c r="Y132" s="8" t="str">
        <f aca="false">IF($X132&lt;=2,"Low",IF($X132&lt;=3.49,"Medium","High"))</f>
        <v>Medium</v>
      </c>
      <c r="Z132" s="8" t="str">
        <f aca="false">IF(OR($F132&gt;=3,$E132=5,$D132=5,$C132=5,$G132=5,$H132=5,$I132=5,$J132=5,Customers!$W132="Yes"),"Yes","No")</f>
        <v>No</v>
      </c>
      <c r="AA132" s="15" t="str">
        <f aca="false">IF($Z132="Yes","High",$Y132)</f>
        <v>Medium</v>
      </c>
      <c r="AB132" s="18" t="n">
        <f aca="false">SUMPRODUCT($C132:$G132,Weights!$C$28:$G$28)</f>
        <v>1.95</v>
      </c>
      <c r="AC132" s="18" t="n">
        <f aca="false">SUMPRODUCT($H132:$J132,Weights!$H$28:$J$28)</f>
        <v>1.8</v>
      </c>
      <c r="AD132" s="18" t="n">
        <f aca="false">SUMPRODUCT($K132:$N132,Weights!$K$28:$N$28)</f>
        <v>3.55</v>
      </c>
      <c r="AE132" s="18" t="n">
        <f aca="false">SUMPRODUCT($O132:$Q132,Weights!$O$28:$Q$28)</f>
        <v>2.75</v>
      </c>
      <c r="AF132" s="18" t="n">
        <f aca="false">SUMPRODUCT($R132:$V132,Weights!$R$28:$V$28)</f>
        <v>2</v>
      </c>
      <c r="AH132" s="18" t="n">
        <f aca="false">SUMPRODUCT($AB132:$AF132,Validation!$D$7:$H$7)</f>
        <v>2.37285714285675</v>
      </c>
      <c r="AI132" s="18" t="n">
        <f aca="false">SUMPRODUCT($AB132:$AF132,Validation!$D$8:$H$8)</f>
        <v>2.26714285714325</v>
      </c>
      <c r="AJ132" s="18" t="n">
        <f aca="false">SUMPRODUCT($AB132:$AF132,Validation!$D$9:$H$9)</f>
        <v>2.3893333333336</v>
      </c>
      <c r="AK132" s="18" t="n">
        <f aca="false">SUMPRODUCT($AB132:$AF132,Validation!$D$10:$H$10)</f>
        <v>2.2506666666664</v>
      </c>
      <c r="AL132" s="18" t="n">
        <f aca="false">SUMPRODUCT($AB132:$AF132,Validation!$D$11:$H$11)</f>
        <v>2.16625</v>
      </c>
      <c r="AM132" s="18" t="n">
        <f aca="false">SUMPRODUCT($AB132:$AF132,Validation!$D$12:$H$12)</f>
        <v>2.47375</v>
      </c>
      <c r="AN132" s="18" t="n">
        <f aca="false">SUMPRODUCT($AB132:$AF132,Validation!$D$13:$H$13)</f>
        <v>2.27222222222185</v>
      </c>
      <c r="AO132" s="18" t="n">
        <f aca="false">SUMPRODUCT($AB132:$AF132,Validation!$D$14:$H$14)</f>
        <v>2.36777777777815</v>
      </c>
      <c r="AP132" s="18" t="n">
        <f aca="false">SUMPRODUCT($AB132:$AF132,Validation!$D$15:$H$15)</f>
        <v>2.3576470588237</v>
      </c>
      <c r="AQ132" s="18" t="n">
        <f aca="false">SUMPRODUCT($AB132:$AF132,Validation!$D$16:$H$16)</f>
        <v>2.2823529411763</v>
      </c>
      <c r="AR132" s="8" t="n">
        <f aca="false">COUNTIF($C132:$V132,"&gt;=4")</f>
        <v>4</v>
      </c>
      <c r="AS132" s="8" t="str">
        <f aca="false">IF($X132&lt;=1.6,"Low",IF($X132&lt;=2.2,"Medium","High"))</f>
        <v>High</v>
      </c>
      <c r="AT132" s="8" t="str">
        <f aca="false">IF($AR132=0,"Low",IF($AR132&lt;3,"Medium","High"))</f>
        <v>High</v>
      </c>
      <c r="AU132" s="8" t="str">
        <f aca="false">IF(OR($AS132="High",$AT132="High"),"High",IF(OR($AS132="Medium",$AT132="Medium"),"Medium","Low"))</f>
        <v>High</v>
      </c>
      <c r="AV132" s="15" t="str">
        <f aca="false">IF($Z132="Yes","High",$AU132)</f>
        <v>High</v>
      </c>
    </row>
    <row r="133" customFormat="false" ht="15" hidden="false" customHeight="false" outlineLevel="0" collapsed="false">
      <c r="A133" s="7" t="str">
        <f aca="false">Customers!$A133</f>
        <v>NG-10127</v>
      </c>
      <c r="B133" s="7" t="str">
        <f aca="false">Customers!$B133</f>
        <v>Personal</v>
      </c>
      <c r="C133" s="8" t="n">
        <f aca="false">INDEX(Mapping!$C$2:$C$99,MATCH(C$1&amp;"|"&amp;Customers!C133,Mapping!$D$2:$D$99,0))</f>
        <v>1</v>
      </c>
      <c r="D133" s="8" t="n">
        <f aca="false">INDEX(Mapping!$C$2:$C$99,MATCH(D$1&amp;"|"&amp;Customers!D133,Mapping!$D$2:$D$99,0))</f>
        <v>1</v>
      </c>
      <c r="E133" s="8" t="n">
        <f aca="false">INDEX(Mapping!$C$2:$C$99,MATCH(E$1&amp;"|"&amp;Customers!E133,Mapping!$D$2:$D$99,0))</f>
        <v>2</v>
      </c>
      <c r="F133" s="8" t="n">
        <f aca="false">INDEX(Mapping!$C$2:$C$99,MATCH(F$1&amp;"|"&amp;Customers!F133,Mapping!$D$2:$D$99,0))</f>
        <v>1</v>
      </c>
      <c r="G133" s="8" t="n">
        <f aca="false">INDEX(Mapping!$C$2:$C$99,MATCH(G$1&amp;"|"&amp;Customers!G133,Mapping!$D$2:$D$99,0))</f>
        <v>1</v>
      </c>
      <c r="H133" s="8" t="n">
        <f aca="false">INDEX(Mapping!$C$2:$C$99,MATCH(H$1&amp;"|"&amp;Customers!H133,Mapping!$D$2:$D$99,0))</f>
        <v>1</v>
      </c>
      <c r="I133" s="8" t="n">
        <f aca="false">INDEX(Mapping!$C$2:$C$99,MATCH(I$1&amp;"|"&amp;Customers!I133,Mapping!$D$2:$D$99,0))</f>
        <v>1</v>
      </c>
      <c r="J133" s="8" t="n">
        <f aca="false">INDEX(Mapping!$C$2:$C$99,MATCH(J$1&amp;"|"&amp;Customers!J133,Mapping!$D$2:$D$99,0))</f>
        <v>1</v>
      </c>
      <c r="K133" s="8" t="n">
        <f aca="false">INDEX(Mapping!$C$2:$C$99,MATCH(K$1&amp;"|"&amp;Customers!K133,Mapping!$D$2:$D$99,0))</f>
        <v>2</v>
      </c>
      <c r="L133" s="8" t="n">
        <f aca="false">INDEX(Mapping!$C$2:$C$99,MATCH(L$1&amp;"|"&amp;Customers!L133,Mapping!$D$2:$D$99,0))</f>
        <v>2</v>
      </c>
      <c r="M133" s="8" t="n">
        <f aca="false">INDEX(Mapping!$C$2:$C$99,MATCH(M$1&amp;"|"&amp;Customers!M133,Mapping!$D$2:$D$99,0))</f>
        <v>4</v>
      </c>
      <c r="N133" s="8" t="n">
        <f aca="false">INDEX(Mapping!$C$2:$C$99,MATCH(N$1&amp;"|"&amp;Customers!N133,Mapping!$D$2:$D$99,0))</f>
        <v>1</v>
      </c>
      <c r="O133" s="8" t="n">
        <f aca="false">INDEX(Mapping!$C$2:$C$99,MATCH(O$1&amp;"|"&amp;Customers!O133,Mapping!$D$2:$D$99,0))</f>
        <v>3</v>
      </c>
      <c r="P133" s="8" t="n">
        <f aca="false">INDEX(Mapping!$C$2:$C$99,MATCH(P$1&amp;"|"&amp;Customers!P133,Mapping!$D$2:$D$99,0))</f>
        <v>3</v>
      </c>
      <c r="Q133" s="8" t="n">
        <f aca="false">INDEX(Mapping!$C$2:$C$99,MATCH(Q$1&amp;"|"&amp;Customers!Q133,Mapping!$D$2:$D$99,0))</f>
        <v>4</v>
      </c>
      <c r="R133" s="8" t="n">
        <f aca="false">INDEX(Mapping!$C$2:$C$99,MATCH(R$1&amp;"|"&amp;Customers!R133,Mapping!$D$2:$D$99,0))</f>
        <v>2</v>
      </c>
      <c r="S133" s="8" t="n">
        <f aca="false">INDEX(Mapping!$C$2:$C$99,MATCH(S$1&amp;"|"&amp;Customers!S133,Mapping!$D$2:$D$99,0))</f>
        <v>2</v>
      </c>
      <c r="T133" s="8" t="n">
        <f aca="false">INDEX(Mapping!$C$2:$C$99,MATCH(T$1&amp;"|"&amp;Customers!T133,Mapping!$D$2:$D$99,0))</f>
        <v>1</v>
      </c>
      <c r="U133" s="8" t="n">
        <f aca="false">INDEX(Mapping!$C$2:$C$99,MATCH(U$1&amp;"|"&amp;Customers!U133,Mapping!$D$2:$D$99,0))</f>
        <v>1</v>
      </c>
      <c r="V133" s="8" t="n">
        <f aca="false">INDEX(Mapping!$C$2:$C$99,MATCH(V$1&amp;"|"&amp;Customers!V133,Mapping!$D$2:$D$99,0))</f>
        <v>1</v>
      </c>
      <c r="W133" s="17" t="n">
        <f aca="false">SUMPRODUCT($C133:$V133,Weights!$C$27:$V$27)</f>
        <v>1.6475</v>
      </c>
      <c r="X133" s="18" t="n">
        <f aca="false">ROUND($W133,2)</f>
        <v>1.65</v>
      </c>
      <c r="Y133" s="8" t="str">
        <f aca="false">IF($X133&lt;=2,"Low",IF($X133&lt;=3.49,"Medium","High"))</f>
        <v>Low</v>
      </c>
      <c r="Z133" s="8" t="str">
        <f aca="false">IF(OR($F133&gt;=3,$E133=5,$D133=5,$C133=5,$G133=5,$H133=5,$I133=5,$J133=5,Customers!$W133="Yes"),"Yes","No")</f>
        <v>No</v>
      </c>
      <c r="AA133" s="15" t="str">
        <f aca="false">IF($Z133="Yes","High",$Y133)</f>
        <v>Low</v>
      </c>
      <c r="AB133" s="18" t="n">
        <f aca="false">SUMPRODUCT($C133:$G133,Weights!$C$28:$G$28)</f>
        <v>1.25</v>
      </c>
      <c r="AC133" s="18" t="n">
        <f aca="false">SUMPRODUCT($H133:$J133,Weights!$H$28:$J$28)</f>
        <v>1</v>
      </c>
      <c r="AD133" s="18" t="n">
        <f aca="false">SUMPRODUCT($K133:$N133,Weights!$K$28:$N$28)</f>
        <v>2.35</v>
      </c>
      <c r="AE133" s="18" t="n">
        <f aca="false">SUMPRODUCT($O133:$Q133,Weights!$O$28:$Q$28)</f>
        <v>3.2</v>
      </c>
      <c r="AF133" s="18" t="n">
        <f aca="false">SUMPRODUCT($R133:$V133,Weights!$R$28:$V$28)</f>
        <v>1.55</v>
      </c>
      <c r="AH133" s="18" t="n">
        <f aca="false">SUMPRODUCT($AB133:$AF133,Validation!$D$7:$H$7)</f>
        <v>1.704285714286</v>
      </c>
      <c r="AI133" s="18" t="n">
        <f aca="false">SUMPRODUCT($AB133:$AF133,Validation!$D$8:$H$8)</f>
        <v>1.590714285714</v>
      </c>
      <c r="AJ133" s="18" t="n">
        <f aca="false">SUMPRODUCT($AB133:$AF133,Validation!$D$9:$H$9)</f>
        <v>1.73383333333305</v>
      </c>
      <c r="AK133" s="18" t="n">
        <f aca="false">SUMPRODUCT($AB133:$AF133,Validation!$D$10:$H$10)</f>
        <v>1.56116666666695</v>
      </c>
      <c r="AL133" s="18" t="n">
        <f aca="false">SUMPRODUCT($AB133:$AF133,Validation!$D$11:$H$11)</f>
        <v>1.5596875</v>
      </c>
      <c r="AM133" s="18" t="n">
        <f aca="false">SUMPRODUCT($AB133:$AF133,Validation!$D$12:$H$12)</f>
        <v>1.7353125</v>
      </c>
      <c r="AN133" s="18" t="n">
        <f aca="false">SUMPRODUCT($AB133:$AF133,Validation!$D$13:$H$13)</f>
        <v>1.4749999999998</v>
      </c>
      <c r="AO133" s="18" t="n">
        <f aca="false">SUMPRODUCT($AB133:$AF133,Validation!$D$14:$H$14)</f>
        <v>1.8200000000002</v>
      </c>
      <c r="AP133" s="18" t="n">
        <f aca="false">SUMPRODUCT($AB133:$AF133,Validation!$D$15:$H$15)</f>
        <v>1.6589705882349</v>
      </c>
      <c r="AQ133" s="18" t="n">
        <f aca="false">SUMPRODUCT($AB133:$AF133,Validation!$D$16:$H$16)</f>
        <v>1.6360294117651</v>
      </c>
      <c r="AR133" s="8" t="n">
        <f aca="false">COUNTIF($C133:$V133,"&gt;=4")</f>
        <v>2</v>
      </c>
      <c r="AS133" s="8" t="str">
        <f aca="false">IF($X133&lt;=1.6,"Low",IF($X133&lt;=2.2,"Medium","High"))</f>
        <v>Medium</v>
      </c>
      <c r="AT133" s="8" t="str">
        <f aca="false">IF($AR133=0,"Low",IF($AR133&lt;3,"Medium","High"))</f>
        <v>Medium</v>
      </c>
      <c r="AU133" s="8" t="str">
        <f aca="false">IF(OR($AS133="High",$AT133="High"),"High",IF(OR($AS133="Medium",$AT133="Medium"),"Medium","Low"))</f>
        <v>Medium</v>
      </c>
      <c r="AV133" s="15" t="str">
        <f aca="false">IF($Z133="Yes","High",$AU133)</f>
        <v>Medium</v>
      </c>
    </row>
    <row r="134" customFormat="false" ht="15" hidden="false" customHeight="false" outlineLevel="0" collapsed="false">
      <c r="A134" s="7" t="str">
        <f aca="false">Customers!$A134</f>
        <v>NG-10136</v>
      </c>
      <c r="B134" s="7" t="str">
        <f aca="false">Customers!$B134</f>
        <v>Personal</v>
      </c>
      <c r="C134" s="8" t="n">
        <f aca="false">INDEX(Mapping!$C$2:$C$99,MATCH(C$1&amp;"|"&amp;Customers!C134,Mapping!$D$2:$D$99,0))</f>
        <v>2</v>
      </c>
      <c r="D134" s="8" t="n">
        <f aca="false">INDEX(Mapping!$C$2:$C$99,MATCH(D$1&amp;"|"&amp;Customers!D134,Mapping!$D$2:$D$99,0))</f>
        <v>1</v>
      </c>
      <c r="E134" s="8" t="n">
        <f aca="false">INDEX(Mapping!$C$2:$C$99,MATCH(E$1&amp;"|"&amp;Customers!E134,Mapping!$D$2:$D$99,0))</f>
        <v>1</v>
      </c>
      <c r="F134" s="8" t="n">
        <f aca="false">INDEX(Mapping!$C$2:$C$99,MATCH(F$1&amp;"|"&amp;Customers!F134,Mapping!$D$2:$D$99,0))</f>
        <v>1</v>
      </c>
      <c r="G134" s="8" t="n">
        <f aca="false">INDEX(Mapping!$C$2:$C$99,MATCH(G$1&amp;"|"&amp;Customers!G134,Mapping!$D$2:$D$99,0))</f>
        <v>1</v>
      </c>
      <c r="H134" s="8" t="n">
        <f aca="false">INDEX(Mapping!$C$2:$C$99,MATCH(H$1&amp;"|"&amp;Customers!H134,Mapping!$D$2:$D$99,0))</f>
        <v>1</v>
      </c>
      <c r="I134" s="8" t="n">
        <f aca="false">INDEX(Mapping!$C$2:$C$99,MATCH(I$1&amp;"|"&amp;Customers!I134,Mapping!$D$2:$D$99,0))</f>
        <v>4</v>
      </c>
      <c r="J134" s="8" t="n">
        <f aca="false">INDEX(Mapping!$C$2:$C$99,MATCH(J$1&amp;"|"&amp;Customers!J134,Mapping!$D$2:$D$99,0))</f>
        <v>1</v>
      </c>
      <c r="K134" s="8" t="n">
        <f aca="false">INDEX(Mapping!$C$2:$C$99,MATCH(K$1&amp;"|"&amp;Customers!K134,Mapping!$D$2:$D$99,0))</f>
        <v>1</v>
      </c>
      <c r="L134" s="8" t="n">
        <f aca="false">INDEX(Mapping!$C$2:$C$99,MATCH(L$1&amp;"|"&amp;Customers!L134,Mapping!$D$2:$D$99,0))</f>
        <v>2</v>
      </c>
      <c r="M134" s="8" t="n">
        <f aca="false">INDEX(Mapping!$C$2:$C$99,MATCH(M$1&amp;"|"&amp;Customers!M134,Mapping!$D$2:$D$99,0))</f>
        <v>3</v>
      </c>
      <c r="N134" s="8" t="n">
        <f aca="false">INDEX(Mapping!$C$2:$C$99,MATCH(N$1&amp;"|"&amp;Customers!N134,Mapping!$D$2:$D$99,0))</f>
        <v>1</v>
      </c>
      <c r="O134" s="8" t="n">
        <f aca="false">INDEX(Mapping!$C$2:$C$99,MATCH(O$1&amp;"|"&amp;Customers!O134,Mapping!$D$2:$D$99,0))</f>
        <v>3</v>
      </c>
      <c r="P134" s="8" t="n">
        <f aca="false">INDEX(Mapping!$C$2:$C$99,MATCH(P$1&amp;"|"&amp;Customers!P134,Mapping!$D$2:$D$99,0))</f>
        <v>4</v>
      </c>
      <c r="Q134" s="8" t="n">
        <f aca="false">INDEX(Mapping!$C$2:$C$99,MATCH(Q$1&amp;"|"&amp;Customers!Q134,Mapping!$D$2:$D$99,0))</f>
        <v>2</v>
      </c>
      <c r="R134" s="8" t="n">
        <f aca="false">INDEX(Mapping!$C$2:$C$99,MATCH(R$1&amp;"|"&amp;Customers!R134,Mapping!$D$2:$D$99,0))</f>
        <v>2</v>
      </c>
      <c r="S134" s="8" t="n">
        <f aca="false">INDEX(Mapping!$C$2:$C$99,MATCH(S$1&amp;"|"&amp;Customers!S134,Mapping!$D$2:$D$99,0))</f>
        <v>1</v>
      </c>
      <c r="T134" s="8" t="n">
        <f aca="false">INDEX(Mapping!$C$2:$C$99,MATCH(T$1&amp;"|"&amp;Customers!T134,Mapping!$D$2:$D$99,0))</f>
        <v>1</v>
      </c>
      <c r="U134" s="8" t="n">
        <f aca="false">INDEX(Mapping!$C$2:$C$99,MATCH(U$1&amp;"|"&amp;Customers!U134,Mapping!$D$2:$D$99,0))</f>
        <v>1</v>
      </c>
      <c r="V134" s="8" t="n">
        <f aca="false">INDEX(Mapping!$C$2:$C$99,MATCH(V$1&amp;"|"&amp;Customers!V134,Mapping!$D$2:$D$99,0))</f>
        <v>2</v>
      </c>
      <c r="W134" s="17" t="n">
        <f aca="false">SUMPRODUCT($C134:$V134,Weights!$C$27:$V$27)</f>
        <v>1.6275</v>
      </c>
      <c r="X134" s="18" t="n">
        <f aca="false">ROUND($W134,2)</f>
        <v>1.63</v>
      </c>
      <c r="Y134" s="8" t="str">
        <f aca="false">IF($X134&lt;=2,"Low",IF($X134&lt;=3.49,"Medium","High"))</f>
        <v>Low</v>
      </c>
      <c r="Z134" s="8" t="str">
        <f aca="false">IF(OR($F134&gt;=3,$E134=5,$D134=5,$C134=5,$G134=5,$H134=5,$I134=5,$J134=5,Customers!$W134="Yes"),"Yes","No")</f>
        <v>No</v>
      </c>
      <c r="AA134" s="15" t="str">
        <f aca="false">IF($Z134="Yes","High",$Y134)</f>
        <v>Low</v>
      </c>
      <c r="AB134" s="18" t="n">
        <f aca="false">SUMPRODUCT($C134:$G134,Weights!$C$28:$G$28)</f>
        <v>1.2</v>
      </c>
      <c r="AC134" s="18" t="n">
        <f aca="false">SUMPRODUCT($H134:$J134,Weights!$H$28:$J$28)</f>
        <v>1.6</v>
      </c>
      <c r="AD134" s="18" t="n">
        <f aca="false">SUMPRODUCT($K134:$N134,Weights!$K$28:$N$28)</f>
        <v>1.75</v>
      </c>
      <c r="AE134" s="18" t="n">
        <f aca="false">SUMPRODUCT($O134:$Q134,Weights!$O$28:$Q$28)</f>
        <v>3.15</v>
      </c>
      <c r="AF134" s="18" t="n">
        <f aca="false">SUMPRODUCT($R134:$V134,Weights!$R$28:$V$28)</f>
        <v>1.35</v>
      </c>
      <c r="AH134" s="18" t="n">
        <f aca="false">SUMPRODUCT($AB134:$AF134,Validation!$D$7:$H$7)</f>
        <v>1.6885714285717</v>
      </c>
      <c r="AI134" s="18" t="n">
        <f aca="false">SUMPRODUCT($AB134:$AF134,Validation!$D$8:$H$8)</f>
        <v>1.5664285714283</v>
      </c>
      <c r="AJ134" s="18" t="n">
        <f aca="false">SUMPRODUCT($AB134:$AF134,Validation!$D$9:$H$9)</f>
        <v>1.6311666666662</v>
      </c>
      <c r="AK134" s="18" t="n">
        <f aca="false">SUMPRODUCT($AB134:$AF134,Validation!$D$10:$H$10)</f>
        <v>1.6238333333338</v>
      </c>
      <c r="AL134" s="18" t="n">
        <f aca="false">SUMPRODUCT($AB134:$AF134,Validation!$D$11:$H$11)</f>
        <v>1.6121875</v>
      </c>
      <c r="AM134" s="18" t="n">
        <f aca="false">SUMPRODUCT($AB134:$AF134,Validation!$D$12:$H$12)</f>
        <v>1.6428125</v>
      </c>
      <c r="AN134" s="18" t="n">
        <f aca="false">SUMPRODUCT($AB134:$AF134,Validation!$D$13:$H$13)</f>
        <v>1.45833333333335</v>
      </c>
      <c r="AO134" s="18" t="n">
        <f aca="false">SUMPRODUCT($AB134:$AF134,Validation!$D$14:$H$14)</f>
        <v>1.79666666666665</v>
      </c>
      <c r="AP134" s="18" t="n">
        <f aca="false">SUMPRODUCT($AB134:$AF134,Validation!$D$15:$H$15)</f>
        <v>1.66014705882305</v>
      </c>
      <c r="AQ134" s="18" t="n">
        <f aca="false">SUMPRODUCT($AB134:$AF134,Validation!$D$16:$H$16)</f>
        <v>1.59485294117695</v>
      </c>
      <c r="AR134" s="8" t="n">
        <f aca="false">COUNTIF($C134:$V134,"&gt;=4")</f>
        <v>2</v>
      </c>
      <c r="AS134" s="8" t="str">
        <f aca="false">IF($X134&lt;=1.6,"Low",IF($X134&lt;=2.2,"Medium","High"))</f>
        <v>Medium</v>
      </c>
      <c r="AT134" s="8" t="str">
        <f aca="false">IF($AR134=0,"Low",IF($AR134&lt;3,"Medium","High"))</f>
        <v>Medium</v>
      </c>
      <c r="AU134" s="8" t="str">
        <f aca="false">IF(OR($AS134="High",$AT134="High"),"High",IF(OR($AS134="Medium",$AT134="Medium"),"Medium","Low"))</f>
        <v>Medium</v>
      </c>
      <c r="AV134" s="15" t="str">
        <f aca="false">IF($Z134="Yes","High",$AU134)</f>
        <v>Medium</v>
      </c>
    </row>
    <row r="135" customFormat="false" ht="15" hidden="false" customHeight="false" outlineLevel="0" collapsed="false">
      <c r="A135" s="7" t="str">
        <f aca="false">Customers!$A135</f>
        <v>NG-10017</v>
      </c>
      <c r="B135" s="7" t="str">
        <f aca="false">Customers!$B135</f>
        <v>Personal</v>
      </c>
      <c r="C135" s="8" t="n">
        <f aca="false">INDEX(Mapping!$C$2:$C$99,MATCH(C$1&amp;"|"&amp;Customers!C135,Mapping!$D$2:$D$99,0))</f>
        <v>1</v>
      </c>
      <c r="D135" s="8" t="n">
        <f aca="false">INDEX(Mapping!$C$2:$C$99,MATCH(D$1&amp;"|"&amp;Customers!D135,Mapping!$D$2:$D$99,0))</f>
        <v>1</v>
      </c>
      <c r="E135" s="8" t="n">
        <f aca="false">INDEX(Mapping!$C$2:$C$99,MATCH(E$1&amp;"|"&amp;Customers!E135,Mapping!$D$2:$D$99,0))</f>
        <v>1</v>
      </c>
      <c r="F135" s="8" t="n">
        <f aca="false">INDEX(Mapping!$C$2:$C$99,MATCH(F$1&amp;"|"&amp;Customers!F135,Mapping!$D$2:$D$99,0))</f>
        <v>1</v>
      </c>
      <c r="G135" s="8" t="n">
        <f aca="false">INDEX(Mapping!$C$2:$C$99,MATCH(G$1&amp;"|"&amp;Customers!G135,Mapping!$D$2:$D$99,0))</f>
        <v>1</v>
      </c>
      <c r="H135" s="8" t="n">
        <f aca="false">INDEX(Mapping!$C$2:$C$99,MATCH(H$1&amp;"|"&amp;Customers!H135,Mapping!$D$2:$D$99,0))</f>
        <v>1</v>
      </c>
      <c r="I135" s="8" t="n">
        <f aca="false">INDEX(Mapping!$C$2:$C$99,MATCH(I$1&amp;"|"&amp;Customers!I135,Mapping!$D$2:$D$99,0))</f>
        <v>1</v>
      </c>
      <c r="J135" s="8" t="n">
        <f aca="false">INDEX(Mapping!$C$2:$C$99,MATCH(J$1&amp;"|"&amp;Customers!J135,Mapping!$D$2:$D$99,0))</f>
        <v>1</v>
      </c>
      <c r="K135" s="8" t="n">
        <f aca="false">INDEX(Mapping!$C$2:$C$99,MATCH(K$1&amp;"|"&amp;Customers!K135,Mapping!$D$2:$D$99,0))</f>
        <v>1</v>
      </c>
      <c r="L135" s="8" t="n">
        <f aca="false">INDEX(Mapping!$C$2:$C$99,MATCH(L$1&amp;"|"&amp;Customers!L135,Mapping!$D$2:$D$99,0))</f>
        <v>2</v>
      </c>
      <c r="M135" s="8" t="n">
        <f aca="false">INDEX(Mapping!$C$2:$C$99,MATCH(M$1&amp;"|"&amp;Customers!M135,Mapping!$D$2:$D$99,0))</f>
        <v>3</v>
      </c>
      <c r="N135" s="8" t="n">
        <f aca="false">INDEX(Mapping!$C$2:$C$99,MATCH(N$1&amp;"|"&amp;Customers!N135,Mapping!$D$2:$D$99,0))</f>
        <v>1</v>
      </c>
      <c r="O135" s="8" t="n">
        <f aca="false">INDEX(Mapping!$C$2:$C$99,MATCH(O$1&amp;"|"&amp;Customers!O135,Mapping!$D$2:$D$99,0))</f>
        <v>3</v>
      </c>
      <c r="P135" s="8" t="n">
        <f aca="false">INDEX(Mapping!$C$2:$C$99,MATCH(P$1&amp;"|"&amp;Customers!P135,Mapping!$D$2:$D$99,0))</f>
        <v>3</v>
      </c>
      <c r="Q135" s="8" t="n">
        <f aca="false">INDEX(Mapping!$C$2:$C$99,MATCH(Q$1&amp;"|"&amp;Customers!Q135,Mapping!$D$2:$D$99,0))</f>
        <v>1</v>
      </c>
      <c r="R135" s="8" t="n">
        <f aca="false">INDEX(Mapping!$C$2:$C$99,MATCH(R$1&amp;"|"&amp;Customers!R135,Mapping!$D$2:$D$99,0))</f>
        <v>2</v>
      </c>
      <c r="S135" s="8" t="n">
        <f aca="false">INDEX(Mapping!$C$2:$C$99,MATCH(S$1&amp;"|"&amp;Customers!S135,Mapping!$D$2:$D$99,0))</f>
        <v>1</v>
      </c>
      <c r="T135" s="8" t="n">
        <f aca="false">INDEX(Mapping!$C$2:$C$99,MATCH(T$1&amp;"|"&amp;Customers!T135,Mapping!$D$2:$D$99,0))</f>
        <v>1</v>
      </c>
      <c r="U135" s="8" t="n">
        <f aca="false">INDEX(Mapping!$C$2:$C$99,MATCH(U$1&amp;"|"&amp;Customers!U135,Mapping!$D$2:$D$99,0))</f>
        <v>1</v>
      </c>
      <c r="V135" s="8" t="n">
        <f aca="false">INDEX(Mapping!$C$2:$C$99,MATCH(V$1&amp;"|"&amp;Customers!V135,Mapping!$D$2:$D$99,0))</f>
        <v>1</v>
      </c>
      <c r="W135" s="17" t="n">
        <f aca="false">SUMPRODUCT($C135:$V135,Weights!$C$27:$V$27)</f>
        <v>1.3475</v>
      </c>
      <c r="X135" s="18" t="n">
        <f aca="false">ROUND($W135,2)</f>
        <v>1.35</v>
      </c>
      <c r="Y135" s="8" t="str">
        <f aca="false">IF($X135&lt;=2,"Low",IF($X135&lt;=3.49,"Medium","High"))</f>
        <v>Low</v>
      </c>
      <c r="Z135" s="8" t="str">
        <f aca="false">IF(OR($F135&gt;=3,$E135=5,$D135=5,$C135=5,$G135=5,$H135=5,$I135=5,$J135=5,Customers!$W135="Yes"),"Yes","No")</f>
        <v>Yes</v>
      </c>
      <c r="AA135" s="15" t="str">
        <f aca="false">IF($Z135="Yes","High",$Y135)</f>
        <v>High</v>
      </c>
      <c r="AB135" s="18" t="n">
        <f aca="false">SUMPRODUCT($C135:$G135,Weights!$C$28:$G$28)</f>
        <v>1</v>
      </c>
      <c r="AC135" s="18" t="n">
        <f aca="false">SUMPRODUCT($H135:$J135,Weights!$H$28:$J$28)</f>
        <v>1</v>
      </c>
      <c r="AD135" s="18" t="n">
        <f aca="false">SUMPRODUCT($K135:$N135,Weights!$K$28:$N$28)</f>
        <v>1.75</v>
      </c>
      <c r="AE135" s="18" t="n">
        <f aca="false">SUMPRODUCT($O135:$Q135,Weights!$O$28:$Q$28)</f>
        <v>2.6</v>
      </c>
      <c r="AF135" s="18" t="n">
        <f aca="false">SUMPRODUCT($R135:$V135,Weights!$R$28:$V$28)</f>
        <v>1.25</v>
      </c>
      <c r="AH135" s="18" t="n">
        <f aca="false">SUMPRODUCT($AB135:$AF135,Validation!$D$7:$H$7)</f>
        <v>1.3971428571431</v>
      </c>
      <c r="AI135" s="18" t="n">
        <f aca="false">SUMPRODUCT($AB135:$AF135,Validation!$D$8:$H$8)</f>
        <v>1.2978571428569</v>
      </c>
      <c r="AJ135" s="18" t="n">
        <f aca="false">SUMPRODUCT($AB135:$AF135,Validation!$D$9:$H$9)</f>
        <v>1.39383333333305</v>
      </c>
      <c r="AK135" s="18" t="n">
        <f aca="false">SUMPRODUCT($AB135:$AF135,Validation!$D$10:$H$10)</f>
        <v>1.30116666666695</v>
      </c>
      <c r="AL135" s="18" t="n">
        <f aca="false">SUMPRODUCT($AB135:$AF135,Validation!$D$11:$H$11)</f>
        <v>1.2971875</v>
      </c>
      <c r="AM135" s="18" t="n">
        <f aca="false">SUMPRODUCT($AB135:$AF135,Validation!$D$12:$H$12)</f>
        <v>1.3978125</v>
      </c>
      <c r="AN135" s="18" t="n">
        <f aca="false">SUMPRODUCT($AB135:$AF135,Validation!$D$13:$H$13)</f>
        <v>1.20833333333325</v>
      </c>
      <c r="AO135" s="18" t="n">
        <f aca="false">SUMPRODUCT($AB135:$AF135,Validation!$D$14:$H$14)</f>
        <v>1.48666666666675</v>
      </c>
      <c r="AP135" s="18" t="n">
        <f aca="false">SUMPRODUCT($AB135:$AF135,Validation!$D$15:$H$15)</f>
        <v>1.35897058823495</v>
      </c>
      <c r="AQ135" s="18" t="n">
        <f aca="false">SUMPRODUCT($AB135:$AF135,Validation!$D$16:$H$16)</f>
        <v>1.33602941176505</v>
      </c>
      <c r="AR135" s="8" t="n">
        <f aca="false">COUNTIF($C135:$V135,"&gt;=4")</f>
        <v>0</v>
      </c>
      <c r="AS135" s="8" t="str">
        <f aca="false">IF($X135&lt;=1.6,"Low",IF($X135&lt;=2.2,"Medium","High"))</f>
        <v>Low</v>
      </c>
      <c r="AT135" s="8" t="str">
        <f aca="false">IF($AR135=0,"Low",IF($AR135&lt;3,"Medium","High"))</f>
        <v>Low</v>
      </c>
      <c r="AU135" s="8" t="str">
        <f aca="false">IF(OR($AS135="High",$AT135="High"),"High",IF(OR($AS135="Medium",$AT135="Medium"),"Medium","Low"))</f>
        <v>Low</v>
      </c>
      <c r="AV135" s="15" t="str">
        <f aca="false">IF($Z135="Yes","High",$AU135)</f>
        <v>High</v>
      </c>
    </row>
    <row r="136" customFormat="false" ht="15" hidden="false" customHeight="false" outlineLevel="0" collapsed="false">
      <c r="A136" s="7" t="str">
        <f aca="false">Customers!$A136</f>
        <v>NG-10110</v>
      </c>
      <c r="B136" s="7" t="str">
        <f aca="false">Customers!$B136</f>
        <v>Personal</v>
      </c>
      <c r="C136" s="8" t="n">
        <f aca="false">INDEX(Mapping!$C$2:$C$99,MATCH(C$1&amp;"|"&amp;Customers!C136,Mapping!$D$2:$D$99,0))</f>
        <v>1</v>
      </c>
      <c r="D136" s="8" t="n">
        <f aca="false">INDEX(Mapping!$C$2:$C$99,MATCH(D$1&amp;"|"&amp;Customers!D136,Mapping!$D$2:$D$99,0))</f>
        <v>1</v>
      </c>
      <c r="E136" s="8" t="n">
        <f aca="false">INDEX(Mapping!$C$2:$C$99,MATCH(E$1&amp;"|"&amp;Customers!E136,Mapping!$D$2:$D$99,0))</f>
        <v>1</v>
      </c>
      <c r="F136" s="8" t="n">
        <f aca="false">INDEX(Mapping!$C$2:$C$99,MATCH(F$1&amp;"|"&amp;Customers!F136,Mapping!$D$2:$D$99,0))</f>
        <v>1</v>
      </c>
      <c r="G136" s="8" t="n">
        <f aca="false">INDEX(Mapping!$C$2:$C$99,MATCH(G$1&amp;"|"&amp;Customers!G136,Mapping!$D$2:$D$99,0))</f>
        <v>1</v>
      </c>
      <c r="H136" s="8" t="n">
        <f aca="false">INDEX(Mapping!$C$2:$C$99,MATCH(H$1&amp;"|"&amp;Customers!H136,Mapping!$D$2:$D$99,0))</f>
        <v>1</v>
      </c>
      <c r="I136" s="8" t="n">
        <f aca="false">INDEX(Mapping!$C$2:$C$99,MATCH(I$1&amp;"|"&amp;Customers!I136,Mapping!$D$2:$D$99,0))</f>
        <v>1</v>
      </c>
      <c r="J136" s="8" t="n">
        <f aca="false">INDEX(Mapping!$C$2:$C$99,MATCH(J$1&amp;"|"&amp;Customers!J136,Mapping!$D$2:$D$99,0))</f>
        <v>1</v>
      </c>
      <c r="K136" s="8" t="n">
        <f aca="false">INDEX(Mapping!$C$2:$C$99,MATCH(K$1&amp;"|"&amp;Customers!K136,Mapping!$D$2:$D$99,0))</f>
        <v>3</v>
      </c>
      <c r="L136" s="8" t="n">
        <f aca="false">INDEX(Mapping!$C$2:$C$99,MATCH(L$1&amp;"|"&amp;Customers!L136,Mapping!$D$2:$D$99,0))</f>
        <v>3</v>
      </c>
      <c r="M136" s="8" t="n">
        <f aca="false">INDEX(Mapping!$C$2:$C$99,MATCH(M$1&amp;"|"&amp;Customers!M136,Mapping!$D$2:$D$99,0))</f>
        <v>4</v>
      </c>
      <c r="N136" s="8" t="n">
        <f aca="false">INDEX(Mapping!$C$2:$C$99,MATCH(N$1&amp;"|"&amp;Customers!N136,Mapping!$D$2:$D$99,0))</f>
        <v>2</v>
      </c>
      <c r="O136" s="8" t="n">
        <f aca="false">INDEX(Mapping!$C$2:$C$99,MATCH(O$1&amp;"|"&amp;Customers!O136,Mapping!$D$2:$D$99,0))</f>
        <v>3</v>
      </c>
      <c r="P136" s="8" t="n">
        <f aca="false">INDEX(Mapping!$C$2:$C$99,MATCH(P$1&amp;"|"&amp;Customers!P136,Mapping!$D$2:$D$99,0))</f>
        <v>3</v>
      </c>
      <c r="Q136" s="8" t="n">
        <f aca="false">INDEX(Mapping!$C$2:$C$99,MATCH(Q$1&amp;"|"&amp;Customers!Q136,Mapping!$D$2:$D$99,0))</f>
        <v>1</v>
      </c>
      <c r="R136" s="8" t="n">
        <f aca="false">INDEX(Mapping!$C$2:$C$99,MATCH(R$1&amp;"|"&amp;Customers!R136,Mapping!$D$2:$D$99,0))</f>
        <v>1</v>
      </c>
      <c r="S136" s="8" t="n">
        <f aca="false">INDEX(Mapping!$C$2:$C$99,MATCH(S$1&amp;"|"&amp;Customers!S136,Mapping!$D$2:$D$99,0))</f>
        <v>2</v>
      </c>
      <c r="T136" s="8" t="n">
        <f aca="false">INDEX(Mapping!$C$2:$C$99,MATCH(T$1&amp;"|"&amp;Customers!T136,Mapping!$D$2:$D$99,0))</f>
        <v>3</v>
      </c>
      <c r="U136" s="8" t="n">
        <f aca="false">INDEX(Mapping!$C$2:$C$99,MATCH(U$1&amp;"|"&amp;Customers!U136,Mapping!$D$2:$D$99,0))</f>
        <v>1</v>
      </c>
      <c r="V136" s="8" t="n">
        <f aca="false">INDEX(Mapping!$C$2:$C$99,MATCH(V$1&amp;"|"&amp;Customers!V136,Mapping!$D$2:$D$99,0))</f>
        <v>1</v>
      </c>
      <c r="W136" s="17" t="n">
        <f aca="false">SUMPRODUCT($C136:$V136,Weights!$C$27:$V$27)</f>
        <v>1.685</v>
      </c>
      <c r="X136" s="18" t="n">
        <f aca="false">ROUND($W136,2)</f>
        <v>1.69</v>
      </c>
      <c r="Y136" s="8" t="str">
        <f aca="false">IF($X136&lt;=2,"Low",IF($X136&lt;=3.49,"Medium","High"))</f>
        <v>Low</v>
      </c>
      <c r="Z136" s="8" t="str">
        <f aca="false">IF(OR($F136&gt;=3,$E136=5,$D136=5,$C136=5,$G136=5,$H136=5,$I136=5,$J136=5,Customers!$W136="Yes"),"Yes","No")</f>
        <v>No</v>
      </c>
      <c r="AA136" s="15" t="str">
        <f aca="false">IF($Z136="Yes","High",$Y136)</f>
        <v>Low</v>
      </c>
      <c r="AB136" s="18" t="n">
        <f aca="false">SUMPRODUCT($C136:$G136,Weights!$C$28:$G$28)</f>
        <v>1</v>
      </c>
      <c r="AC136" s="18" t="n">
        <f aca="false">SUMPRODUCT($H136:$J136,Weights!$H$28:$J$28)</f>
        <v>1</v>
      </c>
      <c r="AD136" s="18" t="n">
        <f aca="false">SUMPRODUCT($K136:$N136,Weights!$K$28:$N$28)</f>
        <v>3.1</v>
      </c>
      <c r="AE136" s="18" t="n">
        <f aca="false">SUMPRODUCT($O136:$Q136,Weights!$O$28:$Q$28)</f>
        <v>2.6</v>
      </c>
      <c r="AF136" s="18" t="n">
        <f aca="false">SUMPRODUCT($R136:$V136,Weights!$R$28:$V$28)</f>
        <v>1.7</v>
      </c>
      <c r="AH136" s="18" t="n">
        <f aca="false">SUMPRODUCT($AB136:$AF136,Validation!$D$7:$H$7)</f>
        <v>1.782857142857</v>
      </c>
      <c r="AI136" s="18" t="n">
        <f aca="false">SUMPRODUCT($AB136:$AF136,Validation!$D$8:$H$8)</f>
        <v>1.587142857143</v>
      </c>
      <c r="AJ136" s="18" t="n">
        <f aca="false">SUMPRODUCT($AB136:$AF136,Validation!$D$9:$H$9)</f>
        <v>1.7763333333335</v>
      </c>
      <c r="AK136" s="18" t="n">
        <f aca="false">SUMPRODUCT($AB136:$AF136,Validation!$D$10:$H$10)</f>
        <v>1.5936666666665</v>
      </c>
      <c r="AL136" s="18" t="n">
        <f aca="false">SUMPRODUCT($AB136:$AF136,Validation!$D$11:$H$11)</f>
        <v>1.508125</v>
      </c>
      <c r="AM136" s="18" t="n">
        <f aca="false">SUMPRODUCT($AB136:$AF136,Validation!$D$12:$H$12)</f>
        <v>1.861875</v>
      </c>
      <c r="AN136" s="18" t="n">
        <f aca="false">SUMPRODUCT($AB136:$AF136,Validation!$D$13:$H$13)</f>
        <v>1.5833333333331</v>
      </c>
      <c r="AO136" s="18" t="n">
        <f aca="false">SUMPRODUCT($AB136:$AF136,Validation!$D$14:$H$14)</f>
        <v>1.7866666666669</v>
      </c>
      <c r="AP136" s="18" t="n">
        <f aca="false">SUMPRODUCT($AB136:$AF136,Validation!$D$15:$H$15)</f>
        <v>1.6832352941177</v>
      </c>
      <c r="AQ136" s="18" t="n">
        <f aca="false">SUMPRODUCT($AB136:$AF136,Validation!$D$16:$H$16)</f>
        <v>1.6867647058823</v>
      </c>
      <c r="AR136" s="8" t="n">
        <f aca="false">COUNTIF($C136:$V136,"&gt;=4")</f>
        <v>1</v>
      </c>
      <c r="AS136" s="8" t="str">
        <f aca="false">IF($X136&lt;=1.6,"Low",IF($X136&lt;=2.2,"Medium","High"))</f>
        <v>Medium</v>
      </c>
      <c r="AT136" s="8" t="str">
        <f aca="false">IF($AR136=0,"Low",IF($AR136&lt;3,"Medium","High"))</f>
        <v>Medium</v>
      </c>
      <c r="AU136" s="8" t="str">
        <f aca="false">IF(OR($AS136="High",$AT136="High"),"High",IF(OR($AS136="Medium",$AT136="Medium"),"Medium","Low"))</f>
        <v>Medium</v>
      </c>
      <c r="AV136" s="15" t="str">
        <f aca="false">IF($Z136="Yes","High",$AU136)</f>
        <v>Medium</v>
      </c>
    </row>
    <row r="137" customFormat="false" ht="15" hidden="false" customHeight="false" outlineLevel="0" collapsed="false">
      <c r="A137" s="7" t="str">
        <f aca="false">Customers!$A137</f>
        <v>NG-10267</v>
      </c>
      <c r="B137" s="7" t="str">
        <f aca="false">Customers!$B137</f>
        <v>Personal</v>
      </c>
      <c r="C137" s="8" t="n">
        <f aca="false">INDEX(Mapping!$C$2:$C$99,MATCH(C$1&amp;"|"&amp;Customers!C137,Mapping!$D$2:$D$99,0))</f>
        <v>1</v>
      </c>
      <c r="D137" s="8" t="n">
        <f aca="false">INDEX(Mapping!$C$2:$C$99,MATCH(D$1&amp;"|"&amp;Customers!D137,Mapping!$D$2:$D$99,0))</f>
        <v>1</v>
      </c>
      <c r="E137" s="8" t="n">
        <f aca="false">INDEX(Mapping!$C$2:$C$99,MATCH(E$1&amp;"|"&amp;Customers!E137,Mapping!$D$2:$D$99,0))</f>
        <v>1</v>
      </c>
      <c r="F137" s="8" t="n">
        <f aca="false">INDEX(Mapping!$C$2:$C$99,MATCH(F$1&amp;"|"&amp;Customers!F137,Mapping!$D$2:$D$99,0))</f>
        <v>1</v>
      </c>
      <c r="G137" s="8" t="n">
        <f aca="false">INDEX(Mapping!$C$2:$C$99,MATCH(G$1&amp;"|"&amp;Customers!G137,Mapping!$D$2:$D$99,0))</f>
        <v>1</v>
      </c>
      <c r="H137" s="8" t="n">
        <f aca="false">INDEX(Mapping!$C$2:$C$99,MATCH(H$1&amp;"|"&amp;Customers!H137,Mapping!$D$2:$D$99,0))</f>
        <v>1</v>
      </c>
      <c r="I137" s="8" t="n">
        <f aca="false">INDEX(Mapping!$C$2:$C$99,MATCH(I$1&amp;"|"&amp;Customers!I137,Mapping!$D$2:$D$99,0))</f>
        <v>2</v>
      </c>
      <c r="J137" s="8" t="n">
        <f aca="false">INDEX(Mapping!$C$2:$C$99,MATCH(J$1&amp;"|"&amp;Customers!J137,Mapping!$D$2:$D$99,0))</f>
        <v>1</v>
      </c>
      <c r="K137" s="8" t="n">
        <f aca="false">INDEX(Mapping!$C$2:$C$99,MATCH(K$1&amp;"|"&amp;Customers!K137,Mapping!$D$2:$D$99,0))</f>
        <v>3</v>
      </c>
      <c r="L137" s="8" t="n">
        <f aca="false">INDEX(Mapping!$C$2:$C$99,MATCH(L$1&amp;"|"&amp;Customers!L137,Mapping!$D$2:$D$99,0))</f>
        <v>2</v>
      </c>
      <c r="M137" s="8" t="n">
        <f aca="false">INDEX(Mapping!$C$2:$C$99,MATCH(M$1&amp;"|"&amp;Customers!M137,Mapping!$D$2:$D$99,0))</f>
        <v>1</v>
      </c>
      <c r="N137" s="8" t="n">
        <f aca="false">INDEX(Mapping!$C$2:$C$99,MATCH(N$1&amp;"|"&amp;Customers!N137,Mapping!$D$2:$D$99,0))</f>
        <v>3</v>
      </c>
      <c r="O137" s="8" t="n">
        <f aca="false">INDEX(Mapping!$C$2:$C$99,MATCH(O$1&amp;"|"&amp;Customers!O137,Mapping!$D$2:$D$99,0))</f>
        <v>3</v>
      </c>
      <c r="P137" s="8" t="n">
        <f aca="false">INDEX(Mapping!$C$2:$C$99,MATCH(P$1&amp;"|"&amp;Customers!P137,Mapping!$D$2:$D$99,0))</f>
        <v>1</v>
      </c>
      <c r="Q137" s="8" t="n">
        <f aca="false">INDEX(Mapping!$C$2:$C$99,MATCH(Q$1&amp;"|"&amp;Customers!Q137,Mapping!$D$2:$D$99,0))</f>
        <v>1</v>
      </c>
      <c r="R137" s="8" t="n">
        <f aca="false">INDEX(Mapping!$C$2:$C$99,MATCH(R$1&amp;"|"&amp;Customers!R137,Mapping!$D$2:$D$99,0))</f>
        <v>2</v>
      </c>
      <c r="S137" s="8" t="n">
        <f aca="false">INDEX(Mapping!$C$2:$C$99,MATCH(S$1&amp;"|"&amp;Customers!S137,Mapping!$D$2:$D$99,0))</f>
        <v>1</v>
      </c>
      <c r="T137" s="8" t="n">
        <f aca="false">INDEX(Mapping!$C$2:$C$99,MATCH(T$1&amp;"|"&amp;Customers!T137,Mapping!$D$2:$D$99,0))</f>
        <v>1</v>
      </c>
      <c r="U137" s="8" t="n">
        <f aca="false">INDEX(Mapping!$C$2:$C$99,MATCH(U$1&amp;"|"&amp;Customers!U137,Mapping!$D$2:$D$99,0))</f>
        <v>1</v>
      </c>
      <c r="V137" s="8" t="n">
        <f aca="false">INDEX(Mapping!$C$2:$C$99,MATCH(V$1&amp;"|"&amp;Customers!V137,Mapping!$D$2:$D$99,0))</f>
        <v>1</v>
      </c>
      <c r="W137" s="17" t="n">
        <f aca="false">SUMPRODUCT($C137:$V137,Weights!$C$27:$V$27)</f>
        <v>1.4275</v>
      </c>
      <c r="X137" s="18" t="n">
        <f aca="false">ROUND($W137,2)</f>
        <v>1.43</v>
      </c>
      <c r="Y137" s="8" t="str">
        <f aca="false">IF($X137&lt;=2,"Low",IF($X137&lt;=3.49,"Medium","High"))</f>
        <v>Low</v>
      </c>
      <c r="Z137" s="8" t="str">
        <f aca="false">IF(OR($F137&gt;=3,$E137=5,$D137=5,$C137=5,$G137=5,$H137=5,$I137=5,$J137=5,Customers!$W137="Yes"),"Yes","No")</f>
        <v>No</v>
      </c>
      <c r="AA137" s="15" t="str">
        <f aca="false">IF($Z137="Yes","High",$Y137)</f>
        <v>Low</v>
      </c>
      <c r="AB137" s="18" t="n">
        <f aca="false">SUMPRODUCT($C137:$G137,Weights!$C$28:$G$28)</f>
        <v>1</v>
      </c>
      <c r="AC137" s="18" t="n">
        <f aca="false">SUMPRODUCT($H137:$J137,Weights!$H$28:$J$28)</f>
        <v>1.2</v>
      </c>
      <c r="AD137" s="18" t="n">
        <f aca="false">SUMPRODUCT($K137:$N137,Weights!$K$28:$N$28)</f>
        <v>2.25</v>
      </c>
      <c r="AE137" s="18" t="n">
        <f aca="false">SUMPRODUCT($O137:$Q137,Weights!$O$28:$Q$28)</f>
        <v>1.9</v>
      </c>
      <c r="AF137" s="18" t="n">
        <f aca="false">SUMPRODUCT($R137:$V137,Weights!$R$28:$V$28)</f>
        <v>1.25</v>
      </c>
      <c r="AH137" s="18" t="n">
        <f aca="false">SUMPRODUCT($AB137:$AF137,Validation!$D$7:$H$7)</f>
        <v>1.4885714285712</v>
      </c>
      <c r="AI137" s="18" t="n">
        <f aca="false">SUMPRODUCT($AB137:$AF137,Validation!$D$8:$H$8)</f>
        <v>1.3664285714288</v>
      </c>
      <c r="AJ137" s="18" t="n">
        <f aca="false">SUMPRODUCT($AB137:$AF137,Validation!$D$9:$H$9)</f>
        <v>1.45783333333345</v>
      </c>
      <c r="AK137" s="18" t="n">
        <f aca="false">SUMPRODUCT($AB137:$AF137,Validation!$D$10:$H$10)</f>
        <v>1.39716666666655</v>
      </c>
      <c r="AL137" s="18" t="n">
        <f aca="false">SUMPRODUCT($AB137:$AF137,Validation!$D$11:$H$11)</f>
        <v>1.3246875</v>
      </c>
      <c r="AM137" s="18" t="n">
        <f aca="false">SUMPRODUCT($AB137:$AF137,Validation!$D$12:$H$12)</f>
        <v>1.5303125</v>
      </c>
      <c r="AN137" s="18" t="n">
        <f aca="false">SUMPRODUCT($AB137:$AF137,Validation!$D$13:$H$13)</f>
        <v>1.37499999999985</v>
      </c>
      <c r="AO137" s="18" t="n">
        <f aca="false">SUMPRODUCT($AB137:$AF137,Validation!$D$14:$H$14)</f>
        <v>1.48000000000015</v>
      </c>
      <c r="AP137" s="18" t="n">
        <f aca="false">SUMPRODUCT($AB137:$AF137,Validation!$D$15:$H$15)</f>
        <v>1.44838235294125</v>
      </c>
      <c r="AQ137" s="18" t="n">
        <f aca="false">SUMPRODUCT($AB137:$AF137,Validation!$D$16:$H$16)</f>
        <v>1.40661764705875</v>
      </c>
      <c r="AR137" s="8" t="n">
        <f aca="false">COUNTIF($C137:$V137,"&gt;=4")</f>
        <v>0</v>
      </c>
      <c r="AS137" s="8" t="str">
        <f aca="false">IF($X137&lt;=1.6,"Low",IF($X137&lt;=2.2,"Medium","High"))</f>
        <v>Low</v>
      </c>
      <c r="AT137" s="8" t="str">
        <f aca="false">IF($AR137=0,"Low",IF($AR137&lt;3,"Medium","High"))</f>
        <v>Low</v>
      </c>
      <c r="AU137" s="8" t="str">
        <f aca="false">IF(OR($AS137="High",$AT137="High"),"High",IF(OR($AS137="Medium",$AT137="Medium"),"Medium","Low"))</f>
        <v>Low</v>
      </c>
      <c r="AV137" s="15" t="str">
        <f aca="false">IF($Z137="Yes","High",$AU137)</f>
        <v>Low</v>
      </c>
    </row>
    <row r="138" customFormat="false" ht="15" hidden="false" customHeight="false" outlineLevel="0" collapsed="false">
      <c r="A138" s="7" t="str">
        <f aca="false">Customers!$A138</f>
        <v>NG-10128</v>
      </c>
      <c r="B138" s="7" t="str">
        <f aca="false">Customers!$B138</f>
        <v>Personal</v>
      </c>
      <c r="C138" s="8" t="n">
        <f aca="false">INDEX(Mapping!$C$2:$C$99,MATCH(C$1&amp;"|"&amp;Customers!C138,Mapping!$D$2:$D$99,0))</f>
        <v>1</v>
      </c>
      <c r="D138" s="8" t="n">
        <f aca="false">INDEX(Mapping!$C$2:$C$99,MATCH(D$1&amp;"|"&amp;Customers!D138,Mapping!$D$2:$D$99,0))</f>
        <v>1</v>
      </c>
      <c r="E138" s="8" t="n">
        <f aca="false">INDEX(Mapping!$C$2:$C$99,MATCH(E$1&amp;"|"&amp;Customers!E138,Mapping!$D$2:$D$99,0))</f>
        <v>4</v>
      </c>
      <c r="F138" s="8" t="n">
        <f aca="false">INDEX(Mapping!$C$2:$C$99,MATCH(F$1&amp;"|"&amp;Customers!F138,Mapping!$D$2:$D$99,0))</f>
        <v>1</v>
      </c>
      <c r="G138" s="8" t="n">
        <f aca="false">INDEX(Mapping!$C$2:$C$99,MATCH(G$1&amp;"|"&amp;Customers!G138,Mapping!$D$2:$D$99,0))</f>
        <v>1</v>
      </c>
      <c r="H138" s="8" t="n">
        <f aca="false">INDEX(Mapping!$C$2:$C$99,MATCH(H$1&amp;"|"&amp;Customers!H138,Mapping!$D$2:$D$99,0))</f>
        <v>1</v>
      </c>
      <c r="I138" s="8" t="n">
        <f aca="false">INDEX(Mapping!$C$2:$C$99,MATCH(I$1&amp;"|"&amp;Customers!I138,Mapping!$D$2:$D$99,0))</f>
        <v>1</v>
      </c>
      <c r="J138" s="8" t="n">
        <f aca="false">INDEX(Mapping!$C$2:$C$99,MATCH(J$1&amp;"|"&amp;Customers!J138,Mapping!$D$2:$D$99,0))</f>
        <v>1</v>
      </c>
      <c r="K138" s="8" t="n">
        <f aca="false">INDEX(Mapping!$C$2:$C$99,MATCH(K$1&amp;"|"&amp;Customers!K138,Mapping!$D$2:$D$99,0))</f>
        <v>2</v>
      </c>
      <c r="L138" s="8" t="n">
        <f aca="false">INDEX(Mapping!$C$2:$C$99,MATCH(L$1&amp;"|"&amp;Customers!L138,Mapping!$D$2:$D$99,0))</f>
        <v>3</v>
      </c>
      <c r="M138" s="8" t="n">
        <f aca="false">INDEX(Mapping!$C$2:$C$99,MATCH(M$1&amp;"|"&amp;Customers!M138,Mapping!$D$2:$D$99,0))</f>
        <v>2</v>
      </c>
      <c r="N138" s="8" t="n">
        <f aca="false">INDEX(Mapping!$C$2:$C$99,MATCH(N$1&amp;"|"&amp;Customers!N138,Mapping!$D$2:$D$99,0))</f>
        <v>1</v>
      </c>
      <c r="O138" s="8" t="n">
        <f aca="false">INDEX(Mapping!$C$2:$C$99,MATCH(O$1&amp;"|"&amp;Customers!O138,Mapping!$D$2:$D$99,0))</f>
        <v>3</v>
      </c>
      <c r="P138" s="8" t="n">
        <f aca="false">INDEX(Mapping!$C$2:$C$99,MATCH(P$1&amp;"|"&amp;Customers!P138,Mapping!$D$2:$D$99,0))</f>
        <v>1</v>
      </c>
      <c r="Q138" s="8" t="n">
        <f aca="false">INDEX(Mapping!$C$2:$C$99,MATCH(Q$1&amp;"|"&amp;Customers!Q138,Mapping!$D$2:$D$99,0))</f>
        <v>2</v>
      </c>
      <c r="R138" s="8" t="n">
        <f aca="false">INDEX(Mapping!$C$2:$C$99,MATCH(R$1&amp;"|"&amp;Customers!R138,Mapping!$D$2:$D$99,0))</f>
        <v>1</v>
      </c>
      <c r="S138" s="8" t="n">
        <f aca="false">INDEX(Mapping!$C$2:$C$99,MATCH(S$1&amp;"|"&amp;Customers!S138,Mapping!$D$2:$D$99,0))</f>
        <v>3</v>
      </c>
      <c r="T138" s="8" t="n">
        <f aca="false">INDEX(Mapping!$C$2:$C$99,MATCH(T$1&amp;"|"&amp;Customers!T138,Mapping!$D$2:$D$99,0))</f>
        <v>1</v>
      </c>
      <c r="U138" s="8" t="n">
        <f aca="false">INDEX(Mapping!$C$2:$C$99,MATCH(U$1&amp;"|"&amp;Customers!U138,Mapping!$D$2:$D$99,0))</f>
        <v>1</v>
      </c>
      <c r="V138" s="8" t="n">
        <f aca="false">INDEX(Mapping!$C$2:$C$99,MATCH(V$1&amp;"|"&amp;Customers!V138,Mapping!$D$2:$D$99,0))</f>
        <v>1</v>
      </c>
      <c r="W138" s="17" t="n">
        <f aca="false">SUMPRODUCT($C138:$V138,Weights!$C$27:$V$27)</f>
        <v>1.645</v>
      </c>
      <c r="X138" s="18" t="n">
        <f aca="false">ROUND($W138,2)</f>
        <v>1.65</v>
      </c>
      <c r="Y138" s="8" t="str">
        <f aca="false">IF($X138&lt;=2,"Low",IF($X138&lt;=3.49,"Medium","High"))</f>
        <v>Low</v>
      </c>
      <c r="Z138" s="8" t="str">
        <f aca="false">IF(OR($F138&gt;=3,$E138=5,$D138=5,$C138=5,$G138=5,$H138=5,$I138=5,$J138=5,Customers!$W138="Yes"),"Yes","No")</f>
        <v>No</v>
      </c>
      <c r="AA138" s="15" t="str">
        <f aca="false">IF($Z138="Yes","High",$Y138)</f>
        <v>Low</v>
      </c>
      <c r="AB138" s="18" t="n">
        <f aca="false">SUMPRODUCT($C138:$G138,Weights!$C$28:$G$28)</f>
        <v>1.75</v>
      </c>
      <c r="AC138" s="18" t="n">
        <f aca="false">SUMPRODUCT($H138:$J138,Weights!$H$28:$J$28)</f>
        <v>1</v>
      </c>
      <c r="AD138" s="18" t="n">
        <f aca="false">SUMPRODUCT($K138:$N138,Weights!$K$28:$N$28)</f>
        <v>2.1</v>
      </c>
      <c r="AE138" s="18" t="n">
        <f aca="false">SUMPRODUCT($O138:$Q138,Weights!$O$28:$Q$28)</f>
        <v>2.1</v>
      </c>
      <c r="AF138" s="18" t="n">
        <f aca="false">SUMPRODUCT($R138:$V138,Weights!$R$28:$V$28)</f>
        <v>1.6</v>
      </c>
      <c r="AH138" s="18" t="n">
        <f aca="false">SUMPRODUCT($AB138:$AF138,Validation!$D$7:$H$7)</f>
        <v>1.6300000000001</v>
      </c>
      <c r="AI138" s="18" t="n">
        <f aca="false">SUMPRODUCT($AB138:$AF138,Validation!$D$8:$H$8)</f>
        <v>1.6599999999999</v>
      </c>
      <c r="AJ138" s="18" t="n">
        <f aca="false">SUMPRODUCT($AB138:$AF138,Validation!$D$9:$H$9)</f>
        <v>1.731</v>
      </c>
      <c r="AK138" s="18" t="n">
        <f aca="false">SUMPRODUCT($AB138:$AF138,Validation!$D$10:$H$10)</f>
        <v>1.559</v>
      </c>
      <c r="AL138" s="18" t="n">
        <f aca="false">SUMPRODUCT($AB138:$AF138,Validation!$D$11:$H$11)</f>
        <v>1.588125</v>
      </c>
      <c r="AM138" s="18" t="n">
        <f aca="false">SUMPRODUCT($AB138:$AF138,Validation!$D$12:$H$12)</f>
        <v>1.701875</v>
      </c>
      <c r="AN138" s="18" t="n">
        <f aca="false">SUMPRODUCT($AB138:$AF138,Validation!$D$13:$H$13)</f>
        <v>1.59444444444415</v>
      </c>
      <c r="AO138" s="18" t="n">
        <f aca="false">SUMPRODUCT($AB138:$AF138,Validation!$D$14:$H$14)</f>
        <v>1.69555555555585</v>
      </c>
      <c r="AP138" s="18" t="n">
        <f aca="false">SUMPRODUCT($AB138:$AF138,Validation!$D$15:$H$15)</f>
        <v>1.65029411764695</v>
      </c>
      <c r="AQ138" s="18" t="n">
        <f aca="false">SUMPRODUCT($AB138:$AF138,Validation!$D$16:$H$16)</f>
        <v>1.63970588235305</v>
      </c>
      <c r="AR138" s="8" t="n">
        <f aca="false">COUNTIF($C138:$V138,"&gt;=4")</f>
        <v>1</v>
      </c>
      <c r="AS138" s="8" t="str">
        <f aca="false">IF($X138&lt;=1.6,"Low",IF($X138&lt;=2.2,"Medium","High"))</f>
        <v>Medium</v>
      </c>
      <c r="AT138" s="8" t="str">
        <f aca="false">IF($AR138=0,"Low",IF($AR138&lt;3,"Medium","High"))</f>
        <v>Medium</v>
      </c>
      <c r="AU138" s="8" t="str">
        <f aca="false">IF(OR($AS138="High",$AT138="High"),"High",IF(OR($AS138="Medium",$AT138="Medium"),"Medium","Low"))</f>
        <v>Medium</v>
      </c>
      <c r="AV138" s="15" t="str">
        <f aca="false">IF($Z138="Yes","High",$AU138)</f>
        <v>Medium</v>
      </c>
    </row>
    <row r="139" customFormat="false" ht="15" hidden="false" customHeight="false" outlineLevel="0" collapsed="false">
      <c r="A139" s="7" t="str">
        <f aca="false">Customers!$A139</f>
        <v>NG-10161</v>
      </c>
      <c r="B139" s="7" t="str">
        <f aca="false">Customers!$B139</f>
        <v>Personal</v>
      </c>
      <c r="C139" s="8" t="n">
        <f aca="false">INDEX(Mapping!$C$2:$C$99,MATCH(C$1&amp;"|"&amp;Customers!C139,Mapping!$D$2:$D$99,0))</f>
        <v>1</v>
      </c>
      <c r="D139" s="8" t="n">
        <f aca="false">INDEX(Mapping!$C$2:$C$99,MATCH(D$1&amp;"|"&amp;Customers!D139,Mapping!$D$2:$D$99,0))</f>
        <v>1</v>
      </c>
      <c r="E139" s="8" t="n">
        <f aca="false">INDEX(Mapping!$C$2:$C$99,MATCH(E$1&amp;"|"&amp;Customers!E139,Mapping!$D$2:$D$99,0))</f>
        <v>1</v>
      </c>
      <c r="F139" s="8" t="n">
        <f aca="false">INDEX(Mapping!$C$2:$C$99,MATCH(F$1&amp;"|"&amp;Customers!F139,Mapping!$D$2:$D$99,0))</f>
        <v>1</v>
      </c>
      <c r="G139" s="8" t="n">
        <f aca="false">INDEX(Mapping!$C$2:$C$99,MATCH(G$1&amp;"|"&amp;Customers!G139,Mapping!$D$2:$D$99,0))</f>
        <v>1</v>
      </c>
      <c r="H139" s="8" t="n">
        <f aca="false">INDEX(Mapping!$C$2:$C$99,MATCH(H$1&amp;"|"&amp;Customers!H139,Mapping!$D$2:$D$99,0))</f>
        <v>1</v>
      </c>
      <c r="I139" s="8" t="n">
        <f aca="false">INDEX(Mapping!$C$2:$C$99,MATCH(I$1&amp;"|"&amp;Customers!I139,Mapping!$D$2:$D$99,0))</f>
        <v>1</v>
      </c>
      <c r="J139" s="8" t="n">
        <f aca="false">INDEX(Mapping!$C$2:$C$99,MATCH(J$1&amp;"|"&amp;Customers!J139,Mapping!$D$2:$D$99,0))</f>
        <v>2</v>
      </c>
      <c r="K139" s="8" t="n">
        <f aca="false">INDEX(Mapping!$C$2:$C$99,MATCH(K$1&amp;"|"&amp;Customers!K139,Mapping!$D$2:$D$99,0))</f>
        <v>2</v>
      </c>
      <c r="L139" s="8" t="n">
        <f aca="false">INDEX(Mapping!$C$2:$C$99,MATCH(L$1&amp;"|"&amp;Customers!L139,Mapping!$D$2:$D$99,0))</f>
        <v>2</v>
      </c>
      <c r="M139" s="8" t="n">
        <f aca="false">INDEX(Mapping!$C$2:$C$99,MATCH(M$1&amp;"|"&amp;Customers!M139,Mapping!$D$2:$D$99,0))</f>
        <v>5</v>
      </c>
      <c r="N139" s="8" t="n">
        <f aca="false">INDEX(Mapping!$C$2:$C$99,MATCH(N$1&amp;"|"&amp;Customers!N139,Mapping!$D$2:$D$99,0))</f>
        <v>1</v>
      </c>
      <c r="O139" s="8" t="n">
        <f aca="false">INDEX(Mapping!$C$2:$C$99,MATCH(O$1&amp;"|"&amp;Customers!O139,Mapping!$D$2:$D$99,0))</f>
        <v>3</v>
      </c>
      <c r="P139" s="8" t="n">
        <f aca="false">INDEX(Mapping!$C$2:$C$99,MATCH(P$1&amp;"|"&amp;Customers!P139,Mapping!$D$2:$D$99,0))</f>
        <v>3</v>
      </c>
      <c r="Q139" s="8" t="n">
        <f aca="false">INDEX(Mapping!$C$2:$C$99,MATCH(Q$1&amp;"|"&amp;Customers!Q139,Mapping!$D$2:$D$99,0))</f>
        <v>2</v>
      </c>
      <c r="R139" s="8" t="n">
        <f aca="false">INDEX(Mapping!$C$2:$C$99,MATCH(R$1&amp;"|"&amp;Customers!R139,Mapping!$D$2:$D$99,0))</f>
        <v>2</v>
      </c>
      <c r="S139" s="8" t="n">
        <f aca="false">INDEX(Mapping!$C$2:$C$99,MATCH(S$1&amp;"|"&amp;Customers!S139,Mapping!$D$2:$D$99,0))</f>
        <v>2</v>
      </c>
      <c r="T139" s="8" t="n">
        <f aca="false">INDEX(Mapping!$C$2:$C$99,MATCH(T$1&amp;"|"&amp;Customers!T139,Mapping!$D$2:$D$99,0))</f>
        <v>1</v>
      </c>
      <c r="U139" s="8" t="n">
        <f aca="false">INDEX(Mapping!$C$2:$C$99,MATCH(U$1&amp;"|"&amp;Customers!U139,Mapping!$D$2:$D$99,0))</f>
        <v>1</v>
      </c>
      <c r="V139" s="8" t="n">
        <f aca="false">INDEX(Mapping!$C$2:$C$99,MATCH(V$1&amp;"|"&amp;Customers!V139,Mapping!$D$2:$D$99,0))</f>
        <v>1</v>
      </c>
      <c r="W139" s="17" t="n">
        <f aca="false">SUMPRODUCT($C139:$V139,Weights!$C$27:$V$27)</f>
        <v>1.6825</v>
      </c>
      <c r="X139" s="18" t="n">
        <f aca="false">ROUND($W139,2)</f>
        <v>1.68</v>
      </c>
      <c r="Y139" s="8" t="str">
        <f aca="false">IF($X139&lt;=2,"Low",IF($X139&lt;=3.49,"Medium","High"))</f>
        <v>Low</v>
      </c>
      <c r="Z139" s="8" t="str">
        <f aca="false">IF(OR($F139&gt;=3,$E139=5,$D139=5,$C139=5,$G139=5,$H139=5,$I139=5,$J139=5,Customers!$W139="Yes"),"Yes","No")</f>
        <v>No</v>
      </c>
      <c r="AA139" s="15" t="str">
        <f aca="false">IF($Z139="Yes","High",$Y139)</f>
        <v>Low</v>
      </c>
      <c r="AB139" s="18" t="n">
        <f aca="false">SUMPRODUCT($C139:$G139,Weights!$C$28:$G$28)</f>
        <v>1</v>
      </c>
      <c r="AC139" s="18" t="n">
        <f aca="false">SUMPRODUCT($H139:$J139,Weights!$H$28:$J$28)</f>
        <v>1.4</v>
      </c>
      <c r="AD139" s="18" t="n">
        <f aca="false">SUMPRODUCT($K139:$N139,Weights!$K$28:$N$28)</f>
        <v>2.6</v>
      </c>
      <c r="AE139" s="18" t="n">
        <f aca="false">SUMPRODUCT($O139:$Q139,Weights!$O$28:$Q$28)</f>
        <v>2.8</v>
      </c>
      <c r="AF139" s="18" t="n">
        <f aca="false">SUMPRODUCT($R139:$V139,Weights!$R$28:$V$28)</f>
        <v>1.55</v>
      </c>
      <c r="AH139" s="18" t="n">
        <f aca="false">SUMPRODUCT($AB139:$AF139,Validation!$D$7:$H$7)</f>
        <v>1.77999999999995</v>
      </c>
      <c r="AI139" s="18" t="n">
        <f aca="false">SUMPRODUCT($AB139:$AF139,Validation!$D$8:$H$8)</f>
        <v>1.58500000000005</v>
      </c>
      <c r="AJ139" s="18" t="n">
        <f aca="false">SUMPRODUCT($AB139:$AF139,Validation!$D$9:$H$9)</f>
        <v>1.7201666666666</v>
      </c>
      <c r="AK139" s="18" t="n">
        <f aca="false">SUMPRODUCT($AB139:$AF139,Validation!$D$10:$H$10)</f>
        <v>1.6448333333334</v>
      </c>
      <c r="AL139" s="18" t="n">
        <f aca="false">SUMPRODUCT($AB139:$AF139,Validation!$D$11:$H$11)</f>
        <v>1.5678125</v>
      </c>
      <c r="AM139" s="18" t="n">
        <f aca="false">SUMPRODUCT($AB139:$AF139,Validation!$D$12:$H$12)</f>
        <v>1.7971875</v>
      </c>
      <c r="AN139" s="18" t="n">
        <f aca="false">SUMPRODUCT($AB139:$AF139,Validation!$D$13:$H$13)</f>
        <v>1.55833333333325</v>
      </c>
      <c r="AO139" s="18" t="n">
        <f aca="false">SUMPRODUCT($AB139:$AF139,Validation!$D$14:$H$14)</f>
        <v>1.80666666666675</v>
      </c>
      <c r="AP139" s="18" t="n">
        <f aca="false">SUMPRODUCT($AB139:$AF139,Validation!$D$15:$H$15)</f>
        <v>1.698088235294</v>
      </c>
      <c r="AQ139" s="18" t="n">
        <f aca="false">SUMPRODUCT($AB139:$AF139,Validation!$D$16:$H$16)</f>
        <v>1.666911764706</v>
      </c>
      <c r="AR139" s="8" t="n">
        <f aca="false">COUNTIF($C139:$V139,"&gt;=4")</f>
        <v>1</v>
      </c>
      <c r="AS139" s="8" t="str">
        <f aca="false">IF($X139&lt;=1.6,"Low",IF($X139&lt;=2.2,"Medium","High"))</f>
        <v>Medium</v>
      </c>
      <c r="AT139" s="8" t="str">
        <f aca="false">IF($AR139=0,"Low",IF($AR139&lt;3,"Medium","High"))</f>
        <v>Medium</v>
      </c>
      <c r="AU139" s="8" t="str">
        <f aca="false">IF(OR($AS139="High",$AT139="High"),"High",IF(OR($AS139="Medium",$AT139="Medium"),"Medium","Low"))</f>
        <v>Medium</v>
      </c>
      <c r="AV139" s="15" t="str">
        <f aca="false">IF($Z139="Yes","High",$AU139)</f>
        <v>Medium</v>
      </c>
    </row>
    <row r="140" customFormat="false" ht="15" hidden="false" customHeight="false" outlineLevel="0" collapsed="false">
      <c r="A140" s="7" t="str">
        <f aca="false">Customers!$A140</f>
        <v>NG-10050</v>
      </c>
      <c r="B140" s="7" t="str">
        <f aca="false">Customers!$B140</f>
        <v>Personal</v>
      </c>
      <c r="C140" s="8" t="n">
        <f aca="false">INDEX(Mapping!$C$2:$C$99,MATCH(C$1&amp;"|"&amp;Customers!C140,Mapping!$D$2:$D$99,0))</f>
        <v>2</v>
      </c>
      <c r="D140" s="8" t="n">
        <f aca="false">INDEX(Mapping!$C$2:$C$99,MATCH(D$1&amp;"|"&amp;Customers!D140,Mapping!$D$2:$D$99,0))</f>
        <v>1</v>
      </c>
      <c r="E140" s="8" t="n">
        <f aca="false">INDEX(Mapping!$C$2:$C$99,MATCH(E$1&amp;"|"&amp;Customers!E140,Mapping!$D$2:$D$99,0))</f>
        <v>4</v>
      </c>
      <c r="F140" s="8" t="n">
        <f aca="false">INDEX(Mapping!$C$2:$C$99,MATCH(F$1&amp;"|"&amp;Customers!F140,Mapping!$D$2:$D$99,0))</f>
        <v>1</v>
      </c>
      <c r="G140" s="8" t="n">
        <f aca="false">INDEX(Mapping!$C$2:$C$99,MATCH(G$1&amp;"|"&amp;Customers!G140,Mapping!$D$2:$D$99,0))</f>
        <v>1</v>
      </c>
      <c r="H140" s="8" t="n">
        <f aca="false">INDEX(Mapping!$C$2:$C$99,MATCH(H$1&amp;"|"&amp;Customers!H140,Mapping!$D$2:$D$99,0))</f>
        <v>1</v>
      </c>
      <c r="I140" s="8" t="n">
        <f aca="false">INDEX(Mapping!$C$2:$C$99,MATCH(I$1&amp;"|"&amp;Customers!I140,Mapping!$D$2:$D$99,0))</f>
        <v>1</v>
      </c>
      <c r="J140" s="8" t="n">
        <f aca="false">INDEX(Mapping!$C$2:$C$99,MATCH(J$1&amp;"|"&amp;Customers!J140,Mapping!$D$2:$D$99,0))</f>
        <v>3</v>
      </c>
      <c r="K140" s="8" t="n">
        <f aca="false">INDEX(Mapping!$C$2:$C$99,MATCH(K$1&amp;"|"&amp;Customers!K140,Mapping!$D$2:$D$99,0))</f>
        <v>3</v>
      </c>
      <c r="L140" s="8" t="n">
        <f aca="false">INDEX(Mapping!$C$2:$C$99,MATCH(L$1&amp;"|"&amp;Customers!L140,Mapping!$D$2:$D$99,0))</f>
        <v>2</v>
      </c>
      <c r="M140" s="8" t="n">
        <f aca="false">INDEX(Mapping!$C$2:$C$99,MATCH(M$1&amp;"|"&amp;Customers!M140,Mapping!$D$2:$D$99,0))</f>
        <v>1</v>
      </c>
      <c r="N140" s="8" t="n">
        <f aca="false">INDEX(Mapping!$C$2:$C$99,MATCH(N$1&amp;"|"&amp;Customers!N140,Mapping!$D$2:$D$99,0))</f>
        <v>1</v>
      </c>
      <c r="O140" s="8" t="n">
        <f aca="false">INDEX(Mapping!$C$2:$C$99,MATCH(O$1&amp;"|"&amp;Customers!O140,Mapping!$D$2:$D$99,0))</f>
        <v>3</v>
      </c>
      <c r="P140" s="8" t="n">
        <f aca="false">INDEX(Mapping!$C$2:$C$99,MATCH(P$1&amp;"|"&amp;Customers!P140,Mapping!$D$2:$D$99,0))</f>
        <v>3</v>
      </c>
      <c r="Q140" s="8" t="n">
        <f aca="false">INDEX(Mapping!$C$2:$C$99,MATCH(Q$1&amp;"|"&amp;Customers!Q140,Mapping!$D$2:$D$99,0))</f>
        <v>1</v>
      </c>
      <c r="R140" s="8" t="n">
        <f aca="false">INDEX(Mapping!$C$2:$C$99,MATCH(R$1&amp;"|"&amp;Customers!R140,Mapping!$D$2:$D$99,0))</f>
        <v>3</v>
      </c>
      <c r="S140" s="8" t="n">
        <f aca="false">INDEX(Mapping!$C$2:$C$99,MATCH(S$1&amp;"|"&amp;Customers!S140,Mapping!$D$2:$D$99,0))</f>
        <v>1</v>
      </c>
      <c r="T140" s="8" t="n">
        <f aca="false">INDEX(Mapping!$C$2:$C$99,MATCH(T$1&amp;"|"&amp;Customers!T140,Mapping!$D$2:$D$99,0))</f>
        <v>1</v>
      </c>
      <c r="U140" s="8" t="n">
        <f aca="false">INDEX(Mapping!$C$2:$C$99,MATCH(U$1&amp;"|"&amp;Customers!U140,Mapping!$D$2:$D$99,0))</f>
        <v>1</v>
      </c>
      <c r="V140" s="8" t="n">
        <f aca="false">INDEX(Mapping!$C$2:$C$99,MATCH(V$1&amp;"|"&amp;Customers!V140,Mapping!$D$2:$D$99,0))</f>
        <v>1</v>
      </c>
      <c r="W140" s="17" t="n">
        <f aca="false">SUMPRODUCT($C140:$V140,Weights!$C$27:$V$27)</f>
        <v>1.91</v>
      </c>
      <c r="X140" s="18" t="n">
        <f aca="false">ROUND($W140,2)</f>
        <v>1.91</v>
      </c>
      <c r="Y140" s="8" t="str">
        <f aca="false">IF($X140&lt;=2,"Low",IF($X140&lt;=3.49,"Medium","High"))</f>
        <v>Low</v>
      </c>
      <c r="Z140" s="8" t="str">
        <f aca="false">IF(OR($F140&gt;=3,$E140=5,$D140=5,$C140=5,$G140=5,$H140=5,$I140=5,$J140=5,Customers!$W140="Yes"),"Yes","No")</f>
        <v>No</v>
      </c>
      <c r="AA140" s="15" t="str">
        <f aca="false">IF($Z140="Yes","High",$Y140)</f>
        <v>Low</v>
      </c>
      <c r="AB140" s="18" t="n">
        <f aca="false">SUMPRODUCT($C140:$G140,Weights!$C$28:$G$28)</f>
        <v>1.95</v>
      </c>
      <c r="AC140" s="18" t="n">
        <f aca="false">SUMPRODUCT($H140:$J140,Weights!$H$28:$J$28)</f>
        <v>1.8</v>
      </c>
      <c r="AD140" s="18" t="n">
        <f aca="false">SUMPRODUCT($K140:$N140,Weights!$K$28:$N$28)</f>
        <v>1.95</v>
      </c>
      <c r="AE140" s="18" t="n">
        <f aca="false">SUMPRODUCT($O140:$Q140,Weights!$O$28:$Q$28)</f>
        <v>2.6</v>
      </c>
      <c r="AF140" s="18" t="n">
        <f aca="false">SUMPRODUCT($R140:$V140,Weights!$R$28:$V$28)</f>
        <v>1.5</v>
      </c>
      <c r="AH140" s="18" t="n">
        <f aca="false">SUMPRODUCT($AB140:$AF140,Validation!$D$7:$H$7)</f>
        <v>1.90428571428575</v>
      </c>
      <c r="AI140" s="18" t="n">
        <f aca="false">SUMPRODUCT($AB140:$AF140,Validation!$D$8:$H$8)</f>
        <v>1.91571428571425</v>
      </c>
      <c r="AJ140" s="18" t="n">
        <f aca="false">SUMPRODUCT($AB140:$AF140,Validation!$D$9:$H$9)</f>
        <v>1.92466666666645</v>
      </c>
      <c r="AK140" s="18" t="n">
        <f aca="false">SUMPRODUCT($AB140:$AF140,Validation!$D$10:$H$10)</f>
        <v>1.89533333333355</v>
      </c>
      <c r="AL140" s="18" t="n">
        <f aca="false">SUMPRODUCT($AB140:$AF140,Validation!$D$11:$H$11)</f>
        <v>1.905</v>
      </c>
      <c r="AM140" s="18" t="n">
        <f aca="false">SUMPRODUCT($AB140:$AF140,Validation!$D$12:$H$12)</f>
        <v>1.915</v>
      </c>
      <c r="AN140" s="18" t="n">
        <f aca="false">SUMPRODUCT($AB140:$AF140,Validation!$D$13:$H$13)</f>
        <v>1.83333333333315</v>
      </c>
      <c r="AO140" s="18" t="n">
        <f aca="false">SUMPRODUCT($AB140:$AF140,Validation!$D$14:$H$14)</f>
        <v>1.98666666666685</v>
      </c>
      <c r="AP140" s="18" t="n">
        <f aca="false">SUMPRODUCT($AB140:$AF140,Validation!$D$15:$H$15)</f>
        <v>1.9582352941174</v>
      </c>
      <c r="AQ140" s="18" t="n">
        <f aca="false">SUMPRODUCT($AB140:$AF140,Validation!$D$16:$H$16)</f>
        <v>1.8617647058826</v>
      </c>
      <c r="AR140" s="8" t="n">
        <f aca="false">COUNTIF($C140:$V140,"&gt;=4")</f>
        <v>1</v>
      </c>
      <c r="AS140" s="8" t="str">
        <f aca="false">IF($X140&lt;=1.6,"Low",IF($X140&lt;=2.2,"Medium","High"))</f>
        <v>Medium</v>
      </c>
      <c r="AT140" s="8" t="str">
        <f aca="false">IF($AR140=0,"Low",IF($AR140&lt;3,"Medium","High"))</f>
        <v>Medium</v>
      </c>
      <c r="AU140" s="8" t="str">
        <f aca="false">IF(OR($AS140="High",$AT140="High"),"High",IF(OR($AS140="Medium",$AT140="Medium"),"Medium","Low"))</f>
        <v>Medium</v>
      </c>
      <c r="AV140" s="15" t="str">
        <f aca="false">IF($Z140="Yes","High",$AU140)</f>
        <v>Medium</v>
      </c>
    </row>
    <row r="141" customFormat="false" ht="15" hidden="false" customHeight="false" outlineLevel="0" collapsed="false">
      <c r="A141" s="7" t="str">
        <f aca="false">Customers!$A141</f>
        <v>NG-10246</v>
      </c>
      <c r="B141" s="7" t="str">
        <f aca="false">Customers!$B141</f>
        <v>Personal</v>
      </c>
      <c r="C141" s="8" t="n">
        <f aca="false">INDEX(Mapping!$C$2:$C$99,MATCH(C$1&amp;"|"&amp;Customers!C141,Mapping!$D$2:$D$99,0))</f>
        <v>2</v>
      </c>
      <c r="D141" s="8" t="n">
        <f aca="false">INDEX(Mapping!$C$2:$C$99,MATCH(D$1&amp;"|"&amp;Customers!D141,Mapping!$D$2:$D$99,0))</f>
        <v>1</v>
      </c>
      <c r="E141" s="8" t="n">
        <f aca="false">INDEX(Mapping!$C$2:$C$99,MATCH(E$1&amp;"|"&amp;Customers!E141,Mapping!$D$2:$D$99,0))</f>
        <v>1</v>
      </c>
      <c r="F141" s="8" t="n">
        <f aca="false">INDEX(Mapping!$C$2:$C$99,MATCH(F$1&amp;"|"&amp;Customers!F141,Mapping!$D$2:$D$99,0))</f>
        <v>1</v>
      </c>
      <c r="G141" s="8" t="n">
        <f aca="false">INDEX(Mapping!$C$2:$C$99,MATCH(G$1&amp;"|"&amp;Customers!G141,Mapping!$D$2:$D$99,0))</f>
        <v>1</v>
      </c>
      <c r="H141" s="8" t="n">
        <f aca="false">INDEX(Mapping!$C$2:$C$99,MATCH(H$1&amp;"|"&amp;Customers!H141,Mapping!$D$2:$D$99,0))</f>
        <v>1</v>
      </c>
      <c r="I141" s="8" t="n">
        <f aca="false">INDEX(Mapping!$C$2:$C$99,MATCH(I$1&amp;"|"&amp;Customers!I141,Mapping!$D$2:$D$99,0))</f>
        <v>1</v>
      </c>
      <c r="J141" s="8" t="n">
        <f aca="false">INDEX(Mapping!$C$2:$C$99,MATCH(J$1&amp;"|"&amp;Customers!J141,Mapping!$D$2:$D$99,0))</f>
        <v>1</v>
      </c>
      <c r="K141" s="8" t="n">
        <f aca="false">INDEX(Mapping!$C$2:$C$99,MATCH(K$1&amp;"|"&amp;Customers!K141,Mapping!$D$2:$D$99,0))</f>
        <v>3</v>
      </c>
      <c r="L141" s="8" t="n">
        <f aca="false">INDEX(Mapping!$C$2:$C$99,MATCH(L$1&amp;"|"&amp;Customers!L141,Mapping!$D$2:$D$99,0))</f>
        <v>2</v>
      </c>
      <c r="M141" s="8" t="n">
        <f aca="false">INDEX(Mapping!$C$2:$C$99,MATCH(M$1&amp;"|"&amp;Customers!M141,Mapping!$D$2:$D$99,0))</f>
        <v>3</v>
      </c>
      <c r="N141" s="8" t="n">
        <f aca="false">INDEX(Mapping!$C$2:$C$99,MATCH(N$1&amp;"|"&amp;Customers!N141,Mapping!$D$2:$D$99,0))</f>
        <v>2</v>
      </c>
      <c r="O141" s="8" t="n">
        <f aca="false">INDEX(Mapping!$C$2:$C$99,MATCH(O$1&amp;"|"&amp;Customers!O141,Mapping!$D$2:$D$99,0))</f>
        <v>5</v>
      </c>
      <c r="P141" s="8" t="n">
        <f aca="false">INDEX(Mapping!$C$2:$C$99,MATCH(P$1&amp;"|"&amp;Customers!P141,Mapping!$D$2:$D$99,0))</f>
        <v>1</v>
      </c>
      <c r="Q141" s="8" t="n">
        <f aca="false">INDEX(Mapping!$C$2:$C$99,MATCH(Q$1&amp;"|"&amp;Customers!Q141,Mapping!$D$2:$D$99,0))</f>
        <v>1</v>
      </c>
      <c r="R141" s="8" t="n">
        <f aca="false">INDEX(Mapping!$C$2:$C$99,MATCH(R$1&amp;"|"&amp;Customers!R141,Mapping!$D$2:$D$99,0))</f>
        <v>1</v>
      </c>
      <c r="S141" s="8" t="n">
        <f aca="false">INDEX(Mapping!$C$2:$C$99,MATCH(S$1&amp;"|"&amp;Customers!S141,Mapping!$D$2:$D$99,0))</f>
        <v>1</v>
      </c>
      <c r="T141" s="8" t="n">
        <f aca="false">INDEX(Mapping!$C$2:$C$99,MATCH(T$1&amp;"|"&amp;Customers!T141,Mapping!$D$2:$D$99,0))</f>
        <v>1</v>
      </c>
      <c r="U141" s="8" t="n">
        <f aca="false">INDEX(Mapping!$C$2:$C$99,MATCH(U$1&amp;"|"&amp;Customers!U141,Mapping!$D$2:$D$99,0))</f>
        <v>1</v>
      </c>
      <c r="V141" s="8" t="n">
        <f aca="false">INDEX(Mapping!$C$2:$C$99,MATCH(V$1&amp;"|"&amp;Customers!V141,Mapping!$D$2:$D$99,0))</f>
        <v>1</v>
      </c>
      <c r="W141" s="17" t="n">
        <f aca="false">SUMPRODUCT($C141:$V141,Weights!$C$27:$V$27)</f>
        <v>1.56</v>
      </c>
      <c r="X141" s="18" t="n">
        <f aca="false">ROUND($W141,2)</f>
        <v>1.56</v>
      </c>
      <c r="Y141" s="8" t="str">
        <f aca="false">IF($X141&lt;=2,"Low",IF($X141&lt;=3.49,"Medium","High"))</f>
        <v>Low</v>
      </c>
      <c r="Z141" s="8" t="str">
        <f aca="false">IF(OR($F141&gt;=3,$E141=5,$D141=5,$C141=5,$G141=5,$H141=5,$I141=5,$J141=5,Customers!$W141="Yes"),"Yes","No")</f>
        <v>No</v>
      </c>
      <c r="AA141" s="15" t="str">
        <f aca="false">IF($Z141="Yes","High",$Y141)</f>
        <v>Low</v>
      </c>
      <c r="AB141" s="18" t="n">
        <f aca="false">SUMPRODUCT($C141:$G141,Weights!$C$28:$G$28)</f>
        <v>1.2</v>
      </c>
      <c r="AC141" s="18" t="n">
        <f aca="false">SUMPRODUCT($H141:$J141,Weights!$H$28:$J$28)</f>
        <v>1</v>
      </c>
      <c r="AD141" s="18" t="n">
        <f aca="false">SUMPRODUCT($K141:$N141,Weights!$K$28:$N$28)</f>
        <v>2.6</v>
      </c>
      <c r="AE141" s="18" t="n">
        <f aca="false">SUMPRODUCT($O141:$Q141,Weights!$O$28:$Q$28)</f>
        <v>2.8</v>
      </c>
      <c r="AF141" s="18" t="n">
        <f aca="false">SUMPRODUCT($R141:$V141,Weights!$R$28:$V$28)</f>
        <v>1</v>
      </c>
      <c r="AH141" s="18" t="n">
        <f aca="false">SUMPRODUCT($AB141:$AF141,Validation!$D$7:$H$7)</f>
        <v>1.6114285714284</v>
      </c>
      <c r="AI141" s="18" t="n">
        <f aca="false">SUMPRODUCT($AB141:$AF141,Validation!$D$8:$H$8)</f>
        <v>1.5085714285716</v>
      </c>
      <c r="AJ141" s="18" t="n">
        <f aca="false">SUMPRODUCT($AB141:$AF141,Validation!$D$9:$H$9)</f>
        <v>1.6346666666666</v>
      </c>
      <c r="AK141" s="18" t="n">
        <f aca="false">SUMPRODUCT($AB141:$AF141,Validation!$D$10:$H$10)</f>
        <v>1.4853333333334</v>
      </c>
      <c r="AL141" s="18" t="n">
        <f aca="false">SUMPRODUCT($AB141:$AF141,Validation!$D$11:$H$11)</f>
        <v>1.43</v>
      </c>
      <c r="AM141" s="18" t="n">
        <f aca="false">SUMPRODUCT($AB141:$AF141,Validation!$D$12:$H$12)</f>
        <v>1.69</v>
      </c>
      <c r="AN141" s="18" t="n">
        <f aca="false">SUMPRODUCT($AB141:$AF141,Validation!$D$13:$H$13)</f>
        <v>1.4222222222218</v>
      </c>
      <c r="AO141" s="18" t="n">
        <f aca="false">SUMPRODUCT($AB141:$AF141,Validation!$D$14:$H$14)</f>
        <v>1.6977777777782</v>
      </c>
      <c r="AP141" s="18" t="n">
        <f aca="false">SUMPRODUCT($AB141:$AF141,Validation!$D$15:$H$15)</f>
        <v>1.625882352941</v>
      </c>
      <c r="AQ141" s="18" t="n">
        <f aca="false">SUMPRODUCT($AB141:$AF141,Validation!$D$16:$H$16)</f>
        <v>1.494117647059</v>
      </c>
      <c r="AR141" s="8" t="n">
        <f aca="false">COUNTIF($C141:$V141,"&gt;=4")</f>
        <v>1</v>
      </c>
      <c r="AS141" s="8" t="str">
        <f aca="false">IF($X141&lt;=1.6,"Low",IF($X141&lt;=2.2,"Medium","High"))</f>
        <v>Low</v>
      </c>
      <c r="AT141" s="8" t="str">
        <f aca="false">IF($AR141=0,"Low",IF($AR141&lt;3,"Medium","High"))</f>
        <v>Medium</v>
      </c>
      <c r="AU141" s="8" t="str">
        <f aca="false">IF(OR($AS141="High",$AT141="High"),"High",IF(OR($AS141="Medium",$AT141="Medium"),"Medium","Low"))</f>
        <v>Medium</v>
      </c>
      <c r="AV141" s="15" t="str">
        <f aca="false">IF($Z141="Yes","High",$AU141)</f>
        <v>Medium</v>
      </c>
    </row>
    <row r="142" customFormat="false" ht="15" hidden="false" customHeight="false" outlineLevel="0" collapsed="false">
      <c r="A142" s="7" t="str">
        <f aca="false">Customers!$A142</f>
        <v>NG-10075</v>
      </c>
      <c r="B142" s="7" t="str">
        <f aca="false">Customers!$B142</f>
        <v>Personal</v>
      </c>
      <c r="C142" s="8" t="n">
        <f aca="false">INDEX(Mapping!$C$2:$C$99,MATCH(C$1&amp;"|"&amp;Customers!C142,Mapping!$D$2:$D$99,0))</f>
        <v>1</v>
      </c>
      <c r="D142" s="8" t="n">
        <f aca="false">INDEX(Mapping!$C$2:$C$99,MATCH(D$1&amp;"|"&amp;Customers!D142,Mapping!$D$2:$D$99,0))</f>
        <v>1</v>
      </c>
      <c r="E142" s="8" t="n">
        <f aca="false">INDEX(Mapping!$C$2:$C$99,MATCH(E$1&amp;"|"&amp;Customers!E142,Mapping!$D$2:$D$99,0))</f>
        <v>1</v>
      </c>
      <c r="F142" s="8" t="n">
        <f aca="false">INDEX(Mapping!$C$2:$C$99,MATCH(F$1&amp;"|"&amp;Customers!F142,Mapping!$D$2:$D$99,0))</f>
        <v>1</v>
      </c>
      <c r="G142" s="8" t="n">
        <f aca="false">INDEX(Mapping!$C$2:$C$99,MATCH(G$1&amp;"|"&amp;Customers!G142,Mapping!$D$2:$D$99,0))</f>
        <v>1</v>
      </c>
      <c r="H142" s="8" t="n">
        <f aca="false">INDEX(Mapping!$C$2:$C$99,MATCH(H$1&amp;"|"&amp;Customers!H142,Mapping!$D$2:$D$99,0))</f>
        <v>1</v>
      </c>
      <c r="I142" s="8" t="n">
        <f aca="false">INDEX(Mapping!$C$2:$C$99,MATCH(I$1&amp;"|"&amp;Customers!I142,Mapping!$D$2:$D$99,0))</f>
        <v>1</v>
      </c>
      <c r="J142" s="8" t="n">
        <f aca="false">INDEX(Mapping!$C$2:$C$99,MATCH(J$1&amp;"|"&amp;Customers!J142,Mapping!$D$2:$D$99,0))</f>
        <v>1</v>
      </c>
      <c r="K142" s="8" t="n">
        <f aca="false">INDEX(Mapping!$C$2:$C$99,MATCH(K$1&amp;"|"&amp;Customers!K142,Mapping!$D$2:$D$99,0))</f>
        <v>2</v>
      </c>
      <c r="L142" s="8" t="n">
        <f aca="false">INDEX(Mapping!$C$2:$C$99,MATCH(L$1&amp;"|"&amp;Customers!L142,Mapping!$D$2:$D$99,0))</f>
        <v>4</v>
      </c>
      <c r="M142" s="8" t="n">
        <f aca="false">INDEX(Mapping!$C$2:$C$99,MATCH(M$1&amp;"|"&amp;Customers!M142,Mapping!$D$2:$D$99,0))</f>
        <v>1</v>
      </c>
      <c r="N142" s="8" t="n">
        <f aca="false">INDEX(Mapping!$C$2:$C$99,MATCH(N$1&amp;"|"&amp;Customers!N142,Mapping!$D$2:$D$99,0))</f>
        <v>1</v>
      </c>
      <c r="O142" s="8" t="n">
        <f aca="false">INDEX(Mapping!$C$2:$C$99,MATCH(O$1&amp;"|"&amp;Customers!O142,Mapping!$D$2:$D$99,0))</f>
        <v>3</v>
      </c>
      <c r="P142" s="8" t="n">
        <f aca="false">INDEX(Mapping!$C$2:$C$99,MATCH(P$1&amp;"|"&amp;Customers!P142,Mapping!$D$2:$D$99,0))</f>
        <v>3</v>
      </c>
      <c r="Q142" s="8" t="n">
        <f aca="false">INDEX(Mapping!$C$2:$C$99,MATCH(Q$1&amp;"|"&amp;Customers!Q142,Mapping!$D$2:$D$99,0))</f>
        <v>1</v>
      </c>
      <c r="R142" s="8" t="n">
        <f aca="false">INDEX(Mapping!$C$2:$C$99,MATCH(R$1&amp;"|"&amp;Customers!R142,Mapping!$D$2:$D$99,0))</f>
        <v>2</v>
      </c>
      <c r="S142" s="8" t="n">
        <f aca="false">INDEX(Mapping!$C$2:$C$99,MATCH(S$1&amp;"|"&amp;Customers!S142,Mapping!$D$2:$D$99,0))</f>
        <v>2</v>
      </c>
      <c r="T142" s="8" t="n">
        <f aca="false">INDEX(Mapping!$C$2:$C$99,MATCH(T$1&amp;"|"&amp;Customers!T142,Mapping!$D$2:$D$99,0))</f>
        <v>2</v>
      </c>
      <c r="U142" s="8" t="n">
        <f aca="false">INDEX(Mapping!$C$2:$C$99,MATCH(U$1&amp;"|"&amp;Customers!U142,Mapping!$D$2:$D$99,0))</f>
        <v>3</v>
      </c>
      <c r="V142" s="8" t="n">
        <f aca="false">INDEX(Mapping!$C$2:$C$99,MATCH(V$1&amp;"|"&amp;Customers!V142,Mapping!$D$2:$D$99,0))</f>
        <v>1</v>
      </c>
      <c r="W142" s="17" t="n">
        <f aca="false">SUMPRODUCT($C142:$V142,Weights!$C$27:$V$27)</f>
        <v>1.5375</v>
      </c>
      <c r="X142" s="18" t="n">
        <f aca="false">ROUND($W142,2)</f>
        <v>1.54</v>
      </c>
      <c r="Y142" s="8" t="str">
        <f aca="false">IF($X142&lt;=2,"Low",IF($X142&lt;=3.49,"Medium","High"))</f>
        <v>Low</v>
      </c>
      <c r="Z142" s="8" t="str">
        <f aca="false">IF(OR($F142&gt;=3,$E142=5,$D142=5,$C142=5,$G142=5,$H142=5,$I142=5,$J142=5,Customers!$W142="Yes"),"Yes","No")</f>
        <v>No</v>
      </c>
      <c r="AA142" s="15" t="str">
        <f aca="false">IF($Z142="Yes","High",$Y142)</f>
        <v>Low</v>
      </c>
      <c r="AB142" s="18" t="n">
        <f aca="false">SUMPRODUCT($C142:$G142,Weights!$C$28:$G$28)</f>
        <v>1</v>
      </c>
      <c r="AC142" s="18" t="n">
        <f aca="false">SUMPRODUCT($H142:$J142,Weights!$H$28:$J$28)</f>
        <v>1</v>
      </c>
      <c r="AD142" s="18" t="n">
        <f aca="false">SUMPRODUCT($K142:$N142,Weights!$K$28:$N$28)</f>
        <v>2.1</v>
      </c>
      <c r="AE142" s="18" t="n">
        <f aca="false">SUMPRODUCT($O142:$Q142,Weights!$O$28:$Q$28)</f>
        <v>2.6</v>
      </c>
      <c r="AF142" s="18" t="n">
        <f aca="false">SUMPRODUCT($R142:$V142,Weights!$R$28:$V$28)</f>
        <v>2.05</v>
      </c>
      <c r="AH142" s="18" t="n">
        <f aca="false">SUMPRODUCT($AB142:$AF142,Validation!$D$7:$H$7)</f>
        <v>1.61428571428615</v>
      </c>
      <c r="AI142" s="18" t="n">
        <f aca="false">SUMPRODUCT($AB142:$AF142,Validation!$D$8:$H$8)</f>
        <v>1.46071428571385</v>
      </c>
      <c r="AJ142" s="18" t="n">
        <f aca="false">SUMPRODUCT($AB142:$AF142,Validation!$D$9:$H$9)</f>
        <v>1.6091666666665</v>
      </c>
      <c r="AK142" s="18" t="n">
        <f aca="false">SUMPRODUCT($AB142:$AF142,Validation!$D$10:$H$10)</f>
        <v>1.4658333333335</v>
      </c>
      <c r="AL142" s="18" t="n">
        <f aca="false">SUMPRODUCT($AB142:$AF142,Validation!$D$11:$H$11)</f>
        <v>1.4671875</v>
      </c>
      <c r="AM142" s="18" t="n">
        <f aca="false">SUMPRODUCT($AB142:$AF142,Validation!$D$12:$H$12)</f>
        <v>1.6078125</v>
      </c>
      <c r="AN142" s="18" t="n">
        <f aca="false">SUMPRODUCT($AB142:$AF142,Validation!$D$13:$H$13)</f>
        <v>1.41944444444455</v>
      </c>
      <c r="AO142" s="18" t="n">
        <f aca="false">SUMPRODUCT($AB142:$AF142,Validation!$D$14:$H$14)</f>
        <v>1.65555555555545</v>
      </c>
      <c r="AP142" s="18" t="n">
        <f aca="false">SUMPRODUCT($AB142:$AF142,Validation!$D$15:$H$15)</f>
        <v>1.4772058823527</v>
      </c>
      <c r="AQ142" s="18" t="n">
        <f aca="false">SUMPRODUCT($AB142:$AF142,Validation!$D$16:$H$16)</f>
        <v>1.5977941176473</v>
      </c>
      <c r="AR142" s="8" t="n">
        <f aca="false">COUNTIF($C142:$V142,"&gt;=4")</f>
        <v>1</v>
      </c>
      <c r="AS142" s="8" t="str">
        <f aca="false">IF($X142&lt;=1.6,"Low",IF($X142&lt;=2.2,"Medium","High"))</f>
        <v>Low</v>
      </c>
      <c r="AT142" s="8" t="str">
        <f aca="false">IF($AR142=0,"Low",IF($AR142&lt;3,"Medium","High"))</f>
        <v>Medium</v>
      </c>
      <c r="AU142" s="8" t="str">
        <f aca="false">IF(OR($AS142="High",$AT142="High"),"High",IF(OR($AS142="Medium",$AT142="Medium"),"Medium","Low"))</f>
        <v>Medium</v>
      </c>
      <c r="AV142" s="15" t="str">
        <f aca="false">IF($Z142="Yes","High",$AU142)</f>
        <v>Medium</v>
      </c>
    </row>
    <row r="143" customFormat="false" ht="15" hidden="false" customHeight="false" outlineLevel="0" collapsed="false">
      <c r="A143" s="7" t="str">
        <f aca="false">Customers!$A143</f>
        <v>NG-10042</v>
      </c>
      <c r="B143" s="7" t="str">
        <f aca="false">Customers!$B143</f>
        <v>Personal</v>
      </c>
      <c r="C143" s="8" t="n">
        <f aca="false">INDEX(Mapping!$C$2:$C$99,MATCH(C$1&amp;"|"&amp;Customers!C143,Mapping!$D$2:$D$99,0))</f>
        <v>1</v>
      </c>
      <c r="D143" s="8" t="n">
        <f aca="false">INDEX(Mapping!$C$2:$C$99,MATCH(D$1&amp;"|"&amp;Customers!D143,Mapping!$D$2:$D$99,0))</f>
        <v>1</v>
      </c>
      <c r="E143" s="8" t="n">
        <f aca="false">INDEX(Mapping!$C$2:$C$99,MATCH(E$1&amp;"|"&amp;Customers!E143,Mapping!$D$2:$D$99,0))</f>
        <v>2</v>
      </c>
      <c r="F143" s="8" t="n">
        <f aca="false">INDEX(Mapping!$C$2:$C$99,MATCH(F$1&amp;"|"&amp;Customers!F143,Mapping!$D$2:$D$99,0))</f>
        <v>1</v>
      </c>
      <c r="G143" s="8" t="n">
        <f aca="false">INDEX(Mapping!$C$2:$C$99,MATCH(G$1&amp;"|"&amp;Customers!G143,Mapping!$D$2:$D$99,0))</f>
        <v>1</v>
      </c>
      <c r="H143" s="8" t="n">
        <f aca="false">INDEX(Mapping!$C$2:$C$99,MATCH(H$1&amp;"|"&amp;Customers!H143,Mapping!$D$2:$D$99,0))</f>
        <v>1</v>
      </c>
      <c r="I143" s="8" t="n">
        <f aca="false">INDEX(Mapping!$C$2:$C$99,MATCH(I$1&amp;"|"&amp;Customers!I143,Mapping!$D$2:$D$99,0))</f>
        <v>1</v>
      </c>
      <c r="J143" s="8" t="n">
        <f aca="false">INDEX(Mapping!$C$2:$C$99,MATCH(J$1&amp;"|"&amp;Customers!J143,Mapping!$D$2:$D$99,0))</f>
        <v>1</v>
      </c>
      <c r="K143" s="8" t="n">
        <f aca="false">INDEX(Mapping!$C$2:$C$99,MATCH(K$1&amp;"|"&amp;Customers!K143,Mapping!$D$2:$D$99,0))</f>
        <v>3</v>
      </c>
      <c r="L143" s="8" t="n">
        <f aca="false">INDEX(Mapping!$C$2:$C$99,MATCH(L$1&amp;"|"&amp;Customers!L143,Mapping!$D$2:$D$99,0))</f>
        <v>2</v>
      </c>
      <c r="M143" s="8" t="n">
        <f aca="false">INDEX(Mapping!$C$2:$C$99,MATCH(M$1&amp;"|"&amp;Customers!M143,Mapping!$D$2:$D$99,0))</f>
        <v>1</v>
      </c>
      <c r="N143" s="8" t="n">
        <f aca="false">INDEX(Mapping!$C$2:$C$99,MATCH(N$1&amp;"|"&amp;Customers!N143,Mapping!$D$2:$D$99,0))</f>
        <v>2</v>
      </c>
      <c r="O143" s="8" t="n">
        <f aca="false">INDEX(Mapping!$C$2:$C$99,MATCH(O$1&amp;"|"&amp;Customers!O143,Mapping!$D$2:$D$99,0))</f>
        <v>3</v>
      </c>
      <c r="P143" s="8" t="n">
        <f aca="false">INDEX(Mapping!$C$2:$C$99,MATCH(P$1&amp;"|"&amp;Customers!P143,Mapping!$D$2:$D$99,0))</f>
        <v>3</v>
      </c>
      <c r="Q143" s="8" t="n">
        <f aca="false">INDEX(Mapping!$C$2:$C$99,MATCH(Q$1&amp;"|"&amp;Customers!Q143,Mapping!$D$2:$D$99,0))</f>
        <v>1</v>
      </c>
      <c r="R143" s="8" t="n">
        <f aca="false">INDEX(Mapping!$C$2:$C$99,MATCH(R$1&amp;"|"&amp;Customers!R143,Mapping!$D$2:$D$99,0))</f>
        <v>2</v>
      </c>
      <c r="S143" s="8" t="n">
        <f aca="false">INDEX(Mapping!$C$2:$C$99,MATCH(S$1&amp;"|"&amp;Customers!S143,Mapping!$D$2:$D$99,0))</f>
        <v>2</v>
      </c>
      <c r="T143" s="8" t="n">
        <f aca="false">INDEX(Mapping!$C$2:$C$99,MATCH(T$1&amp;"|"&amp;Customers!T143,Mapping!$D$2:$D$99,0))</f>
        <v>1</v>
      </c>
      <c r="U143" s="8" t="n">
        <f aca="false">INDEX(Mapping!$C$2:$C$99,MATCH(U$1&amp;"|"&amp;Customers!U143,Mapping!$D$2:$D$99,0))</f>
        <v>1</v>
      </c>
      <c r="V143" s="8" t="n">
        <f aca="false">INDEX(Mapping!$C$2:$C$99,MATCH(V$1&amp;"|"&amp;Customers!V143,Mapping!$D$2:$D$99,0))</f>
        <v>1</v>
      </c>
      <c r="W143" s="17" t="n">
        <f aca="false">SUMPRODUCT($C143:$V143,Weights!$C$27:$V$27)</f>
        <v>1.5375</v>
      </c>
      <c r="X143" s="18" t="n">
        <f aca="false">ROUND($W143,2)</f>
        <v>1.54</v>
      </c>
      <c r="Y143" s="8" t="str">
        <f aca="false">IF($X143&lt;=2,"Low",IF($X143&lt;=3.49,"Medium","High"))</f>
        <v>Low</v>
      </c>
      <c r="Z143" s="8" t="str">
        <f aca="false">IF(OR($F143&gt;=3,$E143=5,$D143=5,$C143=5,$G143=5,$H143=5,$I143=5,$J143=5,Customers!$W143="Yes"),"Yes","No")</f>
        <v>Yes</v>
      </c>
      <c r="AA143" s="15" t="str">
        <f aca="false">IF($Z143="Yes","High",$Y143)</f>
        <v>High</v>
      </c>
      <c r="AB143" s="18" t="n">
        <f aca="false">SUMPRODUCT($C143:$G143,Weights!$C$28:$G$28)</f>
        <v>1.25</v>
      </c>
      <c r="AC143" s="18" t="n">
        <f aca="false">SUMPRODUCT($H143:$J143,Weights!$H$28:$J$28)</f>
        <v>1</v>
      </c>
      <c r="AD143" s="18" t="n">
        <f aca="false">SUMPRODUCT($K143:$N143,Weights!$K$28:$N$28)</f>
        <v>2.1</v>
      </c>
      <c r="AE143" s="18" t="n">
        <f aca="false">SUMPRODUCT($O143:$Q143,Weights!$O$28:$Q$28)</f>
        <v>2.6</v>
      </c>
      <c r="AF143" s="18" t="n">
        <f aca="false">SUMPRODUCT($R143:$V143,Weights!$R$28:$V$28)</f>
        <v>1.55</v>
      </c>
      <c r="AH143" s="18" t="n">
        <f aca="false">SUMPRODUCT($AB143:$AF143,Validation!$D$7:$H$7)</f>
        <v>1.57857142857165</v>
      </c>
      <c r="AI143" s="18" t="n">
        <f aca="false">SUMPRODUCT($AB143:$AF143,Validation!$D$8:$H$8)</f>
        <v>1.49642857142835</v>
      </c>
      <c r="AJ143" s="18" t="n">
        <f aca="false">SUMPRODUCT($AB143:$AF143,Validation!$D$9:$H$9)</f>
        <v>1.6091666666665</v>
      </c>
      <c r="AK143" s="18" t="n">
        <f aca="false">SUMPRODUCT($AB143:$AF143,Validation!$D$10:$H$10)</f>
        <v>1.4658333333335</v>
      </c>
      <c r="AL143" s="18" t="n">
        <f aca="false">SUMPRODUCT($AB143:$AF143,Validation!$D$11:$H$11)</f>
        <v>1.4671875</v>
      </c>
      <c r="AM143" s="18" t="n">
        <f aca="false">SUMPRODUCT($AB143:$AF143,Validation!$D$12:$H$12)</f>
        <v>1.6078125</v>
      </c>
      <c r="AN143" s="18" t="n">
        <f aca="false">SUMPRODUCT($AB143:$AF143,Validation!$D$13:$H$13)</f>
        <v>1.4194444444443</v>
      </c>
      <c r="AO143" s="18" t="n">
        <f aca="false">SUMPRODUCT($AB143:$AF143,Validation!$D$14:$H$14)</f>
        <v>1.6555555555557</v>
      </c>
      <c r="AP143" s="18" t="n">
        <f aca="false">SUMPRODUCT($AB143:$AF143,Validation!$D$15:$H$15)</f>
        <v>1.53602941176445</v>
      </c>
      <c r="AQ143" s="18" t="n">
        <f aca="false">SUMPRODUCT($AB143:$AF143,Validation!$D$16:$H$16)</f>
        <v>1.53897058823555</v>
      </c>
      <c r="AR143" s="8" t="n">
        <f aca="false">COUNTIF($C143:$V143,"&gt;=4")</f>
        <v>0</v>
      </c>
      <c r="AS143" s="8" t="str">
        <f aca="false">IF($X143&lt;=1.6,"Low",IF($X143&lt;=2.2,"Medium","High"))</f>
        <v>Low</v>
      </c>
      <c r="AT143" s="8" t="str">
        <f aca="false">IF($AR143=0,"Low",IF($AR143&lt;3,"Medium","High"))</f>
        <v>Low</v>
      </c>
      <c r="AU143" s="8" t="str">
        <f aca="false">IF(OR($AS143="High",$AT143="High"),"High",IF(OR($AS143="Medium",$AT143="Medium"),"Medium","Low"))</f>
        <v>Low</v>
      </c>
      <c r="AV143" s="15" t="str">
        <f aca="false">IF($Z143="Yes","High",$AU143)</f>
        <v>High</v>
      </c>
    </row>
    <row r="144" customFormat="false" ht="15" hidden="false" customHeight="false" outlineLevel="0" collapsed="false">
      <c r="A144" s="7" t="str">
        <f aca="false">Customers!$A144</f>
        <v>NG-10392</v>
      </c>
      <c r="B144" s="7" t="str">
        <f aca="false">Customers!$B144</f>
        <v>Limited company</v>
      </c>
      <c r="C144" s="8" t="n">
        <f aca="false">INDEX(Mapping!$C$2:$C$99,MATCH(C$1&amp;"|"&amp;Customers!C144,Mapping!$D$2:$D$99,0))</f>
        <v>4</v>
      </c>
      <c r="D144" s="8" t="n">
        <f aca="false">INDEX(Mapping!$C$2:$C$99,MATCH(D$1&amp;"|"&amp;Customers!D144,Mapping!$D$2:$D$99,0))</f>
        <v>2</v>
      </c>
      <c r="E144" s="8" t="n">
        <f aca="false">INDEX(Mapping!$C$2:$C$99,MATCH(E$1&amp;"|"&amp;Customers!E144,Mapping!$D$2:$D$99,0))</f>
        <v>3</v>
      </c>
      <c r="F144" s="8" t="n">
        <f aca="false">INDEX(Mapping!$C$2:$C$99,MATCH(F$1&amp;"|"&amp;Customers!F144,Mapping!$D$2:$D$99,0))</f>
        <v>1</v>
      </c>
      <c r="G144" s="8" t="n">
        <f aca="false">INDEX(Mapping!$C$2:$C$99,MATCH(G$1&amp;"|"&amp;Customers!G144,Mapping!$D$2:$D$99,0))</f>
        <v>1</v>
      </c>
      <c r="H144" s="8" t="n">
        <f aca="false">INDEX(Mapping!$C$2:$C$99,MATCH(H$1&amp;"|"&amp;Customers!H144,Mapping!$D$2:$D$99,0))</f>
        <v>1</v>
      </c>
      <c r="I144" s="8" t="n">
        <f aca="false">INDEX(Mapping!$C$2:$C$99,MATCH(I$1&amp;"|"&amp;Customers!I144,Mapping!$D$2:$D$99,0))</f>
        <v>1</v>
      </c>
      <c r="J144" s="8" t="n">
        <f aca="false">INDEX(Mapping!$C$2:$C$99,MATCH(J$1&amp;"|"&amp;Customers!J144,Mapping!$D$2:$D$99,0))</f>
        <v>3</v>
      </c>
      <c r="K144" s="8" t="n">
        <f aca="false">INDEX(Mapping!$C$2:$C$99,MATCH(K$1&amp;"|"&amp;Customers!K144,Mapping!$D$2:$D$99,0))</f>
        <v>5</v>
      </c>
      <c r="L144" s="8" t="n">
        <f aca="false">INDEX(Mapping!$C$2:$C$99,MATCH(L$1&amp;"|"&amp;Customers!L144,Mapping!$D$2:$D$99,0))</f>
        <v>5</v>
      </c>
      <c r="M144" s="8" t="n">
        <f aca="false">INDEX(Mapping!$C$2:$C$99,MATCH(M$1&amp;"|"&amp;Customers!M144,Mapping!$D$2:$D$99,0))</f>
        <v>4</v>
      </c>
      <c r="N144" s="8" t="n">
        <f aca="false">INDEX(Mapping!$C$2:$C$99,MATCH(N$1&amp;"|"&amp;Customers!N144,Mapping!$D$2:$D$99,0))</f>
        <v>3</v>
      </c>
      <c r="O144" s="8" t="n">
        <f aca="false">INDEX(Mapping!$C$2:$C$99,MATCH(O$1&amp;"|"&amp;Customers!O144,Mapping!$D$2:$D$99,0))</f>
        <v>3</v>
      </c>
      <c r="P144" s="8" t="n">
        <f aca="false">INDEX(Mapping!$C$2:$C$99,MATCH(P$1&amp;"|"&amp;Customers!P144,Mapping!$D$2:$D$99,0))</f>
        <v>3</v>
      </c>
      <c r="Q144" s="8" t="n">
        <f aca="false">INDEX(Mapping!$C$2:$C$99,MATCH(Q$1&amp;"|"&amp;Customers!Q144,Mapping!$D$2:$D$99,0))</f>
        <v>4</v>
      </c>
      <c r="R144" s="8" t="n">
        <f aca="false">INDEX(Mapping!$C$2:$C$99,MATCH(R$1&amp;"|"&amp;Customers!R144,Mapping!$D$2:$D$99,0))</f>
        <v>3</v>
      </c>
      <c r="S144" s="8" t="n">
        <f aca="false">INDEX(Mapping!$C$2:$C$99,MATCH(S$1&amp;"|"&amp;Customers!S144,Mapping!$D$2:$D$99,0))</f>
        <v>1</v>
      </c>
      <c r="T144" s="8" t="n">
        <f aca="false">INDEX(Mapping!$C$2:$C$99,MATCH(T$1&amp;"|"&amp;Customers!T144,Mapping!$D$2:$D$99,0))</f>
        <v>1</v>
      </c>
      <c r="U144" s="8" t="n">
        <f aca="false">INDEX(Mapping!$C$2:$C$99,MATCH(U$1&amp;"|"&amp;Customers!U144,Mapping!$D$2:$D$99,0))</f>
        <v>2</v>
      </c>
      <c r="V144" s="8" t="n">
        <f aca="false">INDEX(Mapping!$C$2:$C$99,MATCH(V$1&amp;"|"&amp;Customers!V144,Mapping!$D$2:$D$99,0))</f>
        <v>1</v>
      </c>
      <c r="W144" s="17" t="n">
        <f aca="false">SUMPRODUCT($C144:$V144,Weights!$C$27:$V$27)</f>
        <v>2.5975</v>
      </c>
      <c r="X144" s="18" t="n">
        <f aca="false">ROUND($W144,2)</f>
        <v>2.6</v>
      </c>
      <c r="Y144" s="8" t="str">
        <f aca="false">IF($X144&lt;=2,"Low",IF($X144&lt;=3.49,"Medium","High"))</f>
        <v>Medium</v>
      </c>
      <c r="Z144" s="8" t="str">
        <f aca="false">IF(OR($F144&gt;=3,$E144=5,$D144=5,$C144=5,$G144=5,$H144=5,$I144=5,$J144=5,Customers!$W144="Yes"),"Yes","No")</f>
        <v>No</v>
      </c>
      <c r="AA144" s="15" t="str">
        <f aca="false">IF($Z144="Yes","High",$Y144)</f>
        <v>Medium</v>
      </c>
      <c r="AB144" s="18" t="n">
        <f aca="false">SUMPRODUCT($C144:$G144,Weights!$C$28:$G$28)</f>
        <v>2.3</v>
      </c>
      <c r="AC144" s="18" t="n">
        <f aca="false">SUMPRODUCT($H144:$J144,Weights!$H$28:$J$28)</f>
        <v>1.8</v>
      </c>
      <c r="AD144" s="18" t="n">
        <f aca="false">SUMPRODUCT($K144:$N144,Weights!$K$28:$N$28)</f>
        <v>4.45</v>
      </c>
      <c r="AE144" s="18" t="n">
        <f aca="false">SUMPRODUCT($O144:$Q144,Weights!$O$28:$Q$28)</f>
        <v>3.2</v>
      </c>
      <c r="AF144" s="18" t="n">
        <f aca="false">SUMPRODUCT($R144:$V144,Weights!$R$28:$V$28)</f>
        <v>1.65</v>
      </c>
      <c r="AH144" s="18" t="n">
        <f aca="false">SUMPRODUCT($AB144:$AF144,Validation!$D$7:$H$7)</f>
        <v>2.6399999999992</v>
      </c>
      <c r="AI144" s="18" t="n">
        <f aca="false">SUMPRODUCT($AB144:$AF144,Validation!$D$8:$H$8)</f>
        <v>2.5550000000008</v>
      </c>
      <c r="AJ144" s="18" t="n">
        <f aca="false">SUMPRODUCT($AB144:$AF144,Validation!$D$9:$H$9)</f>
        <v>2.70383333333375</v>
      </c>
      <c r="AK144" s="18" t="n">
        <f aca="false">SUMPRODUCT($AB144:$AF144,Validation!$D$10:$H$10)</f>
        <v>2.49116666666625</v>
      </c>
      <c r="AL144" s="18" t="n">
        <f aca="false">SUMPRODUCT($AB144:$AF144,Validation!$D$11:$H$11)</f>
        <v>2.3659375</v>
      </c>
      <c r="AM144" s="18" t="n">
        <f aca="false">SUMPRODUCT($AB144:$AF144,Validation!$D$12:$H$12)</f>
        <v>2.8290625</v>
      </c>
      <c r="AN144" s="18" t="n">
        <f aca="false">SUMPRODUCT($AB144:$AF144,Validation!$D$13:$H$13)</f>
        <v>2.53055555555475</v>
      </c>
      <c r="AO144" s="18" t="n">
        <f aca="false">SUMPRODUCT($AB144:$AF144,Validation!$D$14:$H$14)</f>
        <v>2.66444444444525</v>
      </c>
      <c r="AP144" s="18" t="n">
        <f aca="false">SUMPRODUCT($AB144:$AF144,Validation!$D$15:$H$15)</f>
        <v>2.70897058823555</v>
      </c>
      <c r="AQ144" s="18" t="n">
        <f aca="false">SUMPRODUCT($AB144:$AF144,Validation!$D$16:$H$16)</f>
        <v>2.48602941176445</v>
      </c>
      <c r="AR144" s="8" t="n">
        <f aca="false">COUNTIF($C144:$V144,"&gt;=4")</f>
        <v>5</v>
      </c>
      <c r="AS144" s="8" t="str">
        <f aca="false">IF($X144&lt;=1.6,"Low",IF($X144&lt;=2.2,"Medium","High"))</f>
        <v>High</v>
      </c>
      <c r="AT144" s="8" t="str">
        <f aca="false">IF($AR144=0,"Low",IF($AR144&lt;3,"Medium","High"))</f>
        <v>High</v>
      </c>
      <c r="AU144" s="8" t="str">
        <f aca="false">IF(OR($AS144="High",$AT144="High"),"High",IF(OR($AS144="Medium",$AT144="Medium"),"Medium","Low"))</f>
        <v>High</v>
      </c>
      <c r="AV144" s="15" t="str">
        <f aca="false">IF($Z144="Yes","High",$AU144)</f>
        <v>High</v>
      </c>
    </row>
    <row r="145" customFormat="false" ht="15" hidden="false" customHeight="false" outlineLevel="0" collapsed="false">
      <c r="A145" s="7" t="str">
        <f aca="false">Customers!$A145</f>
        <v>NG-10331</v>
      </c>
      <c r="B145" s="7" t="str">
        <f aca="false">Customers!$B145</f>
        <v>Sole trader</v>
      </c>
      <c r="C145" s="8" t="n">
        <f aca="false">INDEX(Mapping!$C$2:$C$99,MATCH(C$1&amp;"|"&amp;Customers!C145,Mapping!$D$2:$D$99,0))</f>
        <v>2</v>
      </c>
      <c r="D145" s="8" t="n">
        <f aca="false">INDEX(Mapping!$C$2:$C$99,MATCH(D$1&amp;"|"&amp;Customers!D145,Mapping!$D$2:$D$99,0))</f>
        <v>1</v>
      </c>
      <c r="E145" s="8" t="n">
        <f aca="false">INDEX(Mapping!$C$2:$C$99,MATCH(E$1&amp;"|"&amp;Customers!E145,Mapping!$D$2:$D$99,0))</f>
        <v>4</v>
      </c>
      <c r="F145" s="8" t="n">
        <f aca="false">INDEX(Mapping!$C$2:$C$99,MATCH(F$1&amp;"|"&amp;Customers!F145,Mapping!$D$2:$D$99,0))</f>
        <v>1</v>
      </c>
      <c r="G145" s="8" t="n">
        <f aca="false">INDEX(Mapping!$C$2:$C$99,MATCH(G$1&amp;"|"&amp;Customers!G145,Mapping!$D$2:$D$99,0))</f>
        <v>1</v>
      </c>
      <c r="H145" s="8" t="n">
        <f aca="false">INDEX(Mapping!$C$2:$C$99,MATCH(H$1&amp;"|"&amp;Customers!H145,Mapping!$D$2:$D$99,0))</f>
        <v>1</v>
      </c>
      <c r="I145" s="8" t="n">
        <f aca="false">INDEX(Mapping!$C$2:$C$99,MATCH(I$1&amp;"|"&amp;Customers!I145,Mapping!$D$2:$D$99,0))</f>
        <v>1</v>
      </c>
      <c r="J145" s="8" t="n">
        <f aca="false">INDEX(Mapping!$C$2:$C$99,MATCH(J$1&amp;"|"&amp;Customers!J145,Mapping!$D$2:$D$99,0))</f>
        <v>2</v>
      </c>
      <c r="K145" s="8" t="n">
        <f aca="false">INDEX(Mapping!$C$2:$C$99,MATCH(K$1&amp;"|"&amp;Customers!K145,Mapping!$D$2:$D$99,0))</f>
        <v>4</v>
      </c>
      <c r="L145" s="8" t="n">
        <f aca="false">INDEX(Mapping!$C$2:$C$99,MATCH(L$1&amp;"|"&amp;Customers!L145,Mapping!$D$2:$D$99,0))</f>
        <v>4</v>
      </c>
      <c r="M145" s="8" t="n">
        <f aca="false">INDEX(Mapping!$C$2:$C$99,MATCH(M$1&amp;"|"&amp;Customers!M145,Mapping!$D$2:$D$99,0))</f>
        <v>2</v>
      </c>
      <c r="N145" s="8" t="n">
        <f aca="false">INDEX(Mapping!$C$2:$C$99,MATCH(N$1&amp;"|"&amp;Customers!N145,Mapping!$D$2:$D$99,0))</f>
        <v>1</v>
      </c>
      <c r="O145" s="8" t="n">
        <f aca="false">INDEX(Mapping!$C$2:$C$99,MATCH(O$1&amp;"|"&amp;Customers!O145,Mapping!$D$2:$D$99,0))</f>
        <v>1</v>
      </c>
      <c r="P145" s="8" t="n">
        <f aca="false">INDEX(Mapping!$C$2:$C$99,MATCH(P$1&amp;"|"&amp;Customers!P145,Mapping!$D$2:$D$99,0))</f>
        <v>1</v>
      </c>
      <c r="Q145" s="8" t="n">
        <f aca="false">INDEX(Mapping!$C$2:$C$99,MATCH(Q$1&amp;"|"&amp;Customers!Q145,Mapping!$D$2:$D$99,0))</f>
        <v>1</v>
      </c>
      <c r="R145" s="8" t="n">
        <f aca="false">INDEX(Mapping!$C$2:$C$99,MATCH(R$1&amp;"|"&amp;Customers!R145,Mapping!$D$2:$D$99,0))</f>
        <v>2</v>
      </c>
      <c r="S145" s="8" t="n">
        <f aca="false">INDEX(Mapping!$C$2:$C$99,MATCH(S$1&amp;"|"&amp;Customers!S145,Mapping!$D$2:$D$99,0))</f>
        <v>4</v>
      </c>
      <c r="T145" s="8" t="n">
        <f aca="false">INDEX(Mapping!$C$2:$C$99,MATCH(T$1&amp;"|"&amp;Customers!T145,Mapping!$D$2:$D$99,0))</f>
        <v>3</v>
      </c>
      <c r="U145" s="8" t="n">
        <f aca="false">INDEX(Mapping!$C$2:$C$99,MATCH(U$1&amp;"|"&amp;Customers!U145,Mapping!$D$2:$D$99,0))</f>
        <v>3</v>
      </c>
      <c r="V145" s="8" t="n">
        <f aca="false">INDEX(Mapping!$C$2:$C$99,MATCH(V$1&amp;"|"&amp;Customers!V145,Mapping!$D$2:$D$99,0))</f>
        <v>2</v>
      </c>
      <c r="W145" s="17" t="n">
        <f aca="false">SUMPRODUCT($C145:$V145,Weights!$C$27:$V$27)</f>
        <v>2.0875</v>
      </c>
      <c r="X145" s="18" t="n">
        <f aca="false">ROUND($W145,2)</f>
        <v>2.09</v>
      </c>
      <c r="Y145" s="8" t="str">
        <f aca="false">IF($X145&lt;=2,"Low",IF($X145&lt;=3.49,"Medium","High"))</f>
        <v>Medium</v>
      </c>
      <c r="Z145" s="8" t="str">
        <f aca="false">IF(OR($F145&gt;=3,$E145=5,$D145=5,$C145=5,$G145=5,$H145=5,$I145=5,$J145=5,Customers!$W145="Yes"),"Yes","No")</f>
        <v>No</v>
      </c>
      <c r="AA145" s="15" t="str">
        <f aca="false">IF($Z145="Yes","High",$Y145)</f>
        <v>Medium</v>
      </c>
      <c r="AB145" s="18" t="n">
        <f aca="false">SUMPRODUCT($C145:$G145,Weights!$C$28:$G$28)</f>
        <v>1.95</v>
      </c>
      <c r="AC145" s="18" t="n">
        <f aca="false">SUMPRODUCT($H145:$J145,Weights!$H$28:$J$28)</f>
        <v>1.4</v>
      </c>
      <c r="AD145" s="18" t="n">
        <f aca="false">SUMPRODUCT($K145:$N145,Weights!$K$28:$N$28)</f>
        <v>3.05</v>
      </c>
      <c r="AE145" s="18" t="n">
        <f aca="false">SUMPRODUCT($O145:$Q145,Weights!$O$28:$Q$28)</f>
        <v>1</v>
      </c>
      <c r="AF145" s="18" t="n">
        <f aca="false">SUMPRODUCT($R145:$V145,Weights!$R$28:$V$28)</f>
        <v>2.95</v>
      </c>
      <c r="AH145" s="18" t="n">
        <f aca="false">SUMPRODUCT($AB145:$AF145,Validation!$D$7:$H$7)</f>
        <v>2.1071428571427</v>
      </c>
      <c r="AI145" s="18" t="n">
        <f aca="false">SUMPRODUCT($AB145:$AF145,Validation!$D$8:$H$8)</f>
        <v>2.0678571428573</v>
      </c>
      <c r="AJ145" s="18" t="n">
        <f aca="false">SUMPRODUCT($AB145:$AF145,Validation!$D$9:$H$9)</f>
        <v>2.17916666666735</v>
      </c>
      <c r="AK145" s="18" t="n">
        <f aca="false">SUMPRODUCT($AB145:$AF145,Validation!$D$10:$H$10)</f>
        <v>1.99583333333265</v>
      </c>
      <c r="AL145" s="18" t="n">
        <f aca="false">SUMPRODUCT($AB145:$AF145,Validation!$D$11:$H$11)</f>
        <v>1.9671875</v>
      </c>
      <c r="AM145" s="18" t="n">
        <f aca="false">SUMPRODUCT($AB145:$AF145,Validation!$D$12:$H$12)</f>
        <v>2.2078125</v>
      </c>
      <c r="AN145" s="18" t="n">
        <f aca="false">SUMPRODUCT($AB145:$AF145,Validation!$D$13:$H$13)</f>
        <v>2.2083333333333</v>
      </c>
      <c r="AO145" s="18" t="n">
        <f aca="false">SUMPRODUCT($AB145:$AF145,Validation!$D$14:$H$14)</f>
        <v>1.9666666666667</v>
      </c>
      <c r="AP145" s="18" t="n">
        <f aca="false">SUMPRODUCT($AB145:$AF145,Validation!$D$15:$H$15)</f>
        <v>1.9860294117653</v>
      </c>
      <c r="AQ145" s="18" t="n">
        <f aca="false">SUMPRODUCT($AB145:$AF145,Validation!$D$16:$H$16)</f>
        <v>2.1889705882347</v>
      </c>
      <c r="AR145" s="8" t="n">
        <f aca="false">COUNTIF($C145:$V145,"&gt;=4")</f>
        <v>4</v>
      </c>
      <c r="AS145" s="8" t="str">
        <f aca="false">IF($X145&lt;=1.6,"Low",IF($X145&lt;=2.2,"Medium","High"))</f>
        <v>Medium</v>
      </c>
      <c r="AT145" s="8" t="str">
        <f aca="false">IF($AR145=0,"Low",IF($AR145&lt;3,"Medium","High"))</f>
        <v>High</v>
      </c>
      <c r="AU145" s="8" t="str">
        <f aca="false">IF(OR($AS145="High",$AT145="High"),"High",IF(OR($AS145="Medium",$AT145="Medium"),"Medium","Low"))</f>
        <v>High</v>
      </c>
      <c r="AV145" s="15" t="str">
        <f aca="false">IF($Z145="Yes","High",$AU145)</f>
        <v>High</v>
      </c>
    </row>
    <row r="146" customFormat="false" ht="15" hidden="false" customHeight="false" outlineLevel="0" collapsed="false">
      <c r="A146" s="7" t="str">
        <f aca="false">Customers!$A146</f>
        <v>NG-10390</v>
      </c>
      <c r="B146" s="7" t="str">
        <f aca="false">Customers!$B146</f>
        <v>Limited company</v>
      </c>
      <c r="C146" s="8" t="n">
        <f aca="false">INDEX(Mapping!$C$2:$C$99,MATCH(C$1&amp;"|"&amp;Customers!C146,Mapping!$D$2:$D$99,0))</f>
        <v>3</v>
      </c>
      <c r="D146" s="8" t="n">
        <f aca="false">INDEX(Mapping!$C$2:$C$99,MATCH(D$1&amp;"|"&amp;Customers!D146,Mapping!$D$2:$D$99,0))</f>
        <v>4</v>
      </c>
      <c r="E146" s="8" t="n">
        <f aca="false">INDEX(Mapping!$C$2:$C$99,MATCH(E$1&amp;"|"&amp;Customers!E146,Mapping!$D$2:$D$99,0))</f>
        <v>3</v>
      </c>
      <c r="F146" s="8" t="n">
        <f aca="false">INDEX(Mapping!$C$2:$C$99,MATCH(F$1&amp;"|"&amp;Customers!F146,Mapping!$D$2:$D$99,0))</f>
        <v>1</v>
      </c>
      <c r="G146" s="8" t="n">
        <f aca="false">INDEX(Mapping!$C$2:$C$99,MATCH(G$1&amp;"|"&amp;Customers!G146,Mapping!$D$2:$D$99,0))</f>
        <v>1</v>
      </c>
      <c r="H146" s="8" t="n">
        <f aca="false">INDEX(Mapping!$C$2:$C$99,MATCH(H$1&amp;"|"&amp;Customers!H146,Mapping!$D$2:$D$99,0))</f>
        <v>1</v>
      </c>
      <c r="I146" s="8" t="n">
        <f aca="false">INDEX(Mapping!$C$2:$C$99,MATCH(I$1&amp;"|"&amp;Customers!I146,Mapping!$D$2:$D$99,0))</f>
        <v>1</v>
      </c>
      <c r="J146" s="8" t="n">
        <f aca="false">INDEX(Mapping!$C$2:$C$99,MATCH(J$1&amp;"|"&amp;Customers!J146,Mapping!$D$2:$D$99,0))</f>
        <v>3</v>
      </c>
      <c r="K146" s="8" t="n">
        <f aca="false">INDEX(Mapping!$C$2:$C$99,MATCH(K$1&amp;"|"&amp;Customers!K146,Mapping!$D$2:$D$99,0))</f>
        <v>4</v>
      </c>
      <c r="L146" s="8" t="n">
        <f aca="false">INDEX(Mapping!$C$2:$C$99,MATCH(L$1&amp;"|"&amp;Customers!L146,Mapping!$D$2:$D$99,0))</f>
        <v>2</v>
      </c>
      <c r="M146" s="8" t="n">
        <f aca="false">INDEX(Mapping!$C$2:$C$99,MATCH(M$1&amp;"|"&amp;Customers!M146,Mapping!$D$2:$D$99,0))</f>
        <v>3</v>
      </c>
      <c r="N146" s="8" t="n">
        <f aca="false">INDEX(Mapping!$C$2:$C$99,MATCH(N$1&amp;"|"&amp;Customers!N146,Mapping!$D$2:$D$99,0))</f>
        <v>3</v>
      </c>
      <c r="O146" s="8" t="n">
        <f aca="false">INDEX(Mapping!$C$2:$C$99,MATCH(O$1&amp;"|"&amp;Customers!O146,Mapping!$D$2:$D$99,0))</f>
        <v>3</v>
      </c>
      <c r="P146" s="8" t="n">
        <f aca="false">INDEX(Mapping!$C$2:$C$99,MATCH(P$1&amp;"|"&amp;Customers!P146,Mapping!$D$2:$D$99,0))</f>
        <v>2</v>
      </c>
      <c r="Q146" s="8" t="n">
        <f aca="false">INDEX(Mapping!$C$2:$C$99,MATCH(Q$1&amp;"|"&amp;Customers!Q146,Mapping!$D$2:$D$99,0))</f>
        <v>1</v>
      </c>
      <c r="R146" s="8" t="n">
        <f aca="false">INDEX(Mapping!$C$2:$C$99,MATCH(R$1&amp;"|"&amp;Customers!R146,Mapping!$D$2:$D$99,0))</f>
        <v>3</v>
      </c>
      <c r="S146" s="8" t="n">
        <f aca="false">INDEX(Mapping!$C$2:$C$99,MATCH(S$1&amp;"|"&amp;Customers!S146,Mapping!$D$2:$D$99,0))</f>
        <v>5</v>
      </c>
      <c r="T146" s="8" t="n">
        <f aca="false">INDEX(Mapping!$C$2:$C$99,MATCH(T$1&amp;"|"&amp;Customers!T146,Mapping!$D$2:$D$99,0))</f>
        <v>1</v>
      </c>
      <c r="U146" s="8" t="n">
        <f aca="false">INDEX(Mapping!$C$2:$C$99,MATCH(U$1&amp;"|"&amp;Customers!U146,Mapping!$D$2:$D$99,0))</f>
        <v>2</v>
      </c>
      <c r="V146" s="8" t="n">
        <f aca="false">INDEX(Mapping!$C$2:$C$99,MATCH(V$1&amp;"|"&amp;Customers!V146,Mapping!$D$2:$D$99,0))</f>
        <v>1</v>
      </c>
      <c r="W146" s="17" t="n">
        <f aca="false">SUMPRODUCT($C146:$V146,Weights!$C$27:$V$27)</f>
        <v>2.4725</v>
      </c>
      <c r="X146" s="18" t="n">
        <f aca="false">ROUND($W146,2)</f>
        <v>2.47</v>
      </c>
      <c r="Y146" s="8" t="str">
        <f aca="false">IF($X146&lt;=2,"Low",IF($X146&lt;=3.49,"Medium","High"))</f>
        <v>Medium</v>
      </c>
      <c r="Z146" s="8" t="str">
        <f aca="false">IF(OR($F146&gt;=3,$E146=5,$D146=5,$C146=5,$G146=5,$H146=5,$I146=5,$J146=5,Customers!$W146="Yes"),"Yes","No")</f>
        <v>No</v>
      </c>
      <c r="AA146" s="15" t="str">
        <f aca="false">IF($Z146="Yes","High",$Y146)</f>
        <v>Medium</v>
      </c>
      <c r="AB146" s="18" t="n">
        <f aca="false">SUMPRODUCT($C146:$G146,Weights!$C$28:$G$28)</f>
        <v>2.5</v>
      </c>
      <c r="AC146" s="18" t="n">
        <f aca="false">SUMPRODUCT($H146:$J146,Weights!$H$28:$J$28)</f>
        <v>1.8</v>
      </c>
      <c r="AD146" s="18" t="n">
        <f aca="false">SUMPRODUCT($K146:$N146,Weights!$K$28:$N$28)</f>
        <v>3.1</v>
      </c>
      <c r="AE146" s="18" t="n">
        <f aca="false">SUMPRODUCT($O146:$Q146,Weights!$O$28:$Q$28)</f>
        <v>2.25</v>
      </c>
      <c r="AF146" s="18" t="n">
        <f aca="false">SUMPRODUCT($R146:$V146,Weights!$R$28:$V$28)</f>
        <v>2.85</v>
      </c>
      <c r="AH146" s="18" t="n">
        <f aca="false">SUMPRODUCT($AB146:$AF146,Validation!$D$7:$H$7)</f>
        <v>2.46857142857145</v>
      </c>
      <c r="AI146" s="18" t="n">
        <f aca="false">SUMPRODUCT($AB146:$AF146,Validation!$D$8:$H$8)</f>
        <v>2.47642857142855</v>
      </c>
      <c r="AJ146" s="18" t="n">
        <f aca="false">SUMPRODUCT($AB146:$AF146,Validation!$D$9:$H$9)</f>
        <v>2.56216666666695</v>
      </c>
      <c r="AK146" s="18" t="n">
        <f aca="false">SUMPRODUCT($AB146:$AF146,Validation!$D$10:$H$10)</f>
        <v>2.38283333333305</v>
      </c>
      <c r="AL146" s="18" t="n">
        <f aca="false">SUMPRODUCT($AB146:$AF146,Validation!$D$11:$H$11)</f>
        <v>2.3940625</v>
      </c>
      <c r="AM146" s="18" t="n">
        <f aca="false">SUMPRODUCT($AB146:$AF146,Validation!$D$12:$H$12)</f>
        <v>2.5509375</v>
      </c>
      <c r="AN146" s="18" t="n">
        <f aca="false">SUMPRODUCT($AB146:$AF146,Validation!$D$13:$H$13)</f>
        <v>2.49722222222205</v>
      </c>
      <c r="AO146" s="18" t="n">
        <f aca="false">SUMPRODUCT($AB146:$AF146,Validation!$D$14:$H$14)</f>
        <v>2.44777777777795</v>
      </c>
      <c r="AP146" s="18" t="n">
        <f aca="false">SUMPRODUCT($AB146:$AF146,Validation!$D$15:$H$15)</f>
        <v>2.4280882352943</v>
      </c>
      <c r="AQ146" s="18" t="n">
        <f aca="false">SUMPRODUCT($AB146:$AF146,Validation!$D$16:$H$16)</f>
        <v>2.5169117647057</v>
      </c>
      <c r="AR146" s="8" t="n">
        <f aca="false">COUNTIF($C146:$V146,"&gt;=4")</f>
        <v>3</v>
      </c>
      <c r="AS146" s="8" t="str">
        <f aca="false">IF($X146&lt;=1.6,"Low",IF($X146&lt;=2.2,"Medium","High"))</f>
        <v>High</v>
      </c>
      <c r="AT146" s="8" t="str">
        <f aca="false">IF($AR146=0,"Low",IF($AR146&lt;3,"Medium","High"))</f>
        <v>High</v>
      </c>
      <c r="AU146" s="8" t="str">
        <f aca="false">IF(OR($AS146="High",$AT146="High"),"High",IF(OR($AS146="Medium",$AT146="Medium"),"Medium","Low"))</f>
        <v>High</v>
      </c>
      <c r="AV146" s="15" t="str">
        <f aca="false">IF($Z146="Yes","High",$AU146)</f>
        <v>High</v>
      </c>
    </row>
    <row r="147" customFormat="false" ht="15" hidden="false" customHeight="false" outlineLevel="0" collapsed="false">
      <c r="A147" s="7" t="str">
        <f aca="false">Customers!$A147</f>
        <v>NG-10115</v>
      </c>
      <c r="B147" s="7" t="str">
        <f aca="false">Customers!$B147</f>
        <v>Personal</v>
      </c>
      <c r="C147" s="8" t="n">
        <f aca="false">INDEX(Mapping!$C$2:$C$99,MATCH(C$1&amp;"|"&amp;Customers!C147,Mapping!$D$2:$D$99,0))</f>
        <v>1</v>
      </c>
      <c r="D147" s="8" t="n">
        <f aca="false">INDEX(Mapping!$C$2:$C$99,MATCH(D$1&amp;"|"&amp;Customers!D147,Mapping!$D$2:$D$99,0))</f>
        <v>1</v>
      </c>
      <c r="E147" s="8" t="n">
        <f aca="false">INDEX(Mapping!$C$2:$C$99,MATCH(E$1&amp;"|"&amp;Customers!E147,Mapping!$D$2:$D$99,0))</f>
        <v>1</v>
      </c>
      <c r="F147" s="8" t="n">
        <f aca="false">INDEX(Mapping!$C$2:$C$99,MATCH(F$1&amp;"|"&amp;Customers!F147,Mapping!$D$2:$D$99,0))</f>
        <v>1</v>
      </c>
      <c r="G147" s="8" t="n">
        <f aca="false">INDEX(Mapping!$C$2:$C$99,MATCH(G$1&amp;"|"&amp;Customers!G147,Mapping!$D$2:$D$99,0))</f>
        <v>1</v>
      </c>
      <c r="H147" s="8" t="n">
        <f aca="false">INDEX(Mapping!$C$2:$C$99,MATCH(H$1&amp;"|"&amp;Customers!H147,Mapping!$D$2:$D$99,0))</f>
        <v>1</v>
      </c>
      <c r="I147" s="8" t="n">
        <f aca="false">INDEX(Mapping!$C$2:$C$99,MATCH(I$1&amp;"|"&amp;Customers!I147,Mapping!$D$2:$D$99,0))</f>
        <v>1</v>
      </c>
      <c r="J147" s="8" t="n">
        <f aca="false">INDEX(Mapping!$C$2:$C$99,MATCH(J$1&amp;"|"&amp;Customers!J147,Mapping!$D$2:$D$99,0))</f>
        <v>1</v>
      </c>
      <c r="K147" s="8" t="n">
        <f aca="false">INDEX(Mapping!$C$2:$C$99,MATCH(K$1&amp;"|"&amp;Customers!K147,Mapping!$D$2:$D$99,0))</f>
        <v>3</v>
      </c>
      <c r="L147" s="8" t="n">
        <f aca="false">INDEX(Mapping!$C$2:$C$99,MATCH(L$1&amp;"|"&amp;Customers!L147,Mapping!$D$2:$D$99,0))</f>
        <v>2</v>
      </c>
      <c r="M147" s="8" t="n">
        <f aca="false">INDEX(Mapping!$C$2:$C$99,MATCH(M$1&amp;"|"&amp;Customers!M147,Mapping!$D$2:$D$99,0))</f>
        <v>3</v>
      </c>
      <c r="N147" s="8" t="n">
        <f aca="false">INDEX(Mapping!$C$2:$C$99,MATCH(N$1&amp;"|"&amp;Customers!N147,Mapping!$D$2:$D$99,0))</f>
        <v>2</v>
      </c>
      <c r="O147" s="8" t="n">
        <f aca="false">INDEX(Mapping!$C$2:$C$99,MATCH(O$1&amp;"|"&amp;Customers!O147,Mapping!$D$2:$D$99,0))</f>
        <v>4</v>
      </c>
      <c r="P147" s="8" t="n">
        <f aca="false">INDEX(Mapping!$C$2:$C$99,MATCH(P$1&amp;"|"&amp;Customers!P147,Mapping!$D$2:$D$99,0))</f>
        <v>4</v>
      </c>
      <c r="Q147" s="8" t="n">
        <f aca="false">INDEX(Mapping!$C$2:$C$99,MATCH(Q$1&amp;"|"&amp;Customers!Q147,Mapping!$D$2:$D$99,0))</f>
        <v>2</v>
      </c>
      <c r="R147" s="8" t="n">
        <f aca="false">INDEX(Mapping!$C$2:$C$99,MATCH(R$1&amp;"|"&amp;Customers!R147,Mapping!$D$2:$D$99,0))</f>
        <v>1</v>
      </c>
      <c r="S147" s="8" t="n">
        <f aca="false">INDEX(Mapping!$C$2:$C$99,MATCH(S$1&amp;"|"&amp;Customers!S147,Mapping!$D$2:$D$99,0))</f>
        <v>2</v>
      </c>
      <c r="T147" s="8" t="n">
        <f aca="false">INDEX(Mapping!$C$2:$C$99,MATCH(T$1&amp;"|"&amp;Customers!T147,Mapping!$D$2:$D$99,0))</f>
        <v>1</v>
      </c>
      <c r="U147" s="8" t="n">
        <f aca="false">INDEX(Mapping!$C$2:$C$99,MATCH(U$1&amp;"|"&amp;Customers!U147,Mapping!$D$2:$D$99,0))</f>
        <v>1</v>
      </c>
      <c r="V147" s="8" t="n">
        <f aca="false">INDEX(Mapping!$C$2:$C$99,MATCH(V$1&amp;"|"&amp;Customers!V147,Mapping!$D$2:$D$99,0))</f>
        <v>1</v>
      </c>
      <c r="W147" s="17" t="n">
        <f aca="false">SUMPRODUCT($C147:$V147,Weights!$C$27:$V$27)</f>
        <v>1.625</v>
      </c>
      <c r="X147" s="18" t="n">
        <f aca="false">ROUND($W147,2)</f>
        <v>1.63</v>
      </c>
      <c r="Y147" s="8" t="str">
        <f aca="false">IF($X147&lt;=2,"Low",IF($X147&lt;=3.49,"Medium","High"))</f>
        <v>Low</v>
      </c>
      <c r="Z147" s="8" t="str">
        <f aca="false">IF(OR($F147&gt;=3,$E147=5,$D147=5,$C147=5,$G147=5,$H147=5,$I147=5,$J147=5,Customers!$W147="Yes"),"Yes","No")</f>
        <v>No</v>
      </c>
      <c r="AA147" s="15" t="str">
        <f aca="false">IF($Z147="Yes","High",$Y147)</f>
        <v>Low</v>
      </c>
      <c r="AB147" s="18" t="n">
        <f aca="false">SUMPRODUCT($C147:$G147,Weights!$C$28:$G$28)</f>
        <v>1</v>
      </c>
      <c r="AC147" s="18" t="n">
        <f aca="false">SUMPRODUCT($H147:$J147,Weights!$H$28:$J$28)</f>
        <v>1</v>
      </c>
      <c r="AD147" s="18" t="n">
        <f aca="false">SUMPRODUCT($K147:$N147,Weights!$K$28:$N$28)</f>
        <v>2.6</v>
      </c>
      <c r="AE147" s="18" t="n">
        <f aca="false">SUMPRODUCT($O147:$Q147,Weights!$O$28:$Q$28)</f>
        <v>3.6</v>
      </c>
      <c r="AF147" s="18" t="n">
        <f aca="false">SUMPRODUCT($R147:$V147,Weights!$R$28:$V$28)</f>
        <v>1.3</v>
      </c>
      <c r="AH147" s="18" t="n">
        <f aca="false">SUMPRODUCT($AB147:$AF147,Validation!$D$7:$H$7)</f>
        <v>1.7142857142859</v>
      </c>
      <c r="AI147" s="18" t="n">
        <f aca="false">SUMPRODUCT($AB147:$AF147,Validation!$D$8:$H$8)</f>
        <v>1.5357142857141</v>
      </c>
      <c r="AJ147" s="18" t="n">
        <f aca="false">SUMPRODUCT($AB147:$AF147,Validation!$D$9:$H$9)</f>
        <v>1.708333333333</v>
      </c>
      <c r="AK147" s="18" t="n">
        <f aca="false">SUMPRODUCT($AB147:$AF147,Validation!$D$10:$H$10)</f>
        <v>1.541666666667</v>
      </c>
      <c r="AL147" s="18" t="n">
        <f aca="false">SUMPRODUCT($AB147:$AF147,Validation!$D$11:$H$11)</f>
        <v>1.503125</v>
      </c>
      <c r="AM147" s="18" t="n">
        <f aca="false">SUMPRODUCT($AB147:$AF147,Validation!$D$12:$H$12)</f>
        <v>1.746875</v>
      </c>
      <c r="AN147" s="18" t="n">
        <f aca="false">SUMPRODUCT($AB147:$AF147,Validation!$D$13:$H$13)</f>
        <v>1.4055555555553</v>
      </c>
      <c r="AO147" s="18" t="n">
        <f aca="false">SUMPRODUCT($AB147:$AF147,Validation!$D$14:$H$14)</f>
        <v>1.8444444444447</v>
      </c>
      <c r="AP147" s="18" t="n">
        <f aca="false">SUMPRODUCT($AB147:$AF147,Validation!$D$15:$H$15)</f>
        <v>1.6632352941172</v>
      </c>
      <c r="AQ147" s="18" t="n">
        <f aca="false">SUMPRODUCT($AB147:$AF147,Validation!$D$16:$H$16)</f>
        <v>1.5867647058828</v>
      </c>
      <c r="AR147" s="8" t="n">
        <f aca="false">COUNTIF($C147:$V147,"&gt;=4")</f>
        <v>2</v>
      </c>
      <c r="AS147" s="8" t="str">
        <f aca="false">IF($X147&lt;=1.6,"Low",IF($X147&lt;=2.2,"Medium","High"))</f>
        <v>Medium</v>
      </c>
      <c r="AT147" s="8" t="str">
        <f aca="false">IF($AR147=0,"Low",IF($AR147&lt;3,"Medium","High"))</f>
        <v>Medium</v>
      </c>
      <c r="AU147" s="8" t="str">
        <f aca="false">IF(OR($AS147="High",$AT147="High"),"High",IF(OR($AS147="Medium",$AT147="Medium"),"Medium","Low"))</f>
        <v>Medium</v>
      </c>
      <c r="AV147" s="15" t="str">
        <f aca="false">IF($Z147="Yes","High",$AU147)</f>
        <v>Medium</v>
      </c>
    </row>
    <row r="148" customFormat="false" ht="15" hidden="false" customHeight="false" outlineLevel="0" collapsed="false">
      <c r="A148" s="7" t="str">
        <f aca="false">Customers!$A148</f>
        <v>NG-10169</v>
      </c>
      <c r="B148" s="7" t="str">
        <f aca="false">Customers!$B148</f>
        <v>Personal</v>
      </c>
      <c r="C148" s="8" t="n">
        <f aca="false">INDEX(Mapping!$C$2:$C$99,MATCH(C$1&amp;"|"&amp;Customers!C148,Mapping!$D$2:$D$99,0))</f>
        <v>1</v>
      </c>
      <c r="D148" s="8" t="n">
        <f aca="false">INDEX(Mapping!$C$2:$C$99,MATCH(D$1&amp;"|"&amp;Customers!D148,Mapping!$D$2:$D$99,0))</f>
        <v>1</v>
      </c>
      <c r="E148" s="8" t="n">
        <f aca="false">INDEX(Mapping!$C$2:$C$99,MATCH(E$1&amp;"|"&amp;Customers!E148,Mapping!$D$2:$D$99,0))</f>
        <v>1</v>
      </c>
      <c r="F148" s="8" t="n">
        <f aca="false">INDEX(Mapping!$C$2:$C$99,MATCH(F$1&amp;"|"&amp;Customers!F148,Mapping!$D$2:$D$99,0))</f>
        <v>1</v>
      </c>
      <c r="G148" s="8" t="n">
        <f aca="false">INDEX(Mapping!$C$2:$C$99,MATCH(G$1&amp;"|"&amp;Customers!G148,Mapping!$D$2:$D$99,0))</f>
        <v>1</v>
      </c>
      <c r="H148" s="8" t="n">
        <f aca="false">INDEX(Mapping!$C$2:$C$99,MATCH(H$1&amp;"|"&amp;Customers!H148,Mapping!$D$2:$D$99,0))</f>
        <v>1</v>
      </c>
      <c r="I148" s="8" t="n">
        <f aca="false">INDEX(Mapping!$C$2:$C$99,MATCH(I$1&amp;"|"&amp;Customers!I148,Mapping!$D$2:$D$99,0))</f>
        <v>1</v>
      </c>
      <c r="J148" s="8" t="n">
        <f aca="false">INDEX(Mapping!$C$2:$C$99,MATCH(J$1&amp;"|"&amp;Customers!J148,Mapping!$D$2:$D$99,0))</f>
        <v>1</v>
      </c>
      <c r="K148" s="8" t="n">
        <f aca="false">INDEX(Mapping!$C$2:$C$99,MATCH(K$1&amp;"|"&amp;Customers!K148,Mapping!$D$2:$D$99,0))</f>
        <v>2</v>
      </c>
      <c r="L148" s="8" t="n">
        <f aca="false">INDEX(Mapping!$C$2:$C$99,MATCH(L$1&amp;"|"&amp;Customers!L148,Mapping!$D$2:$D$99,0))</f>
        <v>3</v>
      </c>
      <c r="M148" s="8" t="n">
        <f aca="false">INDEX(Mapping!$C$2:$C$99,MATCH(M$1&amp;"|"&amp;Customers!M148,Mapping!$D$2:$D$99,0))</f>
        <v>3</v>
      </c>
      <c r="N148" s="8" t="n">
        <f aca="false">INDEX(Mapping!$C$2:$C$99,MATCH(N$1&amp;"|"&amp;Customers!N148,Mapping!$D$2:$D$99,0))</f>
        <v>2</v>
      </c>
      <c r="O148" s="8" t="n">
        <f aca="false">INDEX(Mapping!$C$2:$C$99,MATCH(O$1&amp;"|"&amp;Customers!O148,Mapping!$D$2:$D$99,0))</f>
        <v>3</v>
      </c>
      <c r="P148" s="8" t="n">
        <f aca="false">INDEX(Mapping!$C$2:$C$99,MATCH(P$1&amp;"|"&amp;Customers!P148,Mapping!$D$2:$D$99,0))</f>
        <v>4</v>
      </c>
      <c r="Q148" s="8" t="n">
        <f aca="false">INDEX(Mapping!$C$2:$C$99,MATCH(Q$1&amp;"|"&amp;Customers!Q148,Mapping!$D$2:$D$99,0))</f>
        <v>1</v>
      </c>
      <c r="R148" s="8" t="n">
        <f aca="false">INDEX(Mapping!$C$2:$C$99,MATCH(R$1&amp;"|"&amp;Customers!R148,Mapping!$D$2:$D$99,0))</f>
        <v>1</v>
      </c>
      <c r="S148" s="8" t="n">
        <f aca="false">INDEX(Mapping!$C$2:$C$99,MATCH(S$1&amp;"|"&amp;Customers!S148,Mapping!$D$2:$D$99,0))</f>
        <v>2</v>
      </c>
      <c r="T148" s="8" t="n">
        <f aca="false">INDEX(Mapping!$C$2:$C$99,MATCH(T$1&amp;"|"&amp;Customers!T148,Mapping!$D$2:$D$99,0))</f>
        <v>1</v>
      </c>
      <c r="U148" s="8" t="n">
        <f aca="false">INDEX(Mapping!$C$2:$C$99,MATCH(U$1&amp;"|"&amp;Customers!U148,Mapping!$D$2:$D$99,0))</f>
        <v>1</v>
      </c>
      <c r="V148" s="8" t="n">
        <f aca="false">INDEX(Mapping!$C$2:$C$99,MATCH(V$1&amp;"|"&amp;Customers!V148,Mapping!$D$2:$D$99,0))</f>
        <v>1</v>
      </c>
      <c r="W148" s="17" t="n">
        <f aca="false">SUMPRODUCT($C148:$V148,Weights!$C$27:$V$27)</f>
        <v>1.54</v>
      </c>
      <c r="X148" s="18" t="n">
        <f aca="false">ROUND($W148,2)</f>
        <v>1.54</v>
      </c>
      <c r="Y148" s="8" t="str">
        <f aca="false">IF($X148&lt;=2,"Low",IF($X148&lt;=3.49,"Medium","High"))</f>
        <v>Low</v>
      </c>
      <c r="Z148" s="8" t="str">
        <f aca="false">IF(OR($F148&gt;=3,$E148=5,$D148=5,$C148=5,$G148=5,$H148=5,$I148=5,$J148=5,Customers!$W148="Yes"),"Yes","No")</f>
        <v>No</v>
      </c>
      <c r="AA148" s="15" t="str">
        <f aca="false">IF($Z148="Yes","High",$Y148)</f>
        <v>Low</v>
      </c>
      <c r="AB148" s="18" t="n">
        <f aca="false">SUMPRODUCT($C148:$G148,Weights!$C$28:$G$28)</f>
        <v>1</v>
      </c>
      <c r="AC148" s="18" t="n">
        <f aca="false">SUMPRODUCT($H148:$J148,Weights!$H$28:$J$28)</f>
        <v>1</v>
      </c>
      <c r="AD148" s="18" t="n">
        <f aca="false">SUMPRODUCT($K148:$N148,Weights!$K$28:$N$28)</f>
        <v>2.5</v>
      </c>
      <c r="AE148" s="18" t="n">
        <f aca="false">SUMPRODUCT($O148:$Q148,Weights!$O$28:$Q$28)</f>
        <v>2.95</v>
      </c>
      <c r="AF148" s="18" t="n">
        <f aca="false">SUMPRODUCT($R148:$V148,Weights!$R$28:$V$28)</f>
        <v>1.3</v>
      </c>
      <c r="AH148" s="18" t="n">
        <f aca="false">SUMPRODUCT($AB148:$AF148,Validation!$D$7:$H$7)</f>
        <v>1.6171428571429</v>
      </c>
      <c r="AI148" s="18" t="n">
        <f aca="false">SUMPRODUCT($AB148:$AF148,Validation!$D$8:$H$8)</f>
        <v>1.4628571428571</v>
      </c>
      <c r="AJ148" s="18" t="n">
        <f aca="false">SUMPRODUCT($AB148:$AF148,Validation!$D$9:$H$9)</f>
        <v>1.61199999999985</v>
      </c>
      <c r="AK148" s="18" t="n">
        <f aca="false">SUMPRODUCT($AB148:$AF148,Validation!$D$10:$H$10)</f>
        <v>1.46800000000015</v>
      </c>
      <c r="AL148" s="18" t="n">
        <f aca="false">SUMPRODUCT($AB148:$AF148,Validation!$D$11:$H$11)</f>
        <v>1.42</v>
      </c>
      <c r="AM148" s="18" t="n">
        <f aca="false">SUMPRODUCT($AB148:$AF148,Validation!$D$12:$H$12)</f>
        <v>1.66</v>
      </c>
      <c r="AN148" s="18" t="n">
        <f aca="false">SUMPRODUCT($AB148:$AF148,Validation!$D$13:$H$13)</f>
        <v>1.3833333333331</v>
      </c>
      <c r="AO148" s="18" t="n">
        <f aca="false">SUMPRODUCT($AB148:$AF148,Validation!$D$14:$H$14)</f>
        <v>1.6966666666669</v>
      </c>
      <c r="AP148" s="18" t="n">
        <f aca="false">SUMPRODUCT($AB148:$AF148,Validation!$D$15:$H$15)</f>
        <v>1.5682352941174</v>
      </c>
      <c r="AQ148" s="18" t="n">
        <f aca="false">SUMPRODUCT($AB148:$AF148,Validation!$D$16:$H$16)</f>
        <v>1.5117647058826</v>
      </c>
      <c r="AR148" s="8" t="n">
        <f aca="false">COUNTIF($C148:$V148,"&gt;=4")</f>
        <v>1</v>
      </c>
      <c r="AS148" s="8" t="str">
        <f aca="false">IF($X148&lt;=1.6,"Low",IF($X148&lt;=2.2,"Medium","High"))</f>
        <v>Low</v>
      </c>
      <c r="AT148" s="8" t="str">
        <f aca="false">IF($AR148=0,"Low",IF($AR148&lt;3,"Medium","High"))</f>
        <v>Medium</v>
      </c>
      <c r="AU148" s="8" t="str">
        <f aca="false">IF(OR($AS148="High",$AT148="High"),"High",IF(OR($AS148="Medium",$AT148="Medium"),"Medium","Low"))</f>
        <v>Medium</v>
      </c>
      <c r="AV148" s="15" t="str">
        <f aca="false">IF($Z148="Yes","High",$AU148)</f>
        <v>Medium</v>
      </c>
    </row>
    <row r="149" customFormat="false" ht="15" hidden="false" customHeight="false" outlineLevel="0" collapsed="false">
      <c r="A149" s="7" t="str">
        <f aca="false">Customers!$A149</f>
        <v>NG-10209</v>
      </c>
      <c r="B149" s="7" t="str">
        <f aca="false">Customers!$B149</f>
        <v>Personal</v>
      </c>
      <c r="C149" s="8" t="n">
        <f aca="false">INDEX(Mapping!$C$2:$C$99,MATCH(C$1&amp;"|"&amp;Customers!C149,Mapping!$D$2:$D$99,0))</f>
        <v>1</v>
      </c>
      <c r="D149" s="8" t="n">
        <f aca="false">INDEX(Mapping!$C$2:$C$99,MATCH(D$1&amp;"|"&amp;Customers!D149,Mapping!$D$2:$D$99,0))</f>
        <v>1</v>
      </c>
      <c r="E149" s="8" t="n">
        <f aca="false">INDEX(Mapping!$C$2:$C$99,MATCH(E$1&amp;"|"&amp;Customers!E149,Mapping!$D$2:$D$99,0))</f>
        <v>2</v>
      </c>
      <c r="F149" s="8" t="n">
        <f aca="false">INDEX(Mapping!$C$2:$C$99,MATCH(F$1&amp;"|"&amp;Customers!F149,Mapping!$D$2:$D$99,0))</f>
        <v>1</v>
      </c>
      <c r="G149" s="8" t="n">
        <f aca="false">INDEX(Mapping!$C$2:$C$99,MATCH(G$1&amp;"|"&amp;Customers!G149,Mapping!$D$2:$D$99,0))</f>
        <v>1</v>
      </c>
      <c r="H149" s="8" t="n">
        <f aca="false">INDEX(Mapping!$C$2:$C$99,MATCH(H$1&amp;"|"&amp;Customers!H149,Mapping!$D$2:$D$99,0))</f>
        <v>1</v>
      </c>
      <c r="I149" s="8" t="n">
        <f aca="false">INDEX(Mapping!$C$2:$C$99,MATCH(I$1&amp;"|"&amp;Customers!I149,Mapping!$D$2:$D$99,0))</f>
        <v>1</v>
      </c>
      <c r="J149" s="8" t="n">
        <f aca="false">INDEX(Mapping!$C$2:$C$99,MATCH(J$1&amp;"|"&amp;Customers!J149,Mapping!$D$2:$D$99,0))</f>
        <v>2</v>
      </c>
      <c r="K149" s="8" t="n">
        <f aca="false">INDEX(Mapping!$C$2:$C$99,MATCH(K$1&amp;"|"&amp;Customers!K149,Mapping!$D$2:$D$99,0))</f>
        <v>3</v>
      </c>
      <c r="L149" s="8" t="n">
        <f aca="false">INDEX(Mapping!$C$2:$C$99,MATCH(L$1&amp;"|"&amp;Customers!L149,Mapping!$D$2:$D$99,0))</f>
        <v>1</v>
      </c>
      <c r="M149" s="8" t="n">
        <f aca="false">INDEX(Mapping!$C$2:$C$99,MATCH(M$1&amp;"|"&amp;Customers!M149,Mapping!$D$2:$D$99,0))</f>
        <v>4</v>
      </c>
      <c r="N149" s="8" t="n">
        <f aca="false">INDEX(Mapping!$C$2:$C$99,MATCH(N$1&amp;"|"&amp;Customers!N149,Mapping!$D$2:$D$99,0))</f>
        <v>3</v>
      </c>
      <c r="O149" s="8" t="n">
        <f aca="false">INDEX(Mapping!$C$2:$C$99,MATCH(O$1&amp;"|"&amp;Customers!O149,Mapping!$D$2:$D$99,0))</f>
        <v>4</v>
      </c>
      <c r="P149" s="8" t="n">
        <f aca="false">INDEX(Mapping!$C$2:$C$99,MATCH(P$1&amp;"|"&amp;Customers!P149,Mapping!$D$2:$D$99,0))</f>
        <v>3</v>
      </c>
      <c r="Q149" s="8" t="n">
        <f aca="false">INDEX(Mapping!$C$2:$C$99,MATCH(Q$1&amp;"|"&amp;Customers!Q149,Mapping!$D$2:$D$99,0))</f>
        <v>1</v>
      </c>
      <c r="R149" s="8" t="n">
        <f aca="false">INDEX(Mapping!$C$2:$C$99,MATCH(R$1&amp;"|"&amp;Customers!R149,Mapping!$D$2:$D$99,0))</f>
        <v>2</v>
      </c>
      <c r="S149" s="8" t="n">
        <f aca="false">INDEX(Mapping!$C$2:$C$99,MATCH(S$1&amp;"|"&amp;Customers!S149,Mapping!$D$2:$D$99,0))</f>
        <v>2</v>
      </c>
      <c r="T149" s="8" t="n">
        <f aca="false">INDEX(Mapping!$C$2:$C$99,MATCH(T$1&amp;"|"&amp;Customers!T149,Mapping!$D$2:$D$99,0))</f>
        <v>5</v>
      </c>
      <c r="U149" s="8" t="n">
        <f aca="false">INDEX(Mapping!$C$2:$C$99,MATCH(U$1&amp;"|"&amp;Customers!U149,Mapping!$D$2:$D$99,0))</f>
        <v>1</v>
      </c>
      <c r="V149" s="8" t="n">
        <f aca="false">INDEX(Mapping!$C$2:$C$99,MATCH(V$1&amp;"|"&amp;Customers!V149,Mapping!$D$2:$D$99,0))</f>
        <v>1</v>
      </c>
      <c r="W149" s="17" t="n">
        <f aca="false">SUMPRODUCT($C149:$V149,Weights!$C$27:$V$27)</f>
        <v>1.9325</v>
      </c>
      <c r="X149" s="18" t="n">
        <f aca="false">ROUND($W149,2)</f>
        <v>1.93</v>
      </c>
      <c r="Y149" s="8" t="str">
        <f aca="false">IF($X149&lt;=2,"Low",IF($X149&lt;=3.49,"Medium","High"))</f>
        <v>Low</v>
      </c>
      <c r="Z149" s="8" t="str">
        <f aca="false">IF(OR($F149&gt;=3,$E149=5,$D149=5,$C149=5,$G149=5,$H149=5,$I149=5,$J149=5,Customers!$W149="Yes"),"Yes","No")</f>
        <v>No</v>
      </c>
      <c r="AA149" s="15" t="str">
        <f aca="false">IF($Z149="Yes","High",$Y149)</f>
        <v>Low</v>
      </c>
      <c r="AB149" s="18" t="n">
        <f aca="false">SUMPRODUCT($C149:$G149,Weights!$C$28:$G$28)</f>
        <v>1.25</v>
      </c>
      <c r="AC149" s="18" t="n">
        <f aca="false">SUMPRODUCT($H149:$J149,Weights!$H$28:$J$28)</f>
        <v>1.4</v>
      </c>
      <c r="AD149" s="18" t="n">
        <f aca="false">SUMPRODUCT($K149:$N149,Weights!$K$28:$N$28)</f>
        <v>2.75</v>
      </c>
      <c r="AE149" s="18" t="n">
        <f aca="false">SUMPRODUCT($O149:$Q149,Weights!$O$28:$Q$28)</f>
        <v>3.05</v>
      </c>
      <c r="AF149" s="18" t="n">
        <f aca="false">SUMPRODUCT($R149:$V149,Weights!$R$28:$V$28)</f>
        <v>2.35</v>
      </c>
      <c r="AH149" s="18" t="n">
        <f aca="false">SUMPRODUCT($AB149:$AF149,Validation!$D$7:$H$7)</f>
        <v>2.0300000000003</v>
      </c>
      <c r="AI149" s="18" t="n">
        <f aca="false">SUMPRODUCT($AB149:$AF149,Validation!$D$8:$H$8)</f>
        <v>1.8349999999997</v>
      </c>
      <c r="AJ149" s="18" t="n">
        <f aca="false">SUMPRODUCT($AB149:$AF149,Validation!$D$9:$H$9)</f>
        <v>2.0034999999999</v>
      </c>
      <c r="AK149" s="18" t="n">
        <f aca="false">SUMPRODUCT($AB149:$AF149,Validation!$D$10:$H$10)</f>
        <v>1.8615000000001</v>
      </c>
      <c r="AL149" s="18" t="n">
        <f aca="false">SUMPRODUCT($AB149:$AF149,Validation!$D$11:$H$11)</f>
        <v>1.8303125</v>
      </c>
      <c r="AM149" s="18" t="n">
        <f aca="false">SUMPRODUCT($AB149:$AF149,Validation!$D$12:$H$12)</f>
        <v>2.0346875</v>
      </c>
      <c r="AN149" s="18" t="n">
        <f aca="false">SUMPRODUCT($AB149:$AF149,Validation!$D$13:$H$13)</f>
        <v>1.8083333333334</v>
      </c>
      <c r="AO149" s="18" t="n">
        <f aca="false">SUMPRODUCT($AB149:$AF149,Validation!$D$14:$H$14)</f>
        <v>2.0566666666666</v>
      </c>
      <c r="AP149" s="18" t="n">
        <f aca="false">SUMPRODUCT($AB149:$AF149,Validation!$D$15:$H$15)</f>
        <v>1.883382352941</v>
      </c>
      <c r="AQ149" s="18" t="n">
        <f aca="false">SUMPRODUCT($AB149:$AF149,Validation!$D$16:$H$16)</f>
        <v>1.981617647059</v>
      </c>
      <c r="AR149" s="8" t="n">
        <f aca="false">COUNTIF($C149:$V149,"&gt;=4")</f>
        <v>3</v>
      </c>
      <c r="AS149" s="8" t="str">
        <f aca="false">IF($X149&lt;=1.6,"Low",IF($X149&lt;=2.2,"Medium","High"))</f>
        <v>Medium</v>
      </c>
      <c r="AT149" s="8" t="str">
        <f aca="false">IF($AR149=0,"Low",IF($AR149&lt;3,"Medium","High"))</f>
        <v>High</v>
      </c>
      <c r="AU149" s="8" t="str">
        <f aca="false">IF(OR($AS149="High",$AT149="High"),"High",IF(OR($AS149="Medium",$AT149="Medium"),"Medium","Low"))</f>
        <v>High</v>
      </c>
      <c r="AV149" s="15" t="str">
        <f aca="false">IF($Z149="Yes","High",$AU149)</f>
        <v>High</v>
      </c>
    </row>
    <row r="150" customFormat="false" ht="15" hidden="false" customHeight="false" outlineLevel="0" collapsed="false">
      <c r="A150" s="7" t="str">
        <f aca="false">Customers!$A150</f>
        <v>NG-10137</v>
      </c>
      <c r="B150" s="7" t="str">
        <f aca="false">Customers!$B150</f>
        <v>Personal</v>
      </c>
      <c r="C150" s="8" t="n">
        <f aca="false">INDEX(Mapping!$C$2:$C$99,MATCH(C$1&amp;"|"&amp;Customers!C150,Mapping!$D$2:$D$99,0))</f>
        <v>1</v>
      </c>
      <c r="D150" s="8" t="n">
        <f aca="false">INDEX(Mapping!$C$2:$C$99,MATCH(D$1&amp;"|"&amp;Customers!D150,Mapping!$D$2:$D$99,0))</f>
        <v>1</v>
      </c>
      <c r="E150" s="8" t="n">
        <f aca="false">INDEX(Mapping!$C$2:$C$99,MATCH(E$1&amp;"|"&amp;Customers!E150,Mapping!$D$2:$D$99,0))</f>
        <v>4</v>
      </c>
      <c r="F150" s="8" t="n">
        <f aca="false">INDEX(Mapping!$C$2:$C$99,MATCH(F$1&amp;"|"&amp;Customers!F150,Mapping!$D$2:$D$99,0))</f>
        <v>1</v>
      </c>
      <c r="G150" s="8" t="n">
        <f aca="false">INDEX(Mapping!$C$2:$C$99,MATCH(G$1&amp;"|"&amp;Customers!G150,Mapping!$D$2:$D$99,0))</f>
        <v>1</v>
      </c>
      <c r="H150" s="8" t="n">
        <f aca="false">INDEX(Mapping!$C$2:$C$99,MATCH(H$1&amp;"|"&amp;Customers!H150,Mapping!$D$2:$D$99,0))</f>
        <v>1</v>
      </c>
      <c r="I150" s="8" t="n">
        <f aca="false">INDEX(Mapping!$C$2:$C$99,MATCH(I$1&amp;"|"&amp;Customers!I150,Mapping!$D$2:$D$99,0))</f>
        <v>1</v>
      </c>
      <c r="J150" s="8" t="n">
        <f aca="false">INDEX(Mapping!$C$2:$C$99,MATCH(J$1&amp;"|"&amp;Customers!J150,Mapping!$D$2:$D$99,0))</f>
        <v>1</v>
      </c>
      <c r="K150" s="8" t="n">
        <f aca="false">INDEX(Mapping!$C$2:$C$99,MATCH(K$1&amp;"|"&amp;Customers!K150,Mapping!$D$2:$D$99,0))</f>
        <v>3</v>
      </c>
      <c r="L150" s="8" t="n">
        <f aca="false">INDEX(Mapping!$C$2:$C$99,MATCH(L$1&amp;"|"&amp;Customers!L150,Mapping!$D$2:$D$99,0))</f>
        <v>2</v>
      </c>
      <c r="M150" s="8" t="n">
        <f aca="false">INDEX(Mapping!$C$2:$C$99,MATCH(M$1&amp;"|"&amp;Customers!M150,Mapping!$D$2:$D$99,0))</f>
        <v>2</v>
      </c>
      <c r="N150" s="8" t="n">
        <f aca="false">INDEX(Mapping!$C$2:$C$99,MATCH(N$1&amp;"|"&amp;Customers!N150,Mapping!$D$2:$D$99,0))</f>
        <v>1</v>
      </c>
      <c r="O150" s="8" t="n">
        <f aca="false">INDEX(Mapping!$C$2:$C$99,MATCH(O$1&amp;"|"&amp;Customers!O150,Mapping!$D$2:$D$99,0))</f>
        <v>1</v>
      </c>
      <c r="P150" s="8" t="n">
        <f aca="false">INDEX(Mapping!$C$2:$C$99,MATCH(P$1&amp;"|"&amp;Customers!P150,Mapping!$D$2:$D$99,0))</f>
        <v>3</v>
      </c>
      <c r="Q150" s="8" t="n">
        <f aca="false">INDEX(Mapping!$C$2:$C$99,MATCH(Q$1&amp;"|"&amp;Customers!Q150,Mapping!$D$2:$D$99,0))</f>
        <v>1</v>
      </c>
      <c r="R150" s="8" t="n">
        <f aca="false">INDEX(Mapping!$C$2:$C$99,MATCH(R$1&amp;"|"&amp;Customers!R150,Mapping!$D$2:$D$99,0))</f>
        <v>1</v>
      </c>
      <c r="S150" s="8" t="n">
        <f aca="false">INDEX(Mapping!$C$2:$C$99,MATCH(S$1&amp;"|"&amp;Customers!S150,Mapping!$D$2:$D$99,0))</f>
        <v>2</v>
      </c>
      <c r="T150" s="8" t="n">
        <f aca="false">INDEX(Mapping!$C$2:$C$99,MATCH(T$1&amp;"|"&amp;Customers!T150,Mapping!$D$2:$D$99,0))</f>
        <v>2</v>
      </c>
      <c r="U150" s="8" t="n">
        <f aca="false">INDEX(Mapping!$C$2:$C$99,MATCH(U$1&amp;"|"&amp;Customers!U150,Mapping!$D$2:$D$99,0))</f>
        <v>1</v>
      </c>
      <c r="V150" s="8" t="n">
        <f aca="false">INDEX(Mapping!$C$2:$C$99,MATCH(V$1&amp;"|"&amp;Customers!V150,Mapping!$D$2:$D$99,0))</f>
        <v>1</v>
      </c>
      <c r="W150" s="17" t="n">
        <f aca="false">SUMPRODUCT($C150:$V150,Weights!$C$27:$V$27)</f>
        <v>1.61</v>
      </c>
      <c r="X150" s="18" t="n">
        <f aca="false">ROUND($W150,2)</f>
        <v>1.61</v>
      </c>
      <c r="Y150" s="8" t="str">
        <f aca="false">IF($X150&lt;=2,"Low",IF($X150&lt;=3.49,"Medium","High"))</f>
        <v>Low</v>
      </c>
      <c r="Z150" s="8" t="str">
        <f aca="false">IF(OR($F150&gt;=3,$E150=5,$D150=5,$C150=5,$G150=5,$H150=5,$I150=5,$J150=5,Customers!$W150="Yes"),"Yes","No")</f>
        <v>No</v>
      </c>
      <c r="AA150" s="15" t="str">
        <f aca="false">IF($Z150="Yes","High",$Y150)</f>
        <v>Low</v>
      </c>
      <c r="AB150" s="18" t="n">
        <f aca="false">SUMPRODUCT($C150:$G150,Weights!$C$28:$G$28)</f>
        <v>1.75</v>
      </c>
      <c r="AC150" s="18" t="n">
        <f aca="false">SUMPRODUCT($H150:$J150,Weights!$H$28:$J$28)</f>
        <v>1</v>
      </c>
      <c r="AD150" s="18" t="n">
        <f aca="false">SUMPRODUCT($K150:$N150,Weights!$K$28:$N$28)</f>
        <v>2.2</v>
      </c>
      <c r="AE150" s="18" t="n">
        <f aca="false">SUMPRODUCT($O150:$Q150,Weights!$O$28:$Q$28)</f>
        <v>1.7</v>
      </c>
      <c r="AF150" s="18" t="n">
        <f aca="false">SUMPRODUCT($R150:$V150,Weights!$R$28:$V$28)</f>
        <v>1.5</v>
      </c>
      <c r="AH150" s="18" t="n">
        <f aca="false">SUMPRODUCT($AB150:$AF150,Validation!$D$7:$H$7)</f>
        <v>1.5899999999999</v>
      </c>
      <c r="AI150" s="18" t="n">
        <f aca="false">SUMPRODUCT($AB150:$AF150,Validation!$D$8:$H$8)</f>
        <v>1.6300000000001</v>
      </c>
      <c r="AJ150" s="18" t="n">
        <f aca="false">SUMPRODUCT($AB150:$AF150,Validation!$D$9:$H$9)</f>
        <v>1.6913333333335</v>
      </c>
      <c r="AK150" s="18" t="n">
        <f aca="false">SUMPRODUCT($AB150:$AF150,Validation!$D$10:$H$10)</f>
        <v>1.5286666666665</v>
      </c>
      <c r="AL150" s="18" t="n">
        <f aca="false">SUMPRODUCT($AB150:$AF150,Validation!$D$11:$H$11)</f>
        <v>1.53625</v>
      </c>
      <c r="AM150" s="18" t="n">
        <f aca="false">SUMPRODUCT($AB150:$AF150,Validation!$D$12:$H$12)</f>
        <v>1.68375</v>
      </c>
      <c r="AN150" s="18" t="n">
        <f aca="false">SUMPRODUCT($AB150:$AF150,Validation!$D$13:$H$13)</f>
        <v>1.59999999999965</v>
      </c>
      <c r="AO150" s="18" t="n">
        <f aca="false">SUMPRODUCT($AB150:$AF150,Validation!$D$14:$H$14)</f>
        <v>1.62000000000035</v>
      </c>
      <c r="AP150" s="18" t="n">
        <f aca="false">SUMPRODUCT($AB150:$AF150,Validation!$D$15:$H$15)</f>
        <v>1.62294117647065</v>
      </c>
      <c r="AQ150" s="18" t="n">
        <f aca="false">SUMPRODUCT($AB150:$AF150,Validation!$D$16:$H$16)</f>
        <v>1.59705882352935</v>
      </c>
      <c r="AR150" s="8" t="n">
        <f aca="false">COUNTIF($C150:$V150,"&gt;=4")</f>
        <v>1</v>
      </c>
      <c r="AS150" s="8" t="str">
        <f aca="false">IF($X150&lt;=1.6,"Low",IF($X150&lt;=2.2,"Medium","High"))</f>
        <v>Medium</v>
      </c>
      <c r="AT150" s="8" t="str">
        <f aca="false">IF($AR150=0,"Low",IF($AR150&lt;3,"Medium","High"))</f>
        <v>Medium</v>
      </c>
      <c r="AU150" s="8" t="str">
        <f aca="false">IF(OR($AS150="High",$AT150="High"),"High",IF(OR($AS150="Medium",$AT150="Medium"),"Medium","Low"))</f>
        <v>Medium</v>
      </c>
      <c r="AV150" s="15" t="str">
        <f aca="false">IF($Z150="Yes","High",$AU150)</f>
        <v>Medium</v>
      </c>
    </row>
    <row r="151" customFormat="false" ht="15" hidden="false" customHeight="false" outlineLevel="0" collapsed="false">
      <c r="A151" s="7" t="str">
        <f aca="false">Customers!$A151</f>
        <v>NG-10067</v>
      </c>
      <c r="B151" s="7" t="str">
        <f aca="false">Customers!$B151</f>
        <v>Personal</v>
      </c>
      <c r="C151" s="8" t="n">
        <f aca="false">INDEX(Mapping!$C$2:$C$99,MATCH(C$1&amp;"|"&amp;Customers!C151,Mapping!$D$2:$D$99,0))</f>
        <v>2</v>
      </c>
      <c r="D151" s="8" t="n">
        <f aca="false">INDEX(Mapping!$C$2:$C$99,MATCH(D$1&amp;"|"&amp;Customers!D151,Mapping!$D$2:$D$99,0))</f>
        <v>1</v>
      </c>
      <c r="E151" s="8" t="n">
        <f aca="false">INDEX(Mapping!$C$2:$C$99,MATCH(E$1&amp;"|"&amp;Customers!E151,Mapping!$D$2:$D$99,0))</f>
        <v>3</v>
      </c>
      <c r="F151" s="8" t="n">
        <f aca="false">INDEX(Mapping!$C$2:$C$99,MATCH(F$1&amp;"|"&amp;Customers!F151,Mapping!$D$2:$D$99,0))</f>
        <v>1</v>
      </c>
      <c r="G151" s="8" t="n">
        <f aca="false">INDEX(Mapping!$C$2:$C$99,MATCH(G$1&amp;"|"&amp;Customers!G151,Mapping!$D$2:$D$99,0))</f>
        <v>1</v>
      </c>
      <c r="H151" s="8" t="n">
        <f aca="false">INDEX(Mapping!$C$2:$C$99,MATCH(H$1&amp;"|"&amp;Customers!H151,Mapping!$D$2:$D$99,0))</f>
        <v>1</v>
      </c>
      <c r="I151" s="8" t="n">
        <f aca="false">INDEX(Mapping!$C$2:$C$99,MATCH(I$1&amp;"|"&amp;Customers!I151,Mapping!$D$2:$D$99,0))</f>
        <v>1</v>
      </c>
      <c r="J151" s="8" t="n">
        <f aca="false">INDEX(Mapping!$C$2:$C$99,MATCH(J$1&amp;"|"&amp;Customers!J151,Mapping!$D$2:$D$99,0))</f>
        <v>1</v>
      </c>
      <c r="K151" s="8" t="n">
        <f aca="false">INDEX(Mapping!$C$2:$C$99,MATCH(K$1&amp;"|"&amp;Customers!K151,Mapping!$D$2:$D$99,0))</f>
        <v>2</v>
      </c>
      <c r="L151" s="8" t="n">
        <f aca="false">INDEX(Mapping!$C$2:$C$99,MATCH(L$1&amp;"|"&amp;Customers!L151,Mapping!$D$2:$D$99,0))</f>
        <v>2</v>
      </c>
      <c r="M151" s="8" t="n">
        <f aca="false">INDEX(Mapping!$C$2:$C$99,MATCH(M$1&amp;"|"&amp;Customers!M151,Mapping!$D$2:$D$99,0))</f>
        <v>1</v>
      </c>
      <c r="N151" s="8" t="n">
        <f aca="false">INDEX(Mapping!$C$2:$C$99,MATCH(N$1&amp;"|"&amp;Customers!N151,Mapping!$D$2:$D$99,0))</f>
        <v>1</v>
      </c>
      <c r="O151" s="8" t="n">
        <f aca="false">INDEX(Mapping!$C$2:$C$99,MATCH(O$1&amp;"|"&amp;Customers!O151,Mapping!$D$2:$D$99,0))</f>
        <v>3</v>
      </c>
      <c r="P151" s="8" t="n">
        <f aca="false">INDEX(Mapping!$C$2:$C$99,MATCH(P$1&amp;"|"&amp;Customers!P151,Mapping!$D$2:$D$99,0))</f>
        <v>4</v>
      </c>
      <c r="Q151" s="8" t="n">
        <f aca="false">INDEX(Mapping!$C$2:$C$99,MATCH(Q$1&amp;"|"&amp;Customers!Q151,Mapping!$D$2:$D$99,0))</f>
        <v>1</v>
      </c>
      <c r="R151" s="8" t="n">
        <f aca="false">INDEX(Mapping!$C$2:$C$99,MATCH(R$1&amp;"|"&amp;Customers!R151,Mapping!$D$2:$D$99,0))</f>
        <v>1</v>
      </c>
      <c r="S151" s="8" t="n">
        <f aca="false">INDEX(Mapping!$C$2:$C$99,MATCH(S$1&amp;"|"&amp;Customers!S151,Mapping!$D$2:$D$99,0))</f>
        <v>2</v>
      </c>
      <c r="T151" s="8" t="n">
        <f aca="false">INDEX(Mapping!$C$2:$C$99,MATCH(T$1&amp;"|"&amp;Customers!T151,Mapping!$D$2:$D$99,0))</f>
        <v>1</v>
      </c>
      <c r="U151" s="8" t="n">
        <f aca="false">INDEX(Mapping!$C$2:$C$99,MATCH(U$1&amp;"|"&amp;Customers!U151,Mapping!$D$2:$D$99,0))</f>
        <v>1</v>
      </c>
      <c r="V151" s="8" t="n">
        <f aca="false">INDEX(Mapping!$C$2:$C$99,MATCH(V$1&amp;"|"&amp;Customers!V151,Mapping!$D$2:$D$99,0))</f>
        <v>1</v>
      </c>
      <c r="W151" s="17" t="n">
        <f aca="false">SUMPRODUCT($C151:$V151,Weights!$C$27:$V$27)</f>
        <v>1.57</v>
      </c>
      <c r="X151" s="18" t="n">
        <f aca="false">ROUND($W151,2)</f>
        <v>1.57</v>
      </c>
      <c r="Y151" s="8" t="str">
        <f aca="false">IF($X151&lt;=2,"Low",IF($X151&lt;=3.49,"Medium","High"))</f>
        <v>Low</v>
      </c>
      <c r="Z151" s="8" t="str">
        <f aca="false">IF(OR($F151&gt;=3,$E151=5,$D151=5,$C151=5,$G151=5,$H151=5,$I151=5,$J151=5,Customers!$W151="Yes"),"Yes","No")</f>
        <v>No</v>
      </c>
      <c r="AA151" s="15" t="str">
        <f aca="false">IF($Z151="Yes","High",$Y151)</f>
        <v>Low</v>
      </c>
      <c r="AB151" s="18" t="n">
        <f aca="false">SUMPRODUCT($C151:$G151,Weights!$C$28:$G$28)</f>
        <v>1.7</v>
      </c>
      <c r="AC151" s="18" t="n">
        <f aca="false">SUMPRODUCT($H151:$J151,Weights!$H$28:$J$28)</f>
        <v>1</v>
      </c>
      <c r="AD151" s="18" t="n">
        <f aca="false">SUMPRODUCT($K151:$N151,Weights!$K$28:$N$28)</f>
        <v>1.6</v>
      </c>
      <c r="AE151" s="18" t="n">
        <f aca="false">SUMPRODUCT($O151:$Q151,Weights!$O$28:$Q$28)</f>
        <v>2.95</v>
      </c>
      <c r="AF151" s="18" t="n">
        <f aca="false">SUMPRODUCT($R151:$V151,Weights!$R$28:$V$28)</f>
        <v>1.3</v>
      </c>
      <c r="AH151" s="18" t="n">
        <f aca="false">SUMPRODUCT($AB151:$AF151,Validation!$D$7:$H$7)</f>
        <v>1.551428571429</v>
      </c>
      <c r="AI151" s="18" t="n">
        <f aca="false">SUMPRODUCT($AB151:$AF151,Validation!$D$8:$H$8)</f>
        <v>1.588571428571</v>
      </c>
      <c r="AJ151" s="18" t="n">
        <f aca="false">SUMPRODUCT($AB151:$AF151,Validation!$D$9:$H$9)</f>
        <v>1.64599999999955</v>
      </c>
      <c r="AK151" s="18" t="n">
        <f aca="false">SUMPRODUCT($AB151:$AF151,Validation!$D$10:$H$10)</f>
        <v>1.49400000000045</v>
      </c>
      <c r="AL151" s="18" t="n">
        <f aca="false">SUMPRODUCT($AB151:$AF151,Validation!$D$11:$H$11)</f>
        <v>1.56625</v>
      </c>
      <c r="AM151" s="18" t="n">
        <f aca="false">SUMPRODUCT($AB151:$AF151,Validation!$D$12:$H$12)</f>
        <v>1.57375</v>
      </c>
      <c r="AN151" s="18" t="n">
        <f aca="false">SUMPRODUCT($AB151:$AF151,Validation!$D$13:$H$13)</f>
        <v>1.4166666666664</v>
      </c>
      <c r="AO151" s="18" t="n">
        <f aca="false">SUMPRODUCT($AB151:$AF151,Validation!$D$14:$H$14)</f>
        <v>1.7233333333336</v>
      </c>
      <c r="AP151" s="18" t="n">
        <f aca="false">SUMPRODUCT($AB151:$AF151,Validation!$D$15:$H$15)</f>
        <v>1.6017647058818</v>
      </c>
      <c r="AQ151" s="18" t="n">
        <f aca="false">SUMPRODUCT($AB151:$AF151,Validation!$D$16:$H$16)</f>
        <v>1.5382352941182</v>
      </c>
      <c r="AR151" s="8" t="n">
        <f aca="false">COUNTIF($C151:$V151,"&gt;=4")</f>
        <v>1</v>
      </c>
      <c r="AS151" s="8" t="str">
        <f aca="false">IF($X151&lt;=1.6,"Low",IF($X151&lt;=2.2,"Medium","High"))</f>
        <v>Low</v>
      </c>
      <c r="AT151" s="8" t="str">
        <f aca="false">IF($AR151=0,"Low",IF($AR151&lt;3,"Medium","High"))</f>
        <v>Medium</v>
      </c>
      <c r="AU151" s="8" t="str">
        <f aca="false">IF(OR($AS151="High",$AT151="High"),"High",IF(OR($AS151="Medium",$AT151="Medium"),"Medium","Low"))</f>
        <v>Medium</v>
      </c>
      <c r="AV151" s="15" t="str">
        <f aca="false">IF($Z151="Yes","High",$AU151)</f>
        <v>Medium</v>
      </c>
    </row>
    <row r="152" customFormat="false" ht="15" hidden="false" customHeight="false" outlineLevel="0" collapsed="false">
      <c r="A152" s="7" t="str">
        <f aca="false">Customers!$A152</f>
        <v>NG-10259</v>
      </c>
      <c r="B152" s="7" t="str">
        <f aca="false">Customers!$B152</f>
        <v>Personal</v>
      </c>
      <c r="C152" s="8" t="n">
        <f aca="false">INDEX(Mapping!$C$2:$C$99,MATCH(C$1&amp;"|"&amp;Customers!C152,Mapping!$D$2:$D$99,0))</f>
        <v>1</v>
      </c>
      <c r="D152" s="8" t="n">
        <f aca="false">INDEX(Mapping!$C$2:$C$99,MATCH(D$1&amp;"|"&amp;Customers!D152,Mapping!$D$2:$D$99,0))</f>
        <v>1</v>
      </c>
      <c r="E152" s="8" t="n">
        <f aca="false">INDEX(Mapping!$C$2:$C$99,MATCH(E$1&amp;"|"&amp;Customers!E152,Mapping!$D$2:$D$99,0))</f>
        <v>2</v>
      </c>
      <c r="F152" s="8" t="n">
        <f aca="false">INDEX(Mapping!$C$2:$C$99,MATCH(F$1&amp;"|"&amp;Customers!F152,Mapping!$D$2:$D$99,0))</f>
        <v>1</v>
      </c>
      <c r="G152" s="8" t="n">
        <f aca="false">INDEX(Mapping!$C$2:$C$99,MATCH(G$1&amp;"|"&amp;Customers!G152,Mapping!$D$2:$D$99,0))</f>
        <v>1</v>
      </c>
      <c r="H152" s="8" t="n">
        <f aca="false">INDEX(Mapping!$C$2:$C$99,MATCH(H$1&amp;"|"&amp;Customers!H152,Mapping!$D$2:$D$99,0))</f>
        <v>1</v>
      </c>
      <c r="I152" s="8" t="n">
        <f aca="false">INDEX(Mapping!$C$2:$C$99,MATCH(I$1&amp;"|"&amp;Customers!I152,Mapping!$D$2:$D$99,0))</f>
        <v>1</v>
      </c>
      <c r="J152" s="8" t="n">
        <f aca="false">INDEX(Mapping!$C$2:$C$99,MATCH(J$1&amp;"|"&amp;Customers!J152,Mapping!$D$2:$D$99,0))</f>
        <v>1</v>
      </c>
      <c r="K152" s="8" t="n">
        <f aca="false">INDEX(Mapping!$C$2:$C$99,MATCH(K$1&amp;"|"&amp;Customers!K152,Mapping!$D$2:$D$99,0))</f>
        <v>3</v>
      </c>
      <c r="L152" s="8" t="n">
        <f aca="false">INDEX(Mapping!$C$2:$C$99,MATCH(L$1&amp;"|"&amp;Customers!L152,Mapping!$D$2:$D$99,0))</f>
        <v>3</v>
      </c>
      <c r="M152" s="8" t="n">
        <f aca="false">INDEX(Mapping!$C$2:$C$99,MATCH(M$1&amp;"|"&amp;Customers!M152,Mapping!$D$2:$D$99,0))</f>
        <v>3</v>
      </c>
      <c r="N152" s="8" t="n">
        <f aca="false">INDEX(Mapping!$C$2:$C$99,MATCH(N$1&amp;"|"&amp;Customers!N152,Mapping!$D$2:$D$99,0))</f>
        <v>1</v>
      </c>
      <c r="O152" s="8" t="n">
        <f aca="false">INDEX(Mapping!$C$2:$C$99,MATCH(O$1&amp;"|"&amp;Customers!O152,Mapping!$D$2:$D$99,0))</f>
        <v>3</v>
      </c>
      <c r="P152" s="8" t="n">
        <f aca="false">INDEX(Mapping!$C$2:$C$99,MATCH(P$1&amp;"|"&amp;Customers!P152,Mapping!$D$2:$D$99,0))</f>
        <v>3</v>
      </c>
      <c r="Q152" s="8" t="n">
        <f aca="false">INDEX(Mapping!$C$2:$C$99,MATCH(Q$1&amp;"|"&amp;Customers!Q152,Mapping!$D$2:$D$99,0))</f>
        <v>1</v>
      </c>
      <c r="R152" s="8" t="n">
        <f aca="false">INDEX(Mapping!$C$2:$C$99,MATCH(R$1&amp;"|"&amp;Customers!R152,Mapping!$D$2:$D$99,0))</f>
        <v>2</v>
      </c>
      <c r="S152" s="8" t="n">
        <f aca="false">INDEX(Mapping!$C$2:$C$99,MATCH(S$1&amp;"|"&amp;Customers!S152,Mapping!$D$2:$D$99,0))</f>
        <v>1</v>
      </c>
      <c r="T152" s="8" t="n">
        <f aca="false">INDEX(Mapping!$C$2:$C$99,MATCH(T$1&amp;"|"&amp;Customers!T152,Mapping!$D$2:$D$99,0))</f>
        <v>2</v>
      </c>
      <c r="U152" s="8" t="n">
        <f aca="false">INDEX(Mapping!$C$2:$C$99,MATCH(U$1&amp;"|"&amp;Customers!U152,Mapping!$D$2:$D$99,0))</f>
        <v>1</v>
      </c>
      <c r="V152" s="8" t="n">
        <f aca="false">INDEX(Mapping!$C$2:$C$99,MATCH(V$1&amp;"|"&amp;Customers!V152,Mapping!$D$2:$D$99,0))</f>
        <v>1</v>
      </c>
      <c r="W152" s="17" t="n">
        <f aca="false">SUMPRODUCT($C152:$V152,Weights!$C$27:$V$27)</f>
        <v>1.6425</v>
      </c>
      <c r="X152" s="18" t="n">
        <f aca="false">ROUND($W152,2)</f>
        <v>1.64</v>
      </c>
      <c r="Y152" s="8" t="str">
        <f aca="false">IF($X152&lt;=2,"Low",IF($X152&lt;=3.49,"Medium","High"))</f>
        <v>Low</v>
      </c>
      <c r="Z152" s="8" t="str">
        <f aca="false">IF(OR($F152&gt;=3,$E152=5,$D152=5,$C152=5,$G152=5,$H152=5,$I152=5,$J152=5,Customers!$W152="Yes"),"Yes","No")</f>
        <v>No</v>
      </c>
      <c r="AA152" s="15" t="str">
        <f aca="false">IF($Z152="Yes","High",$Y152)</f>
        <v>Low</v>
      </c>
      <c r="AB152" s="18" t="n">
        <f aca="false">SUMPRODUCT($C152:$G152,Weights!$C$28:$G$28)</f>
        <v>1.25</v>
      </c>
      <c r="AC152" s="18" t="n">
        <f aca="false">SUMPRODUCT($H152:$J152,Weights!$H$28:$J$28)</f>
        <v>1</v>
      </c>
      <c r="AD152" s="18" t="n">
        <f aca="false">SUMPRODUCT($K152:$N152,Weights!$K$28:$N$28)</f>
        <v>2.7</v>
      </c>
      <c r="AE152" s="18" t="n">
        <f aca="false">SUMPRODUCT($O152:$Q152,Weights!$O$28:$Q$28)</f>
        <v>2.6</v>
      </c>
      <c r="AF152" s="18" t="n">
        <f aca="false">SUMPRODUCT($R152:$V152,Weights!$R$28:$V$28)</f>
        <v>1.45</v>
      </c>
      <c r="AH152" s="18" t="n">
        <f aca="false">SUMPRODUCT($AB152:$AF152,Validation!$D$7:$H$7)</f>
        <v>1.69857142857135</v>
      </c>
      <c r="AI152" s="18" t="n">
        <f aca="false">SUMPRODUCT($AB152:$AF152,Validation!$D$8:$H$8)</f>
        <v>1.58642857142865</v>
      </c>
      <c r="AJ152" s="18" t="n">
        <f aca="false">SUMPRODUCT($AB152:$AF152,Validation!$D$9:$H$9)</f>
        <v>1.7281666666667</v>
      </c>
      <c r="AK152" s="18" t="n">
        <f aca="false">SUMPRODUCT($AB152:$AF152,Validation!$D$10:$H$10)</f>
        <v>1.5568333333333</v>
      </c>
      <c r="AL152" s="18" t="n">
        <f aca="false">SUMPRODUCT($AB152:$AF152,Validation!$D$11:$H$11)</f>
        <v>1.5103125</v>
      </c>
      <c r="AM152" s="18" t="n">
        <f aca="false">SUMPRODUCT($AB152:$AF152,Validation!$D$12:$H$12)</f>
        <v>1.7746875</v>
      </c>
      <c r="AN152" s="18" t="n">
        <f aca="false">SUMPRODUCT($AB152:$AF152,Validation!$D$13:$H$13)</f>
        <v>1.5361111111108</v>
      </c>
      <c r="AO152" s="18" t="n">
        <f aca="false">SUMPRODUCT($AB152:$AF152,Validation!$D$14:$H$14)</f>
        <v>1.7488888888892</v>
      </c>
      <c r="AP152" s="18" t="n">
        <f aca="false">SUMPRODUCT($AB152:$AF152,Validation!$D$15:$H$15)</f>
        <v>1.66514705882345</v>
      </c>
      <c r="AQ152" s="18" t="n">
        <f aca="false">SUMPRODUCT($AB152:$AF152,Validation!$D$16:$H$16)</f>
        <v>1.61985294117655</v>
      </c>
      <c r="AR152" s="8" t="n">
        <f aca="false">COUNTIF($C152:$V152,"&gt;=4")</f>
        <v>0</v>
      </c>
      <c r="AS152" s="8" t="str">
        <f aca="false">IF($X152&lt;=1.6,"Low",IF($X152&lt;=2.2,"Medium","High"))</f>
        <v>Medium</v>
      </c>
      <c r="AT152" s="8" t="str">
        <f aca="false">IF($AR152=0,"Low",IF($AR152&lt;3,"Medium","High"))</f>
        <v>Low</v>
      </c>
      <c r="AU152" s="8" t="str">
        <f aca="false">IF(OR($AS152="High",$AT152="High"),"High",IF(OR($AS152="Medium",$AT152="Medium"),"Medium","Low"))</f>
        <v>Medium</v>
      </c>
      <c r="AV152" s="15" t="str">
        <f aca="false">IF($Z152="Yes","High",$AU152)</f>
        <v>Medium</v>
      </c>
    </row>
    <row r="153" customFormat="false" ht="15" hidden="false" customHeight="false" outlineLevel="0" collapsed="false">
      <c r="A153" s="7" t="str">
        <f aca="false">Customers!$A153</f>
        <v>NG-10013</v>
      </c>
      <c r="B153" s="7" t="str">
        <f aca="false">Customers!$B153</f>
        <v>Personal</v>
      </c>
      <c r="C153" s="8" t="n">
        <f aca="false">INDEX(Mapping!$C$2:$C$99,MATCH(C$1&amp;"|"&amp;Customers!C153,Mapping!$D$2:$D$99,0))</f>
        <v>1</v>
      </c>
      <c r="D153" s="8" t="n">
        <f aca="false">INDEX(Mapping!$C$2:$C$99,MATCH(D$1&amp;"|"&amp;Customers!D153,Mapping!$D$2:$D$99,0))</f>
        <v>1</v>
      </c>
      <c r="E153" s="8" t="n">
        <f aca="false">INDEX(Mapping!$C$2:$C$99,MATCH(E$1&amp;"|"&amp;Customers!E153,Mapping!$D$2:$D$99,0))</f>
        <v>3</v>
      </c>
      <c r="F153" s="8" t="n">
        <f aca="false">INDEX(Mapping!$C$2:$C$99,MATCH(F$1&amp;"|"&amp;Customers!F153,Mapping!$D$2:$D$99,0))</f>
        <v>1</v>
      </c>
      <c r="G153" s="8" t="n">
        <f aca="false">INDEX(Mapping!$C$2:$C$99,MATCH(G$1&amp;"|"&amp;Customers!G153,Mapping!$D$2:$D$99,0))</f>
        <v>1</v>
      </c>
      <c r="H153" s="8" t="n">
        <f aca="false">INDEX(Mapping!$C$2:$C$99,MATCH(H$1&amp;"|"&amp;Customers!H153,Mapping!$D$2:$D$99,0))</f>
        <v>1</v>
      </c>
      <c r="I153" s="8" t="n">
        <f aca="false">INDEX(Mapping!$C$2:$C$99,MATCH(I$1&amp;"|"&amp;Customers!I153,Mapping!$D$2:$D$99,0))</f>
        <v>2</v>
      </c>
      <c r="J153" s="8" t="n">
        <f aca="false">INDEX(Mapping!$C$2:$C$99,MATCH(J$1&amp;"|"&amp;Customers!J153,Mapping!$D$2:$D$99,0))</f>
        <v>1</v>
      </c>
      <c r="K153" s="8" t="n">
        <f aca="false">INDEX(Mapping!$C$2:$C$99,MATCH(K$1&amp;"|"&amp;Customers!K153,Mapping!$D$2:$D$99,0))</f>
        <v>2</v>
      </c>
      <c r="L153" s="8" t="n">
        <f aca="false">INDEX(Mapping!$C$2:$C$99,MATCH(L$1&amp;"|"&amp;Customers!L153,Mapping!$D$2:$D$99,0))</f>
        <v>2</v>
      </c>
      <c r="M153" s="8" t="n">
        <f aca="false">INDEX(Mapping!$C$2:$C$99,MATCH(M$1&amp;"|"&amp;Customers!M153,Mapping!$D$2:$D$99,0))</f>
        <v>1</v>
      </c>
      <c r="N153" s="8" t="n">
        <f aca="false">INDEX(Mapping!$C$2:$C$99,MATCH(N$1&amp;"|"&amp;Customers!N153,Mapping!$D$2:$D$99,0))</f>
        <v>1</v>
      </c>
      <c r="O153" s="8" t="n">
        <f aca="false">INDEX(Mapping!$C$2:$C$99,MATCH(O$1&amp;"|"&amp;Customers!O153,Mapping!$D$2:$D$99,0))</f>
        <v>3</v>
      </c>
      <c r="P153" s="8" t="n">
        <f aca="false">INDEX(Mapping!$C$2:$C$99,MATCH(P$1&amp;"|"&amp;Customers!P153,Mapping!$D$2:$D$99,0))</f>
        <v>3</v>
      </c>
      <c r="Q153" s="8" t="n">
        <f aca="false">INDEX(Mapping!$C$2:$C$99,MATCH(Q$1&amp;"|"&amp;Customers!Q153,Mapping!$D$2:$D$99,0))</f>
        <v>3</v>
      </c>
      <c r="R153" s="8" t="n">
        <f aca="false">INDEX(Mapping!$C$2:$C$99,MATCH(R$1&amp;"|"&amp;Customers!R153,Mapping!$D$2:$D$99,0))</f>
        <v>1</v>
      </c>
      <c r="S153" s="8" t="n">
        <f aca="false">INDEX(Mapping!$C$2:$C$99,MATCH(S$1&amp;"|"&amp;Customers!S153,Mapping!$D$2:$D$99,0))</f>
        <v>3</v>
      </c>
      <c r="T153" s="8" t="n">
        <f aca="false">INDEX(Mapping!$C$2:$C$99,MATCH(T$1&amp;"|"&amp;Customers!T153,Mapping!$D$2:$D$99,0))</f>
        <v>1</v>
      </c>
      <c r="U153" s="8" t="n">
        <f aca="false">INDEX(Mapping!$C$2:$C$99,MATCH(U$1&amp;"|"&amp;Customers!U153,Mapping!$D$2:$D$99,0))</f>
        <v>1</v>
      </c>
      <c r="V153" s="8" t="n">
        <f aca="false">INDEX(Mapping!$C$2:$C$99,MATCH(V$1&amp;"|"&amp;Customers!V153,Mapping!$D$2:$D$99,0))</f>
        <v>1</v>
      </c>
      <c r="W153" s="17" t="n">
        <f aca="false">SUMPRODUCT($C153:$V153,Weights!$C$27:$V$27)</f>
        <v>1.61</v>
      </c>
      <c r="X153" s="18" t="n">
        <f aca="false">ROUND($W153,2)</f>
        <v>1.61</v>
      </c>
      <c r="Y153" s="8" t="str">
        <f aca="false">IF($X153&lt;=2,"Low",IF($X153&lt;=3.49,"Medium","High"))</f>
        <v>Low</v>
      </c>
      <c r="Z153" s="8" t="str">
        <f aca="false">IF(OR($F153&gt;=3,$E153=5,$D153=5,$C153=5,$G153=5,$H153=5,$I153=5,$J153=5,Customers!$W153="Yes"),"Yes","No")</f>
        <v>No</v>
      </c>
      <c r="AA153" s="15" t="str">
        <f aca="false">IF($Z153="Yes","High",$Y153)</f>
        <v>Low</v>
      </c>
      <c r="AB153" s="18" t="n">
        <f aca="false">SUMPRODUCT($C153:$G153,Weights!$C$28:$G$28)</f>
        <v>1.5</v>
      </c>
      <c r="AC153" s="18" t="n">
        <f aca="false">SUMPRODUCT($H153:$J153,Weights!$H$28:$J$28)</f>
        <v>1.2</v>
      </c>
      <c r="AD153" s="18" t="n">
        <f aca="false">SUMPRODUCT($K153:$N153,Weights!$K$28:$N$28)</f>
        <v>1.6</v>
      </c>
      <c r="AE153" s="18" t="n">
        <f aca="false">SUMPRODUCT($O153:$Q153,Weights!$O$28:$Q$28)</f>
        <v>3</v>
      </c>
      <c r="AF153" s="18" t="n">
        <f aca="false">SUMPRODUCT($R153:$V153,Weights!$R$28:$V$28)</f>
        <v>1.6</v>
      </c>
      <c r="AH153" s="18" t="n">
        <f aca="false">SUMPRODUCT($AB153:$AF153,Validation!$D$7:$H$7)</f>
        <v>1.6257142857148</v>
      </c>
      <c r="AI153" s="18" t="n">
        <f aca="false">SUMPRODUCT($AB153:$AF153,Validation!$D$8:$H$8)</f>
        <v>1.5942857142852</v>
      </c>
      <c r="AJ153" s="18" t="n">
        <f aca="false">SUMPRODUCT($AB153:$AF153,Validation!$D$9:$H$9)</f>
        <v>1.6646666666662</v>
      </c>
      <c r="AK153" s="18" t="n">
        <f aca="false">SUMPRODUCT($AB153:$AF153,Validation!$D$10:$H$10)</f>
        <v>1.5553333333338</v>
      </c>
      <c r="AL153" s="18" t="n">
        <f aca="false">SUMPRODUCT($AB153:$AF153,Validation!$D$11:$H$11)</f>
        <v>1.61125</v>
      </c>
      <c r="AM153" s="18" t="n">
        <f aca="false">SUMPRODUCT($AB153:$AF153,Validation!$D$12:$H$12)</f>
        <v>1.60875</v>
      </c>
      <c r="AN153" s="18" t="n">
        <f aca="false">SUMPRODUCT($AB153:$AF153,Validation!$D$13:$H$13)</f>
        <v>1.4555555555555</v>
      </c>
      <c r="AO153" s="18" t="n">
        <f aca="false">SUMPRODUCT($AB153:$AF153,Validation!$D$14:$H$14)</f>
        <v>1.7644444444445</v>
      </c>
      <c r="AP153" s="18" t="n">
        <f aca="false">SUMPRODUCT($AB153:$AF153,Validation!$D$15:$H$15)</f>
        <v>1.6111764705877</v>
      </c>
      <c r="AQ153" s="18" t="n">
        <f aca="false">SUMPRODUCT($AB153:$AF153,Validation!$D$16:$H$16)</f>
        <v>1.6088235294123</v>
      </c>
      <c r="AR153" s="8" t="n">
        <f aca="false">COUNTIF($C153:$V153,"&gt;=4")</f>
        <v>0</v>
      </c>
      <c r="AS153" s="8" t="str">
        <f aca="false">IF($X153&lt;=1.6,"Low",IF($X153&lt;=2.2,"Medium","High"))</f>
        <v>Medium</v>
      </c>
      <c r="AT153" s="8" t="str">
        <f aca="false">IF($AR153=0,"Low",IF($AR153&lt;3,"Medium","High"))</f>
        <v>Low</v>
      </c>
      <c r="AU153" s="8" t="str">
        <f aca="false">IF(OR($AS153="High",$AT153="High"),"High",IF(OR($AS153="Medium",$AT153="Medium"),"Medium","Low"))</f>
        <v>Medium</v>
      </c>
      <c r="AV153" s="15" t="str">
        <f aca="false">IF($Z153="Yes","High",$AU153)</f>
        <v>Medium</v>
      </c>
    </row>
    <row r="154" customFormat="false" ht="15" hidden="false" customHeight="false" outlineLevel="0" collapsed="false">
      <c r="A154" s="7" t="str">
        <f aca="false">Customers!$A154</f>
        <v>NG-10389</v>
      </c>
      <c r="B154" s="7" t="str">
        <f aca="false">Customers!$B154</f>
        <v>Limited company</v>
      </c>
      <c r="C154" s="8" t="n">
        <f aca="false">INDEX(Mapping!$C$2:$C$99,MATCH(C$1&amp;"|"&amp;Customers!C154,Mapping!$D$2:$D$99,0))</f>
        <v>3</v>
      </c>
      <c r="D154" s="8" t="n">
        <f aca="false">INDEX(Mapping!$C$2:$C$99,MATCH(D$1&amp;"|"&amp;Customers!D154,Mapping!$D$2:$D$99,0))</f>
        <v>5</v>
      </c>
      <c r="E154" s="8" t="n">
        <f aca="false">INDEX(Mapping!$C$2:$C$99,MATCH(E$1&amp;"|"&amp;Customers!E154,Mapping!$D$2:$D$99,0))</f>
        <v>3</v>
      </c>
      <c r="F154" s="8" t="n">
        <f aca="false">INDEX(Mapping!$C$2:$C$99,MATCH(F$1&amp;"|"&amp;Customers!F154,Mapping!$D$2:$D$99,0))</f>
        <v>1</v>
      </c>
      <c r="G154" s="8" t="n">
        <f aca="false">INDEX(Mapping!$C$2:$C$99,MATCH(G$1&amp;"|"&amp;Customers!G154,Mapping!$D$2:$D$99,0))</f>
        <v>1</v>
      </c>
      <c r="H154" s="8" t="n">
        <f aca="false">INDEX(Mapping!$C$2:$C$99,MATCH(H$1&amp;"|"&amp;Customers!H154,Mapping!$D$2:$D$99,0))</f>
        <v>1</v>
      </c>
      <c r="I154" s="8" t="n">
        <f aca="false">INDEX(Mapping!$C$2:$C$99,MATCH(I$1&amp;"|"&amp;Customers!I154,Mapping!$D$2:$D$99,0))</f>
        <v>1</v>
      </c>
      <c r="J154" s="8" t="n">
        <f aca="false">INDEX(Mapping!$C$2:$C$99,MATCH(J$1&amp;"|"&amp;Customers!J154,Mapping!$D$2:$D$99,0))</f>
        <v>5</v>
      </c>
      <c r="K154" s="8" t="n">
        <f aca="false">INDEX(Mapping!$C$2:$C$99,MATCH(K$1&amp;"|"&amp;Customers!K154,Mapping!$D$2:$D$99,0))</f>
        <v>4</v>
      </c>
      <c r="L154" s="8" t="n">
        <f aca="false">INDEX(Mapping!$C$2:$C$99,MATCH(L$1&amp;"|"&amp;Customers!L154,Mapping!$D$2:$D$99,0))</f>
        <v>3</v>
      </c>
      <c r="M154" s="8" t="n">
        <f aca="false">INDEX(Mapping!$C$2:$C$99,MATCH(M$1&amp;"|"&amp;Customers!M154,Mapping!$D$2:$D$99,0))</f>
        <v>1</v>
      </c>
      <c r="N154" s="8" t="n">
        <f aca="false">INDEX(Mapping!$C$2:$C$99,MATCH(N$1&amp;"|"&amp;Customers!N154,Mapping!$D$2:$D$99,0))</f>
        <v>3</v>
      </c>
      <c r="O154" s="8" t="n">
        <f aca="false">INDEX(Mapping!$C$2:$C$99,MATCH(O$1&amp;"|"&amp;Customers!O154,Mapping!$D$2:$D$99,0))</f>
        <v>4</v>
      </c>
      <c r="P154" s="8" t="n">
        <f aca="false">INDEX(Mapping!$C$2:$C$99,MATCH(P$1&amp;"|"&amp;Customers!P154,Mapping!$D$2:$D$99,0))</f>
        <v>1</v>
      </c>
      <c r="Q154" s="8" t="n">
        <f aca="false">INDEX(Mapping!$C$2:$C$99,MATCH(Q$1&amp;"|"&amp;Customers!Q154,Mapping!$D$2:$D$99,0))</f>
        <v>1</v>
      </c>
      <c r="R154" s="8" t="n">
        <f aca="false">INDEX(Mapping!$C$2:$C$99,MATCH(R$1&amp;"|"&amp;Customers!R154,Mapping!$D$2:$D$99,0))</f>
        <v>2</v>
      </c>
      <c r="S154" s="8" t="n">
        <f aca="false">INDEX(Mapping!$C$2:$C$99,MATCH(S$1&amp;"|"&amp;Customers!S154,Mapping!$D$2:$D$99,0))</f>
        <v>3</v>
      </c>
      <c r="T154" s="8" t="n">
        <f aca="false">INDEX(Mapping!$C$2:$C$99,MATCH(T$1&amp;"|"&amp;Customers!T154,Mapping!$D$2:$D$99,0))</f>
        <v>2</v>
      </c>
      <c r="U154" s="8" t="n">
        <f aca="false">INDEX(Mapping!$C$2:$C$99,MATCH(U$1&amp;"|"&amp;Customers!U154,Mapping!$D$2:$D$99,0))</f>
        <v>2</v>
      </c>
      <c r="V154" s="8" t="n">
        <f aca="false">INDEX(Mapping!$C$2:$C$99,MATCH(V$1&amp;"|"&amp;Customers!V154,Mapping!$D$2:$D$99,0))</f>
        <v>3</v>
      </c>
      <c r="W154" s="17" t="n">
        <f aca="false">SUMPRODUCT($C154:$V154,Weights!$C$27:$V$27)</f>
        <v>2.625</v>
      </c>
      <c r="X154" s="18" t="n">
        <f aca="false">ROUND($W154,2)</f>
        <v>2.63</v>
      </c>
      <c r="Y154" s="8" t="str">
        <f aca="false">IF($X154&lt;=2,"Low",IF($X154&lt;=3.49,"Medium","High"))</f>
        <v>Medium</v>
      </c>
      <c r="Z154" s="8" t="str">
        <f aca="false">IF(OR($F154&gt;=3,$E154=5,$D154=5,$C154=5,$G154=5,$H154=5,$I154=5,$J154=5,Customers!$W154="Yes"),"Yes","No")</f>
        <v>Yes</v>
      </c>
      <c r="AA154" s="15" t="str">
        <f aca="false">IF($Z154="Yes","High",$Y154)</f>
        <v>High</v>
      </c>
      <c r="AB154" s="18" t="n">
        <f aca="false">SUMPRODUCT($C154:$G154,Weights!$C$28:$G$28)</f>
        <v>2.7</v>
      </c>
      <c r="AC154" s="18" t="n">
        <f aca="false">SUMPRODUCT($H154:$J154,Weights!$H$28:$J$28)</f>
        <v>2.6</v>
      </c>
      <c r="AD154" s="18" t="n">
        <f aca="false">SUMPRODUCT($K154:$N154,Weights!$K$28:$N$28)</f>
        <v>2.85</v>
      </c>
      <c r="AE154" s="18" t="n">
        <f aca="false">SUMPRODUCT($O154:$Q154,Weights!$O$28:$Q$28)</f>
        <v>2.35</v>
      </c>
      <c r="AF154" s="18" t="n">
        <f aca="false">SUMPRODUCT($R154:$V154,Weights!$R$28:$V$28)</f>
        <v>2.4</v>
      </c>
      <c r="AH154" s="18" t="n">
        <f aca="false">SUMPRODUCT($AB154:$AF154,Validation!$D$7:$H$7)</f>
        <v>2.61428571428545</v>
      </c>
      <c r="AI154" s="18" t="n">
        <f aca="false">SUMPRODUCT($AB154:$AF154,Validation!$D$8:$H$8)</f>
        <v>2.63571428571455</v>
      </c>
      <c r="AJ154" s="18" t="n">
        <f aca="false">SUMPRODUCT($AB154:$AF154,Validation!$D$9:$H$9)</f>
        <v>2.6283333333335</v>
      </c>
      <c r="AK154" s="18" t="n">
        <f aca="false">SUMPRODUCT($AB154:$AF154,Validation!$D$10:$H$10)</f>
        <v>2.6216666666665</v>
      </c>
      <c r="AL154" s="18" t="n">
        <f aca="false">SUMPRODUCT($AB154:$AF154,Validation!$D$11:$H$11)</f>
        <v>2.596875</v>
      </c>
      <c r="AM154" s="18" t="n">
        <f aca="false">SUMPRODUCT($AB154:$AF154,Validation!$D$12:$H$12)</f>
        <v>2.653125</v>
      </c>
      <c r="AN154" s="18" t="n">
        <f aca="false">SUMPRODUCT($AB154:$AF154,Validation!$D$13:$H$13)</f>
        <v>2.6555555555554</v>
      </c>
      <c r="AO154" s="18" t="n">
        <f aca="false">SUMPRODUCT($AB154:$AF154,Validation!$D$14:$H$14)</f>
        <v>2.5944444444446</v>
      </c>
      <c r="AP154" s="18" t="n">
        <f aca="false">SUMPRODUCT($AB154:$AF154,Validation!$D$15:$H$15)</f>
        <v>2.65147058823545</v>
      </c>
      <c r="AQ154" s="18" t="n">
        <f aca="false">SUMPRODUCT($AB154:$AF154,Validation!$D$16:$H$16)</f>
        <v>2.59852941176455</v>
      </c>
      <c r="AR154" s="8" t="n">
        <f aca="false">COUNTIF($C154:$V154,"&gt;=4")</f>
        <v>4</v>
      </c>
      <c r="AS154" s="8" t="str">
        <f aca="false">IF($X154&lt;=1.6,"Low",IF($X154&lt;=2.2,"Medium","High"))</f>
        <v>High</v>
      </c>
      <c r="AT154" s="8" t="str">
        <f aca="false">IF($AR154=0,"Low",IF($AR154&lt;3,"Medium","High"))</f>
        <v>High</v>
      </c>
      <c r="AU154" s="8" t="str">
        <f aca="false">IF(OR($AS154="High",$AT154="High"),"High",IF(OR($AS154="Medium",$AT154="Medium"),"Medium","Low"))</f>
        <v>High</v>
      </c>
      <c r="AV154" s="15" t="str">
        <f aca="false">IF($Z154="Yes","High",$AU154)</f>
        <v>High</v>
      </c>
    </row>
    <row r="155" customFormat="false" ht="15" hidden="false" customHeight="false" outlineLevel="0" collapsed="false">
      <c r="A155" s="7" t="str">
        <f aca="false">Customers!$A155</f>
        <v>NG-10271</v>
      </c>
      <c r="B155" s="7" t="str">
        <f aca="false">Customers!$B155</f>
        <v>Personal</v>
      </c>
      <c r="C155" s="8" t="n">
        <f aca="false">INDEX(Mapping!$C$2:$C$99,MATCH(C$1&amp;"|"&amp;Customers!C155,Mapping!$D$2:$D$99,0))</f>
        <v>2</v>
      </c>
      <c r="D155" s="8" t="n">
        <f aca="false">INDEX(Mapping!$C$2:$C$99,MATCH(D$1&amp;"|"&amp;Customers!D155,Mapping!$D$2:$D$99,0))</f>
        <v>1</v>
      </c>
      <c r="E155" s="8" t="n">
        <f aca="false">INDEX(Mapping!$C$2:$C$99,MATCH(E$1&amp;"|"&amp;Customers!E155,Mapping!$D$2:$D$99,0))</f>
        <v>1</v>
      </c>
      <c r="F155" s="8" t="n">
        <f aca="false">INDEX(Mapping!$C$2:$C$99,MATCH(F$1&amp;"|"&amp;Customers!F155,Mapping!$D$2:$D$99,0))</f>
        <v>1</v>
      </c>
      <c r="G155" s="8" t="n">
        <f aca="false">INDEX(Mapping!$C$2:$C$99,MATCH(G$1&amp;"|"&amp;Customers!G155,Mapping!$D$2:$D$99,0))</f>
        <v>1</v>
      </c>
      <c r="H155" s="8" t="n">
        <f aca="false">INDEX(Mapping!$C$2:$C$99,MATCH(H$1&amp;"|"&amp;Customers!H155,Mapping!$D$2:$D$99,0))</f>
        <v>1</v>
      </c>
      <c r="I155" s="8" t="n">
        <f aca="false">INDEX(Mapping!$C$2:$C$99,MATCH(I$1&amp;"|"&amp;Customers!I155,Mapping!$D$2:$D$99,0))</f>
        <v>1</v>
      </c>
      <c r="J155" s="8" t="n">
        <f aca="false">INDEX(Mapping!$C$2:$C$99,MATCH(J$1&amp;"|"&amp;Customers!J155,Mapping!$D$2:$D$99,0))</f>
        <v>1</v>
      </c>
      <c r="K155" s="8" t="n">
        <f aca="false">INDEX(Mapping!$C$2:$C$99,MATCH(K$1&amp;"|"&amp;Customers!K155,Mapping!$D$2:$D$99,0))</f>
        <v>3</v>
      </c>
      <c r="L155" s="8" t="n">
        <f aca="false">INDEX(Mapping!$C$2:$C$99,MATCH(L$1&amp;"|"&amp;Customers!L155,Mapping!$D$2:$D$99,0))</f>
        <v>3</v>
      </c>
      <c r="M155" s="8" t="n">
        <f aca="false">INDEX(Mapping!$C$2:$C$99,MATCH(M$1&amp;"|"&amp;Customers!M155,Mapping!$D$2:$D$99,0))</f>
        <v>3</v>
      </c>
      <c r="N155" s="8" t="n">
        <f aca="false">INDEX(Mapping!$C$2:$C$99,MATCH(N$1&amp;"|"&amp;Customers!N155,Mapping!$D$2:$D$99,0))</f>
        <v>1</v>
      </c>
      <c r="O155" s="8" t="n">
        <f aca="false">INDEX(Mapping!$C$2:$C$99,MATCH(O$1&amp;"|"&amp;Customers!O155,Mapping!$D$2:$D$99,0))</f>
        <v>3</v>
      </c>
      <c r="P155" s="8" t="n">
        <f aca="false">INDEX(Mapping!$C$2:$C$99,MATCH(P$1&amp;"|"&amp;Customers!P155,Mapping!$D$2:$D$99,0))</f>
        <v>4</v>
      </c>
      <c r="Q155" s="8" t="n">
        <f aca="false">INDEX(Mapping!$C$2:$C$99,MATCH(Q$1&amp;"|"&amp;Customers!Q155,Mapping!$D$2:$D$99,0))</f>
        <v>1</v>
      </c>
      <c r="R155" s="8" t="n">
        <f aca="false">INDEX(Mapping!$C$2:$C$99,MATCH(R$1&amp;"|"&amp;Customers!R155,Mapping!$D$2:$D$99,0))</f>
        <v>1</v>
      </c>
      <c r="S155" s="8" t="n">
        <f aca="false">INDEX(Mapping!$C$2:$C$99,MATCH(S$1&amp;"|"&amp;Customers!S155,Mapping!$D$2:$D$99,0))</f>
        <v>2</v>
      </c>
      <c r="T155" s="8" t="n">
        <f aca="false">INDEX(Mapping!$C$2:$C$99,MATCH(T$1&amp;"|"&amp;Customers!T155,Mapping!$D$2:$D$99,0))</f>
        <v>1</v>
      </c>
      <c r="U155" s="8" t="n">
        <f aca="false">INDEX(Mapping!$C$2:$C$99,MATCH(U$1&amp;"|"&amp;Customers!U155,Mapping!$D$2:$D$99,0))</f>
        <v>2</v>
      </c>
      <c r="V155" s="8" t="n">
        <f aca="false">INDEX(Mapping!$C$2:$C$99,MATCH(V$1&amp;"|"&amp;Customers!V155,Mapping!$D$2:$D$99,0))</f>
        <v>1</v>
      </c>
      <c r="W155" s="17" t="n">
        <f aca="false">SUMPRODUCT($C155:$V155,Weights!$C$27:$V$27)</f>
        <v>1.6625</v>
      </c>
      <c r="X155" s="18" t="n">
        <f aca="false">ROUND($W155,2)</f>
        <v>1.66</v>
      </c>
      <c r="Y155" s="8" t="str">
        <f aca="false">IF($X155&lt;=2,"Low",IF($X155&lt;=3.49,"Medium","High"))</f>
        <v>Low</v>
      </c>
      <c r="Z155" s="8" t="str">
        <f aca="false">IF(OR($F155&gt;=3,$E155=5,$D155=5,$C155=5,$G155=5,$H155=5,$I155=5,$J155=5,Customers!$W155="Yes"),"Yes","No")</f>
        <v>No</v>
      </c>
      <c r="AA155" s="15" t="str">
        <f aca="false">IF($Z155="Yes","High",$Y155)</f>
        <v>Low</v>
      </c>
      <c r="AB155" s="18" t="n">
        <f aca="false">SUMPRODUCT($C155:$G155,Weights!$C$28:$G$28)</f>
        <v>1.2</v>
      </c>
      <c r="AC155" s="18" t="n">
        <f aca="false">SUMPRODUCT($H155:$J155,Weights!$H$28:$J$28)</f>
        <v>1</v>
      </c>
      <c r="AD155" s="18" t="n">
        <f aca="false">SUMPRODUCT($K155:$N155,Weights!$K$28:$N$28)</f>
        <v>2.7</v>
      </c>
      <c r="AE155" s="18" t="n">
        <f aca="false">SUMPRODUCT($O155:$Q155,Weights!$O$28:$Q$28)</f>
        <v>2.95</v>
      </c>
      <c r="AF155" s="18" t="n">
        <f aca="false">SUMPRODUCT($R155:$V155,Weights!$R$28:$V$28)</f>
        <v>1.45</v>
      </c>
      <c r="AH155" s="18" t="n">
        <f aca="false">SUMPRODUCT($AB155:$AF155,Validation!$D$7:$H$7)</f>
        <v>1.72857142857145</v>
      </c>
      <c r="AI155" s="18" t="n">
        <f aca="false">SUMPRODUCT($AB155:$AF155,Validation!$D$8:$H$8)</f>
        <v>1.59642857142855</v>
      </c>
      <c r="AJ155" s="18" t="n">
        <f aca="false">SUMPRODUCT($AB155:$AF155,Validation!$D$9:$H$9)</f>
        <v>1.75083333333325</v>
      </c>
      <c r="AK155" s="18" t="n">
        <f aca="false">SUMPRODUCT($AB155:$AF155,Validation!$D$10:$H$10)</f>
        <v>1.57416666666675</v>
      </c>
      <c r="AL155" s="18" t="n">
        <f aca="false">SUMPRODUCT($AB155:$AF155,Validation!$D$11:$H$11)</f>
        <v>1.5328125</v>
      </c>
      <c r="AM155" s="18" t="n">
        <f aca="false">SUMPRODUCT($AB155:$AF155,Validation!$D$12:$H$12)</f>
        <v>1.7921875</v>
      </c>
      <c r="AN155" s="18" t="n">
        <f aca="false">SUMPRODUCT($AB155:$AF155,Validation!$D$13:$H$13)</f>
        <v>1.51944444444415</v>
      </c>
      <c r="AO155" s="18" t="n">
        <f aca="false">SUMPRODUCT($AB155:$AF155,Validation!$D$14:$H$14)</f>
        <v>1.80555555555585</v>
      </c>
      <c r="AP155" s="18" t="n">
        <f aca="false">SUMPRODUCT($AB155:$AF155,Validation!$D$15:$H$15)</f>
        <v>1.6874999999998</v>
      </c>
      <c r="AQ155" s="18" t="n">
        <f aca="false">SUMPRODUCT($AB155:$AF155,Validation!$D$16:$H$16)</f>
        <v>1.6375000000002</v>
      </c>
      <c r="AR155" s="8" t="n">
        <f aca="false">COUNTIF($C155:$V155,"&gt;=4")</f>
        <v>1</v>
      </c>
      <c r="AS155" s="8" t="str">
        <f aca="false">IF($X155&lt;=1.6,"Low",IF($X155&lt;=2.2,"Medium","High"))</f>
        <v>Medium</v>
      </c>
      <c r="AT155" s="8" t="str">
        <f aca="false">IF($AR155=0,"Low",IF($AR155&lt;3,"Medium","High"))</f>
        <v>Medium</v>
      </c>
      <c r="AU155" s="8" t="str">
        <f aca="false">IF(OR($AS155="High",$AT155="High"),"High",IF(OR($AS155="Medium",$AT155="Medium"),"Medium","Low"))</f>
        <v>Medium</v>
      </c>
      <c r="AV155" s="15" t="str">
        <f aca="false">IF($Z155="Yes","High",$AU155)</f>
        <v>Medium</v>
      </c>
    </row>
    <row r="156" customFormat="false" ht="15" hidden="false" customHeight="false" outlineLevel="0" collapsed="false">
      <c r="A156" s="7" t="str">
        <f aca="false">Customers!$A156</f>
        <v>NG-10047</v>
      </c>
      <c r="B156" s="7" t="str">
        <f aca="false">Customers!$B156</f>
        <v>Personal</v>
      </c>
      <c r="C156" s="8" t="n">
        <f aca="false">INDEX(Mapping!$C$2:$C$99,MATCH(C$1&amp;"|"&amp;Customers!C156,Mapping!$D$2:$D$99,0))</f>
        <v>1</v>
      </c>
      <c r="D156" s="8" t="n">
        <f aca="false">INDEX(Mapping!$C$2:$C$99,MATCH(D$1&amp;"|"&amp;Customers!D156,Mapping!$D$2:$D$99,0))</f>
        <v>1</v>
      </c>
      <c r="E156" s="8" t="n">
        <f aca="false">INDEX(Mapping!$C$2:$C$99,MATCH(E$1&amp;"|"&amp;Customers!E156,Mapping!$D$2:$D$99,0))</f>
        <v>1</v>
      </c>
      <c r="F156" s="8" t="n">
        <f aca="false">INDEX(Mapping!$C$2:$C$99,MATCH(F$1&amp;"|"&amp;Customers!F156,Mapping!$D$2:$D$99,0))</f>
        <v>1</v>
      </c>
      <c r="G156" s="8" t="n">
        <f aca="false">INDEX(Mapping!$C$2:$C$99,MATCH(G$1&amp;"|"&amp;Customers!G156,Mapping!$D$2:$D$99,0))</f>
        <v>1</v>
      </c>
      <c r="H156" s="8" t="n">
        <f aca="false">INDEX(Mapping!$C$2:$C$99,MATCH(H$1&amp;"|"&amp;Customers!H156,Mapping!$D$2:$D$99,0))</f>
        <v>1</v>
      </c>
      <c r="I156" s="8" t="n">
        <f aca="false">INDEX(Mapping!$C$2:$C$99,MATCH(I$1&amp;"|"&amp;Customers!I156,Mapping!$D$2:$D$99,0))</f>
        <v>1</v>
      </c>
      <c r="J156" s="8" t="n">
        <f aca="false">INDEX(Mapping!$C$2:$C$99,MATCH(J$1&amp;"|"&amp;Customers!J156,Mapping!$D$2:$D$99,0))</f>
        <v>1</v>
      </c>
      <c r="K156" s="8" t="n">
        <f aca="false">INDEX(Mapping!$C$2:$C$99,MATCH(K$1&amp;"|"&amp;Customers!K156,Mapping!$D$2:$D$99,0))</f>
        <v>3</v>
      </c>
      <c r="L156" s="8" t="n">
        <f aca="false">INDEX(Mapping!$C$2:$C$99,MATCH(L$1&amp;"|"&amp;Customers!L156,Mapping!$D$2:$D$99,0))</f>
        <v>3</v>
      </c>
      <c r="M156" s="8" t="n">
        <f aca="false">INDEX(Mapping!$C$2:$C$99,MATCH(M$1&amp;"|"&amp;Customers!M156,Mapping!$D$2:$D$99,0))</f>
        <v>1</v>
      </c>
      <c r="N156" s="8" t="n">
        <f aca="false">INDEX(Mapping!$C$2:$C$99,MATCH(N$1&amp;"|"&amp;Customers!N156,Mapping!$D$2:$D$99,0))</f>
        <v>1</v>
      </c>
      <c r="O156" s="8" t="n">
        <f aca="false">INDEX(Mapping!$C$2:$C$99,MATCH(O$1&amp;"|"&amp;Customers!O156,Mapping!$D$2:$D$99,0))</f>
        <v>4</v>
      </c>
      <c r="P156" s="8" t="n">
        <f aca="false">INDEX(Mapping!$C$2:$C$99,MATCH(P$1&amp;"|"&amp;Customers!P156,Mapping!$D$2:$D$99,0))</f>
        <v>4</v>
      </c>
      <c r="Q156" s="8" t="n">
        <f aca="false">INDEX(Mapping!$C$2:$C$99,MATCH(Q$1&amp;"|"&amp;Customers!Q156,Mapping!$D$2:$D$99,0))</f>
        <v>1</v>
      </c>
      <c r="R156" s="8" t="n">
        <f aca="false">INDEX(Mapping!$C$2:$C$99,MATCH(R$1&amp;"|"&amp;Customers!R156,Mapping!$D$2:$D$99,0))</f>
        <v>1</v>
      </c>
      <c r="S156" s="8" t="n">
        <f aca="false">INDEX(Mapping!$C$2:$C$99,MATCH(S$1&amp;"|"&amp;Customers!S156,Mapping!$D$2:$D$99,0))</f>
        <v>3</v>
      </c>
      <c r="T156" s="8" t="n">
        <f aca="false">INDEX(Mapping!$C$2:$C$99,MATCH(T$1&amp;"|"&amp;Customers!T156,Mapping!$D$2:$D$99,0))</f>
        <v>2</v>
      </c>
      <c r="U156" s="8" t="n">
        <f aca="false">INDEX(Mapping!$C$2:$C$99,MATCH(U$1&amp;"|"&amp;Customers!U156,Mapping!$D$2:$D$99,0))</f>
        <v>1</v>
      </c>
      <c r="V156" s="8" t="n">
        <f aca="false">INDEX(Mapping!$C$2:$C$99,MATCH(V$1&amp;"|"&amp;Customers!V156,Mapping!$D$2:$D$99,0))</f>
        <v>1</v>
      </c>
      <c r="W156" s="17" t="n">
        <f aca="false">SUMPRODUCT($C156:$V156,Weights!$C$27:$V$27)</f>
        <v>1.6</v>
      </c>
      <c r="X156" s="18" t="n">
        <f aca="false">ROUND($W156,2)</f>
        <v>1.6</v>
      </c>
      <c r="Y156" s="8" t="str">
        <f aca="false">IF($X156&lt;=2,"Low",IF($X156&lt;=3.49,"Medium","High"))</f>
        <v>Low</v>
      </c>
      <c r="Z156" s="8" t="str">
        <f aca="false">IF(OR($F156&gt;=3,$E156=5,$D156=5,$C156=5,$G156=5,$H156=5,$I156=5,$J156=5,Customers!$W156="Yes"),"Yes","No")</f>
        <v>No</v>
      </c>
      <c r="AA156" s="15" t="str">
        <f aca="false">IF($Z156="Yes","High",$Y156)</f>
        <v>Low</v>
      </c>
      <c r="AB156" s="18" t="n">
        <f aca="false">SUMPRODUCT($C156:$G156,Weights!$C$28:$G$28)</f>
        <v>1</v>
      </c>
      <c r="AC156" s="18" t="n">
        <f aca="false">SUMPRODUCT($H156:$J156,Weights!$H$28:$J$28)</f>
        <v>1</v>
      </c>
      <c r="AD156" s="18" t="n">
        <f aca="false">SUMPRODUCT($K156:$N156,Weights!$K$28:$N$28)</f>
        <v>2.2</v>
      </c>
      <c r="AE156" s="18" t="n">
        <f aca="false">SUMPRODUCT($O156:$Q156,Weights!$O$28:$Q$28)</f>
        <v>3.4</v>
      </c>
      <c r="AF156" s="18" t="n">
        <f aca="false">SUMPRODUCT($R156:$V156,Weights!$R$28:$V$28)</f>
        <v>1.8</v>
      </c>
      <c r="AH156" s="18" t="n">
        <f aca="false">SUMPRODUCT($AB156:$AF156,Validation!$D$7:$H$7)</f>
        <v>1.6857142857148</v>
      </c>
      <c r="AI156" s="18" t="n">
        <f aca="false">SUMPRODUCT($AB156:$AF156,Validation!$D$8:$H$8)</f>
        <v>1.5142857142852</v>
      </c>
      <c r="AJ156" s="18" t="n">
        <f aca="false">SUMPRODUCT($AB156:$AF156,Validation!$D$9:$H$9)</f>
        <v>1.6799999999996</v>
      </c>
      <c r="AK156" s="18" t="n">
        <f aca="false">SUMPRODUCT($AB156:$AF156,Validation!$D$10:$H$10)</f>
        <v>1.5200000000004</v>
      </c>
      <c r="AL156" s="18" t="n">
        <f aca="false">SUMPRODUCT($AB156:$AF156,Validation!$D$11:$H$11)</f>
        <v>1.525</v>
      </c>
      <c r="AM156" s="18" t="n">
        <f aca="false">SUMPRODUCT($AB156:$AF156,Validation!$D$12:$H$12)</f>
        <v>1.675</v>
      </c>
      <c r="AN156" s="18" t="n">
        <f aca="false">SUMPRODUCT($AB156:$AF156,Validation!$D$13:$H$13)</f>
        <v>1.4</v>
      </c>
      <c r="AO156" s="18" t="n">
        <f aca="false">SUMPRODUCT($AB156:$AF156,Validation!$D$14:$H$14)</f>
        <v>1.8</v>
      </c>
      <c r="AP156" s="18" t="n">
        <f aca="false">SUMPRODUCT($AB156:$AF156,Validation!$D$15:$H$15)</f>
        <v>1.5764705882348</v>
      </c>
      <c r="AQ156" s="18" t="n">
        <f aca="false">SUMPRODUCT($AB156:$AF156,Validation!$D$16:$H$16)</f>
        <v>1.6235294117652</v>
      </c>
      <c r="AR156" s="8" t="n">
        <f aca="false">COUNTIF($C156:$V156,"&gt;=4")</f>
        <v>2</v>
      </c>
      <c r="AS156" s="8" t="str">
        <f aca="false">IF($X156&lt;=1.6,"Low",IF($X156&lt;=2.2,"Medium","High"))</f>
        <v>Low</v>
      </c>
      <c r="AT156" s="8" t="str">
        <f aca="false">IF($AR156=0,"Low",IF($AR156&lt;3,"Medium","High"))</f>
        <v>Medium</v>
      </c>
      <c r="AU156" s="8" t="str">
        <f aca="false">IF(OR($AS156="High",$AT156="High"),"High",IF(OR($AS156="Medium",$AT156="Medium"),"Medium","Low"))</f>
        <v>Medium</v>
      </c>
      <c r="AV156" s="15" t="str">
        <f aca="false">IF($Z156="Yes","High",$AU156)</f>
        <v>Medium</v>
      </c>
    </row>
    <row r="157" customFormat="false" ht="15" hidden="false" customHeight="false" outlineLevel="0" collapsed="false">
      <c r="A157" s="7" t="str">
        <f aca="false">Customers!$A157</f>
        <v>NG-10179</v>
      </c>
      <c r="B157" s="7" t="str">
        <f aca="false">Customers!$B157</f>
        <v>Personal</v>
      </c>
      <c r="C157" s="8" t="n">
        <f aca="false">INDEX(Mapping!$C$2:$C$99,MATCH(C$1&amp;"|"&amp;Customers!C157,Mapping!$D$2:$D$99,0))</f>
        <v>2</v>
      </c>
      <c r="D157" s="8" t="n">
        <f aca="false">INDEX(Mapping!$C$2:$C$99,MATCH(D$1&amp;"|"&amp;Customers!D157,Mapping!$D$2:$D$99,0))</f>
        <v>1</v>
      </c>
      <c r="E157" s="8" t="n">
        <f aca="false">INDEX(Mapping!$C$2:$C$99,MATCH(E$1&amp;"|"&amp;Customers!E157,Mapping!$D$2:$D$99,0))</f>
        <v>2</v>
      </c>
      <c r="F157" s="8" t="n">
        <f aca="false">INDEX(Mapping!$C$2:$C$99,MATCH(F$1&amp;"|"&amp;Customers!F157,Mapping!$D$2:$D$99,0))</f>
        <v>1</v>
      </c>
      <c r="G157" s="8" t="n">
        <f aca="false">INDEX(Mapping!$C$2:$C$99,MATCH(G$1&amp;"|"&amp;Customers!G157,Mapping!$D$2:$D$99,0))</f>
        <v>1</v>
      </c>
      <c r="H157" s="8" t="n">
        <f aca="false">INDEX(Mapping!$C$2:$C$99,MATCH(H$1&amp;"|"&amp;Customers!H157,Mapping!$D$2:$D$99,0))</f>
        <v>1</v>
      </c>
      <c r="I157" s="8" t="n">
        <f aca="false">INDEX(Mapping!$C$2:$C$99,MATCH(I$1&amp;"|"&amp;Customers!I157,Mapping!$D$2:$D$99,0))</f>
        <v>1</v>
      </c>
      <c r="J157" s="8" t="n">
        <f aca="false">INDEX(Mapping!$C$2:$C$99,MATCH(J$1&amp;"|"&amp;Customers!J157,Mapping!$D$2:$D$99,0))</f>
        <v>1</v>
      </c>
      <c r="K157" s="8" t="n">
        <f aca="false">INDEX(Mapping!$C$2:$C$99,MATCH(K$1&amp;"|"&amp;Customers!K157,Mapping!$D$2:$D$99,0))</f>
        <v>2</v>
      </c>
      <c r="L157" s="8" t="n">
        <f aca="false">INDEX(Mapping!$C$2:$C$99,MATCH(L$1&amp;"|"&amp;Customers!L157,Mapping!$D$2:$D$99,0))</f>
        <v>2</v>
      </c>
      <c r="M157" s="8" t="n">
        <f aca="false">INDEX(Mapping!$C$2:$C$99,MATCH(M$1&amp;"|"&amp;Customers!M157,Mapping!$D$2:$D$99,0))</f>
        <v>4</v>
      </c>
      <c r="N157" s="8" t="n">
        <f aca="false">INDEX(Mapping!$C$2:$C$99,MATCH(N$1&amp;"|"&amp;Customers!N157,Mapping!$D$2:$D$99,0))</f>
        <v>1</v>
      </c>
      <c r="O157" s="8" t="n">
        <f aca="false">INDEX(Mapping!$C$2:$C$99,MATCH(O$1&amp;"|"&amp;Customers!O157,Mapping!$D$2:$D$99,0))</f>
        <v>3</v>
      </c>
      <c r="P157" s="8" t="n">
        <f aca="false">INDEX(Mapping!$C$2:$C$99,MATCH(P$1&amp;"|"&amp;Customers!P157,Mapping!$D$2:$D$99,0))</f>
        <v>5</v>
      </c>
      <c r="Q157" s="8" t="n">
        <f aca="false">INDEX(Mapping!$C$2:$C$99,MATCH(Q$1&amp;"|"&amp;Customers!Q157,Mapping!$D$2:$D$99,0))</f>
        <v>1</v>
      </c>
      <c r="R157" s="8" t="n">
        <f aca="false">INDEX(Mapping!$C$2:$C$99,MATCH(R$1&amp;"|"&amp;Customers!R157,Mapping!$D$2:$D$99,0))</f>
        <v>2</v>
      </c>
      <c r="S157" s="8" t="n">
        <f aca="false">INDEX(Mapping!$C$2:$C$99,MATCH(S$1&amp;"|"&amp;Customers!S157,Mapping!$D$2:$D$99,0))</f>
        <v>2</v>
      </c>
      <c r="T157" s="8" t="n">
        <f aca="false">INDEX(Mapping!$C$2:$C$99,MATCH(T$1&amp;"|"&amp;Customers!T157,Mapping!$D$2:$D$99,0))</f>
        <v>1</v>
      </c>
      <c r="U157" s="8" t="n">
        <f aca="false">INDEX(Mapping!$C$2:$C$99,MATCH(U$1&amp;"|"&amp;Customers!U157,Mapping!$D$2:$D$99,0))</f>
        <v>1</v>
      </c>
      <c r="V157" s="8" t="n">
        <f aca="false">INDEX(Mapping!$C$2:$C$99,MATCH(V$1&amp;"|"&amp;Customers!V157,Mapping!$D$2:$D$99,0))</f>
        <v>1</v>
      </c>
      <c r="W157" s="17" t="n">
        <f aca="false">SUMPRODUCT($C157:$V157,Weights!$C$27:$V$27)</f>
        <v>1.7175</v>
      </c>
      <c r="X157" s="18" t="n">
        <f aca="false">ROUND($W157,2)</f>
        <v>1.72</v>
      </c>
      <c r="Y157" s="8" t="str">
        <f aca="false">IF($X157&lt;=2,"Low",IF($X157&lt;=3.49,"Medium","High"))</f>
        <v>Low</v>
      </c>
      <c r="Z157" s="8" t="str">
        <f aca="false">IF(OR($F157&gt;=3,$E157=5,$D157=5,$C157=5,$G157=5,$H157=5,$I157=5,$J157=5,Customers!$W157="Yes"),"Yes","No")</f>
        <v>No</v>
      </c>
      <c r="AA157" s="15" t="str">
        <f aca="false">IF($Z157="Yes","High",$Y157)</f>
        <v>Low</v>
      </c>
      <c r="AB157" s="18" t="n">
        <f aca="false">SUMPRODUCT($C157:$G157,Weights!$C$28:$G$28)</f>
        <v>1.45</v>
      </c>
      <c r="AC157" s="18" t="n">
        <f aca="false">SUMPRODUCT($H157:$J157,Weights!$H$28:$J$28)</f>
        <v>1</v>
      </c>
      <c r="AD157" s="18" t="n">
        <f aca="false">SUMPRODUCT($K157:$N157,Weights!$K$28:$N$28)</f>
        <v>2.35</v>
      </c>
      <c r="AE157" s="18" t="n">
        <f aca="false">SUMPRODUCT($O157:$Q157,Weights!$O$28:$Q$28)</f>
        <v>3.3</v>
      </c>
      <c r="AF157" s="18" t="n">
        <f aca="false">SUMPRODUCT($R157:$V157,Weights!$R$28:$V$28)</f>
        <v>1.55</v>
      </c>
      <c r="AH157" s="18" t="n">
        <f aca="false">SUMPRODUCT($AB157:$AF157,Validation!$D$7:$H$7)</f>
        <v>1.7557142857146</v>
      </c>
      <c r="AI157" s="18" t="n">
        <f aca="false">SUMPRODUCT($AB157:$AF157,Validation!$D$8:$H$8)</f>
        <v>1.6792857142854</v>
      </c>
      <c r="AJ157" s="18" t="n">
        <f aca="false">SUMPRODUCT($AB157:$AF157,Validation!$D$9:$H$9)</f>
        <v>1.81316666666635</v>
      </c>
      <c r="AK157" s="18" t="n">
        <f aca="false">SUMPRODUCT($AB157:$AF157,Validation!$D$10:$H$10)</f>
        <v>1.62183333333365</v>
      </c>
      <c r="AL157" s="18" t="n">
        <f aca="false">SUMPRODUCT($AB157:$AF157,Validation!$D$11:$H$11)</f>
        <v>1.6384375</v>
      </c>
      <c r="AM157" s="18" t="n">
        <f aca="false">SUMPRODUCT($AB157:$AF157,Validation!$D$12:$H$12)</f>
        <v>1.7965625</v>
      </c>
      <c r="AN157" s="18" t="n">
        <f aca="false">SUMPRODUCT($AB157:$AF157,Validation!$D$13:$H$13)</f>
        <v>1.5416666666664</v>
      </c>
      <c r="AO157" s="18" t="n">
        <f aca="false">SUMPRODUCT($AB157:$AF157,Validation!$D$14:$H$14)</f>
        <v>1.8933333333336</v>
      </c>
      <c r="AP157" s="18" t="n">
        <f aca="false">SUMPRODUCT($AB157:$AF157,Validation!$D$15:$H$15)</f>
        <v>1.7372058823525</v>
      </c>
      <c r="AQ157" s="18" t="n">
        <f aca="false">SUMPRODUCT($AB157:$AF157,Validation!$D$16:$H$16)</f>
        <v>1.6977941176475</v>
      </c>
      <c r="AR157" s="8" t="n">
        <f aca="false">COUNTIF($C157:$V157,"&gt;=4")</f>
        <v>2</v>
      </c>
      <c r="AS157" s="8" t="str">
        <f aca="false">IF($X157&lt;=1.6,"Low",IF($X157&lt;=2.2,"Medium","High"))</f>
        <v>Medium</v>
      </c>
      <c r="AT157" s="8" t="str">
        <f aca="false">IF($AR157=0,"Low",IF($AR157&lt;3,"Medium","High"))</f>
        <v>Medium</v>
      </c>
      <c r="AU157" s="8" t="str">
        <f aca="false">IF(OR($AS157="High",$AT157="High"),"High",IF(OR($AS157="Medium",$AT157="Medium"),"Medium","Low"))</f>
        <v>Medium</v>
      </c>
      <c r="AV157" s="15" t="str">
        <f aca="false">IF($Z157="Yes","High",$AU157)</f>
        <v>Medium</v>
      </c>
    </row>
    <row r="158" customFormat="false" ht="15" hidden="false" customHeight="false" outlineLevel="0" collapsed="false">
      <c r="A158" s="7" t="str">
        <f aca="false">Customers!$A158</f>
        <v>NG-10318</v>
      </c>
      <c r="B158" s="7" t="str">
        <f aca="false">Customers!$B158</f>
        <v>Sole trader</v>
      </c>
      <c r="C158" s="8" t="n">
        <f aca="false">INDEX(Mapping!$C$2:$C$99,MATCH(C$1&amp;"|"&amp;Customers!C158,Mapping!$D$2:$D$99,0))</f>
        <v>2</v>
      </c>
      <c r="D158" s="8" t="n">
        <f aca="false">INDEX(Mapping!$C$2:$C$99,MATCH(D$1&amp;"|"&amp;Customers!D158,Mapping!$D$2:$D$99,0))</f>
        <v>1</v>
      </c>
      <c r="E158" s="8" t="n">
        <f aca="false">INDEX(Mapping!$C$2:$C$99,MATCH(E$1&amp;"|"&amp;Customers!E158,Mapping!$D$2:$D$99,0))</f>
        <v>4</v>
      </c>
      <c r="F158" s="8" t="n">
        <f aca="false">INDEX(Mapping!$C$2:$C$99,MATCH(F$1&amp;"|"&amp;Customers!F158,Mapping!$D$2:$D$99,0))</f>
        <v>1</v>
      </c>
      <c r="G158" s="8" t="n">
        <f aca="false">INDEX(Mapping!$C$2:$C$99,MATCH(G$1&amp;"|"&amp;Customers!G158,Mapping!$D$2:$D$99,0))</f>
        <v>1</v>
      </c>
      <c r="H158" s="8" t="n">
        <f aca="false">INDEX(Mapping!$C$2:$C$99,MATCH(H$1&amp;"|"&amp;Customers!H158,Mapping!$D$2:$D$99,0))</f>
        <v>1</v>
      </c>
      <c r="I158" s="8" t="n">
        <f aca="false">INDEX(Mapping!$C$2:$C$99,MATCH(I$1&amp;"|"&amp;Customers!I158,Mapping!$D$2:$D$99,0))</f>
        <v>2</v>
      </c>
      <c r="J158" s="8" t="n">
        <f aca="false">INDEX(Mapping!$C$2:$C$99,MATCH(J$1&amp;"|"&amp;Customers!J158,Mapping!$D$2:$D$99,0))</f>
        <v>1</v>
      </c>
      <c r="K158" s="8" t="n">
        <f aca="false">INDEX(Mapping!$C$2:$C$99,MATCH(K$1&amp;"|"&amp;Customers!K158,Mapping!$D$2:$D$99,0))</f>
        <v>4</v>
      </c>
      <c r="L158" s="8" t="n">
        <f aca="false">INDEX(Mapping!$C$2:$C$99,MATCH(L$1&amp;"|"&amp;Customers!L158,Mapping!$D$2:$D$99,0))</f>
        <v>4</v>
      </c>
      <c r="M158" s="8" t="n">
        <f aca="false">INDEX(Mapping!$C$2:$C$99,MATCH(M$1&amp;"|"&amp;Customers!M158,Mapping!$D$2:$D$99,0))</f>
        <v>1</v>
      </c>
      <c r="N158" s="8" t="n">
        <f aca="false">INDEX(Mapping!$C$2:$C$99,MATCH(N$1&amp;"|"&amp;Customers!N158,Mapping!$D$2:$D$99,0))</f>
        <v>2</v>
      </c>
      <c r="O158" s="8" t="n">
        <f aca="false">INDEX(Mapping!$C$2:$C$99,MATCH(O$1&amp;"|"&amp;Customers!O158,Mapping!$D$2:$D$99,0))</f>
        <v>3</v>
      </c>
      <c r="P158" s="8" t="n">
        <f aca="false">INDEX(Mapping!$C$2:$C$99,MATCH(P$1&amp;"|"&amp;Customers!P158,Mapping!$D$2:$D$99,0))</f>
        <v>3</v>
      </c>
      <c r="Q158" s="8" t="n">
        <f aca="false">INDEX(Mapping!$C$2:$C$99,MATCH(Q$1&amp;"|"&amp;Customers!Q158,Mapping!$D$2:$D$99,0))</f>
        <v>1</v>
      </c>
      <c r="R158" s="8" t="n">
        <f aca="false">INDEX(Mapping!$C$2:$C$99,MATCH(R$1&amp;"|"&amp;Customers!R158,Mapping!$D$2:$D$99,0))</f>
        <v>2</v>
      </c>
      <c r="S158" s="8" t="n">
        <f aca="false">INDEX(Mapping!$C$2:$C$99,MATCH(S$1&amp;"|"&amp;Customers!S158,Mapping!$D$2:$D$99,0))</f>
        <v>5</v>
      </c>
      <c r="T158" s="8" t="n">
        <f aca="false">INDEX(Mapping!$C$2:$C$99,MATCH(T$1&amp;"|"&amp;Customers!T158,Mapping!$D$2:$D$99,0))</f>
        <v>2</v>
      </c>
      <c r="U158" s="8" t="n">
        <f aca="false">INDEX(Mapping!$C$2:$C$99,MATCH(U$1&amp;"|"&amp;Customers!U158,Mapping!$D$2:$D$99,0))</f>
        <v>3</v>
      </c>
      <c r="V158" s="8" t="n">
        <f aca="false">INDEX(Mapping!$C$2:$C$99,MATCH(V$1&amp;"|"&amp;Customers!V158,Mapping!$D$2:$D$99,0))</f>
        <v>1</v>
      </c>
      <c r="W158" s="17" t="n">
        <f aca="false">SUMPRODUCT($C158:$V158,Weights!$C$27:$V$27)</f>
        <v>2.1775</v>
      </c>
      <c r="X158" s="18" t="n">
        <f aca="false">ROUND($W158,2)</f>
        <v>2.18</v>
      </c>
      <c r="Y158" s="8" t="str">
        <f aca="false">IF($X158&lt;=2,"Low",IF($X158&lt;=3.49,"Medium","High"))</f>
        <v>Medium</v>
      </c>
      <c r="Z158" s="8" t="str">
        <f aca="false">IF(OR($F158&gt;=3,$E158=5,$D158=5,$C158=5,$G158=5,$H158=5,$I158=5,$J158=5,Customers!$W158="Yes"),"Yes","No")</f>
        <v>No</v>
      </c>
      <c r="AA158" s="15" t="str">
        <f aca="false">IF($Z158="Yes","High",$Y158)</f>
        <v>Medium</v>
      </c>
      <c r="AB158" s="18" t="n">
        <f aca="false">SUMPRODUCT($C158:$G158,Weights!$C$28:$G$28)</f>
        <v>1.95</v>
      </c>
      <c r="AC158" s="18" t="n">
        <f aca="false">SUMPRODUCT($H158:$J158,Weights!$H$28:$J$28)</f>
        <v>1.2</v>
      </c>
      <c r="AD158" s="18" t="n">
        <f aca="false">SUMPRODUCT($K158:$N158,Weights!$K$28:$N$28)</f>
        <v>2.95</v>
      </c>
      <c r="AE158" s="18" t="n">
        <f aca="false">SUMPRODUCT($O158:$Q158,Weights!$O$28:$Q$28)</f>
        <v>2.6</v>
      </c>
      <c r="AF158" s="18" t="n">
        <f aca="false">SUMPRODUCT($R158:$V158,Weights!$R$28:$V$28)</f>
        <v>2.95</v>
      </c>
      <c r="AH158" s="18" t="n">
        <f aca="false">SUMPRODUCT($AB158:$AF158,Validation!$D$7:$H$7)</f>
        <v>2.2100000000004</v>
      </c>
      <c r="AI158" s="18" t="n">
        <f aca="false">SUMPRODUCT($AB158:$AF158,Validation!$D$8:$H$8)</f>
        <v>2.1449999999996</v>
      </c>
      <c r="AJ158" s="18" t="n">
        <f aca="false">SUMPRODUCT($AB158:$AF158,Validation!$D$9:$H$9)</f>
        <v>2.30783333333345</v>
      </c>
      <c r="AK158" s="18" t="n">
        <f aca="false">SUMPRODUCT($AB158:$AF158,Validation!$D$10:$H$10)</f>
        <v>2.04716666666655</v>
      </c>
      <c r="AL158" s="18" t="n">
        <f aca="false">SUMPRODUCT($AB158:$AF158,Validation!$D$11:$H$11)</f>
        <v>2.0809375</v>
      </c>
      <c r="AM158" s="18" t="n">
        <f aca="false">SUMPRODUCT($AB158:$AF158,Validation!$D$12:$H$12)</f>
        <v>2.2740625</v>
      </c>
      <c r="AN158" s="18" t="n">
        <f aca="false">SUMPRODUCT($AB158:$AF158,Validation!$D$13:$H$13)</f>
        <v>2.1305555555555</v>
      </c>
      <c r="AO158" s="18" t="n">
        <f aca="false">SUMPRODUCT($AB158:$AF158,Validation!$D$14:$H$14)</f>
        <v>2.2244444444445</v>
      </c>
      <c r="AP158" s="18" t="n">
        <f aca="false">SUMPRODUCT($AB158:$AF158,Validation!$D$15:$H$15)</f>
        <v>2.0866176470588</v>
      </c>
      <c r="AQ158" s="18" t="n">
        <f aca="false">SUMPRODUCT($AB158:$AF158,Validation!$D$16:$H$16)</f>
        <v>2.2683823529412</v>
      </c>
      <c r="AR158" s="8" t="n">
        <f aca="false">COUNTIF($C158:$V158,"&gt;=4")</f>
        <v>4</v>
      </c>
      <c r="AS158" s="8" t="str">
        <f aca="false">IF($X158&lt;=1.6,"Low",IF($X158&lt;=2.2,"Medium","High"))</f>
        <v>Medium</v>
      </c>
      <c r="AT158" s="8" t="str">
        <f aca="false">IF($AR158=0,"Low",IF($AR158&lt;3,"Medium","High"))</f>
        <v>High</v>
      </c>
      <c r="AU158" s="8" t="str">
        <f aca="false">IF(OR($AS158="High",$AT158="High"),"High",IF(OR($AS158="Medium",$AT158="Medium"),"Medium","Low"))</f>
        <v>High</v>
      </c>
      <c r="AV158" s="15" t="str">
        <f aca="false">IF($Z158="Yes","High",$AU158)</f>
        <v>High</v>
      </c>
    </row>
    <row r="159" customFormat="false" ht="15" hidden="false" customHeight="false" outlineLevel="0" collapsed="false">
      <c r="A159" s="7" t="str">
        <f aca="false">Customers!$A159</f>
        <v>NG-10347</v>
      </c>
      <c r="B159" s="7" t="str">
        <f aca="false">Customers!$B159</f>
        <v>Sole trader</v>
      </c>
      <c r="C159" s="8" t="n">
        <f aca="false">INDEX(Mapping!$C$2:$C$99,MATCH(C$1&amp;"|"&amp;Customers!C159,Mapping!$D$2:$D$99,0))</f>
        <v>2</v>
      </c>
      <c r="D159" s="8" t="n">
        <f aca="false">INDEX(Mapping!$C$2:$C$99,MATCH(D$1&amp;"|"&amp;Customers!D159,Mapping!$D$2:$D$99,0))</f>
        <v>1</v>
      </c>
      <c r="E159" s="8" t="n">
        <f aca="false">INDEX(Mapping!$C$2:$C$99,MATCH(E$1&amp;"|"&amp;Customers!E159,Mapping!$D$2:$D$99,0))</f>
        <v>2</v>
      </c>
      <c r="F159" s="8" t="n">
        <f aca="false">INDEX(Mapping!$C$2:$C$99,MATCH(F$1&amp;"|"&amp;Customers!F159,Mapping!$D$2:$D$99,0))</f>
        <v>1</v>
      </c>
      <c r="G159" s="8" t="n">
        <f aca="false">INDEX(Mapping!$C$2:$C$99,MATCH(G$1&amp;"|"&amp;Customers!G159,Mapping!$D$2:$D$99,0))</f>
        <v>1</v>
      </c>
      <c r="H159" s="8" t="n">
        <f aca="false">INDEX(Mapping!$C$2:$C$99,MATCH(H$1&amp;"|"&amp;Customers!H159,Mapping!$D$2:$D$99,0))</f>
        <v>1</v>
      </c>
      <c r="I159" s="8" t="n">
        <f aca="false">INDEX(Mapping!$C$2:$C$99,MATCH(I$1&amp;"|"&amp;Customers!I159,Mapping!$D$2:$D$99,0))</f>
        <v>1</v>
      </c>
      <c r="J159" s="8" t="n">
        <f aca="false">INDEX(Mapping!$C$2:$C$99,MATCH(J$1&amp;"|"&amp;Customers!J159,Mapping!$D$2:$D$99,0))</f>
        <v>1</v>
      </c>
      <c r="K159" s="8" t="n">
        <f aca="false">INDEX(Mapping!$C$2:$C$99,MATCH(K$1&amp;"|"&amp;Customers!K159,Mapping!$D$2:$D$99,0))</f>
        <v>4</v>
      </c>
      <c r="L159" s="8" t="n">
        <f aca="false">INDEX(Mapping!$C$2:$C$99,MATCH(L$1&amp;"|"&amp;Customers!L159,Mapping!$D$2:$D$99,0))</f>
        <v>3</v>
      </c>
      <c r="M159" s="8" t="n">
        <f aca="false">INDEX(Mapping!$C$2:$C$99,MATCH(M$1&amp;"|"&amp;Customers!M159,Mapping!$D$2:$D$99,0))</f>
        <v>2</v>
      </c>
      <c r="N159" s="8" t="n">
        <f aca="false">INDEX(Mapping!$C$2:$C$99,MATCH(N$1&amp;"|"&amp;Customers!N159,Mapping!$D$2:$D$99,0))</f>
        <v>1</v>
      </c>
      <c r="O159" s="8" t="n">
        <f aca="false">INDEX(Mapping!$C$2:$C$99,MATCH(O$1&amp;"|"&amp;Customers!O159,Mapping!$D$2:$D$99,0))</f>
        <v>3</v>
      </c>
      <c r="P159" s="8" t="n">
        <f aca="false">INDEX(Mapping!$C$2:$C$99,MATCH(P$1&amp;"|"&amp;Customers!P159,Mapping!$D$2:$D$99,0))</f>
        <v>1</v>
      </c>
      <c r="Q159" s="8" t="n">
        <f aca="false">INDEX(Mapping!$C$2:$C$99,MATCH(Q$1&amp;"|"&amp;Customers!Q159,Mapping!$D$2:$D$99,0))</f>
        <v>1</v>
      </c>
      <c r="R159" s="8" t="n">
        <f aca="false">INDEX(Mapping!$C$2:$C$99,MATCH(R$1&amp;"|"&amp;Customers!R159,Mapping!$D$2:$D$99,0))</f>
        <v>2</v>
      </c>
      <c r="S159" s="8" t="n">
        <f aca="false">INDEX(Mapping!$C$2:$C$99,MATCH(S$1&amp;"|"&amp;Customers!S159,Mapping!$D$2:$D$99,0))</f>
        <v>1</v>
      </c>
      <c r="T159" s="8" t="n">
        <f aca="false">INDEX(Mapping!$C$2:$C$99,MATCH(T$1&amp;"|"&amp;Customers!T159,Mapping!$D$2:$D$99,0))</f>
        <v>1</v>
      </c>
      <c r="U159" s="8" t="n">
        <f aca="false">INDEX(Mapping!$C$2:$C$99,MATCH(U$1&amp;"|"&amp;Customers!U159,Mapping!$D$2:$D$99,0))</f>
        <v>3</v>
      </c>
      <c r="V159" s="8" t="n">
        <f aca="false">INDEX(Mapping!$C$2:$C$99,MATCH(V$1&amp;"|"&amp;Customers!V159,Mapping!$D$2:$D$99,0))</f>
        <v>2</v>
      </c>
      <c r="W159" s="17" t="n">
        <f aca="false">SUMPRODUCT($C159:$V159,Weights!$C$27:$V$27)</f>
        <v>1.6825</v>
      </c>
      <c r="X159" s="18" t="n">
        <f aca="false">ROUND($W159,2)</f>
        <v>1.68</v>
      </c>
      <c r="Y159" s="8" t="str">
        <f aca="false">IF($X159&lt;=2,"Low",IF($X159&lt;=3.49,"Medium","High"))</f>
        <v>Low</v>
      </c>
      <c r="Z159" s="8" t="str">
        <f aca="false">IF(OR($F159&gt;=3,$E159=5,$D159=5,$C159=5,$G159=5,$H159=5,$I159=5,$J159=5,Customers!$W159="Yes"),"Yes","No")</f>
        <v>No</v>
      </c>
      <c r="AA159" s="15" t="str">
        <f aca="false">IF($Z159="Yes","High",$Y159)</f>
        <v>Low</v>
      </c>
      <c r="AB159" s="18" t="n">
        <f aca="false">SUMPRODUCT($C159:$G159,Weights!$C$28:$G$28)</f>
        <v>1.45</v>
      </c>
      <c r="AC159" s="18" t="n">
        <f aca="false">SUMPRODUCT($H159:$J159,Weights!$H$28:$J$28)</f>
        <v>1</v>
      </c>
      <c r="AD159" s="18" t="n">
        <f aca="false">SUMPRODUCT($K159:$N159,Weights!$K$28:$N$28)</f>
        <v>2.8</v>
      </c>
      <c r="AE159" s="18" t="n">
        <f aca="false">SUMPRODUCT($O159:$Q159,Weights!$O$28:$Q$28)</f>
        <v>1.9</v>
      </c>
      <c r="AF159" s="18" t="n">
        <f aca="false">SUMPRODUCT($R159:$V159,Weights!$R$28:$V$28)</f>
        <v>1.65</v>
      </c>
      <c r="AH159" s="18" t="n">
        <f aca="false">SUMPRODUCT($AB159:$AF159,Validation!$D$7:$H$7)</f>
        <v>1.71571428571405</v>
      </c>
      <c r="AI159" s="18" t="n">
        <f aca="false">SUMPRODUCT($AB159:$AF159,Validation!$D$8:$H$8)</f>
        <v>1.64928571428595</v>
      </c>
      <c r="AJ159" s="18" t="n">
        <f aca="false">SUMPRODUCT($AB159:$AF159,Validation!$D$9:$H$9)</f>
        <v>1.7735000000003</v>
      </c>
      <c r="AK159" s="18" t="n">
        <f aca="false">SUMPRODUCT($AB159:$AF159,Validation!$D$10:$H$10)</f>
        <v>1.5914999999997</v>
      </c>
      <c r="AL159" s="18" t="n">
        <f aca="false">SUMPRODUCT($AB159:$AF159,Validation!$D$11:$H$11)</f>
        <v>1.5428125</v>
      </c>
      <c r="AM159" s="18" t="n">
        <f aca="false">SUMPRODUCT($AB159:$AF159,Validation!$D$12:$H$12)</f>
        <v>1.8221875</v>
      </c>
      <c r="AN159" s="18" t="n">
        <f aca="false">SUMPRODUCT($AB159:$AF159,Validation!$D$13:$H$13)</f>
        <v>1.658333333333</v>
      </c>
      <c r="AO159" s="18" t="n">
        <f aca="false">SUMPRODUCT($AB159:$AF159,Validation!$D$14:$H$14)</f>
        <v>1.706666666667</v>
      </c>
      <c r="AP159" s="18" t="n">
        <f aca="false">SUMPRODUCT($AB159:$AF159,Validation!$D$15:$H$15)</f>
        <v>1.68632352941195</v>
      </c>
      <c r="AQ159" s="18" t="n">
        <f aca="false">SUMPRODUCT($AB159:$AF159,Validation!$D$16:$H$16)</f>
        <v>1.67867647058805</v>
      </c>
      <c r="AR159" s="8" t="n">
        <f aca="false">COUNTIF($C159:$V159,"&gt;=4")</f>
        <v>1</v>
      </c>
      <c r="AS159" s="8" t="str">
        <f aca="false">IF($X159&lt;=1.6,"Low",IF($X159&lt;=2.2,"Medium","High"))</f>
        <v>Medium</v>
      </c>
      <c r="AT159" s="8" t="str">
        <f aca="false">IF($AR159=0,"Low",IF($AR159&lt;3,"Medium","High"))</f>
        <v>Medium</v>
      </c>
      <c r="AU159" s="8" t="str">
        <f aca="false">IF(OR($AS159="High",$AT159="High"),"High",IF(OR($AS159="Medium",$AT159="Medium"),"Medium","Low"))</f>
        <v>Medium</v>
      </c>
      <c r="AV159" s="15" t="str">
        <f aca="false">IF($Z159="Yes","High",$AU159)</f>
        <v>Medium</v>
      </c>
    </row>
    <row r="160" customFormat="false" ht="15" hidden="false" customHeight="false" outlineLevel="0" collapsed="false">
      <c r="A160" s="7" t="str">
        <f aca="false">Customers!$A160</f>
        <v>NG-10217</v>
      </c>
      <c r="B160" s="7" t="str">
        <f aca="false">Customers!$B160</f>
        <v>Personal</v>
      </c>
      <c r="C160" s="8" t="n">
        <f aca="false">INDEX(Mapping!$C$2:$C$99,MATCH(C$1&amp;"|"&amp;Customers!C160,Mapping!$D$2:$D$99,0))</f>
        <v>2</v>
      </c>
      <c r="D160" s="8" t="n">
        <f aca="false">INDEX(Mapping!$C$2:$C$99,MATCH(D$1&amp;"|"&amp;Customers!D160,Mapping!$D$2:$D$99,0))</f>
        <v>1</v>
      </c>
      <c r="E160" s="8" t="n">
        <f aca="false">INDEX(Mapping!$C$2:$C$99,MATCH(E$1&amp;"|"&amp;Customers!E160,Mapping!$D$2:$D$99,0))</f>
        <v>3</v>
      </c>
      <c r="F160" s="8" t="n">
        <f aca="false">INDEX(Mapping!$C$2:$C$99,MATCH(F$1&amp;"|"&amp;Customers!F160,Mapping!$D$2:$D$99,0))</f>
        <v>1</v>
      </c>
      <c r="G160" s="8" t="n">
        <f aca="false">INDEX(Mapping!$C$2:$C$99,MATCH(G$1&amp;"|"&amp;Customers!G160,Mapping!$D$2:$D$99,0))</f>
        <v>1</v>
      </c>
      <c r="H160" s="8" t="n">
        <f aca="false">INDEX(Mapping!$C$2:$C$99,MATCH(H$1&amp;"|"&amp;Customers!H160,Mapping!$D$2:$D$99,0))</f>
        <v>1</v>
      </c>
      <c r="I160" s="8" t="n">
        <f aca="false">INDEX(Mapping!$C$2:$C$99,MATCH(I$1&amp;"|"&amp;Customers!I160,Mapping!$D$2:$D$99,0))</f>
        <v>1</v>
      </c>
      <c r="J160" s="8" t="n">
        <f aca="false">INDEX(Mapping!$C$2:$C$99,MATCH(J$1&amp;"|"&amp;Customers!J160,Mapping!$D$2:$D$99,0))</f>
        <v>1</v>
      </c>
      <c r="K160" s="8" t="n">
        <f aca="false">INDEX(Mapping!$C$2:$C$99,MATCH(K$1&amp;"|"&amp;Customers!K160,Mapping!$D$2:$D$99,0))</f>
        <v>3</v>
      </c>
      <c r="L160" s="8" t="n">
        <f aca="false">INDEX(Mapping!$C$2:$C$99,MATCH(L$1&amp;"|"&amp;Customers!L160,Mapping!$D$2:$D$99,0))</f>
        <v>3</v>
      </c>
      <c r="M160" s="8" t="n">
        <f aca="false">INDEX(Mapping!$C$2:$C$99,MATCH(M$1&amp;"|"&amp;Customers!M160,Mapping!$D$2:$D$99,0))</f>
        <v>3</v>
      </c>
      <c r="N160" s="8" t="n">
        <f aca="false">INDEX(Mapping!$C$2:$C$99,MATCH(N$1&amp;"|"&amp;Customers!N160,Mapping!$D$2:$D$99,0))</f>
        <v>2</v>
      </c>
      <c r="O160" s="8" t="n">
        <f aca="false">INDEX(Mapping!$C$2:$C$99,MATCH(O$1&amp;"|"&amp;Customers!O160,Mapping!$D$2:$D$99,0))</f>
        <v>3</v>
      </c>
      <c r="P160" s="8" t="n">
        <f aca="false">INDEX(Mapping!$C$2:$C$99,MATCH(P$1&amp;"|"&amp;Customers!P160,Mapping!$D$2:$D$99,0))</f>
        <v>1</v>
      </c>
      <c r="Q160" s="8" t="n">
        <f aca="false">INDEX(Mapping!$C$2:$C$99,MATCH(Q$1&amp;"|"&amp;Customers!Q160,Mapping!$D$2:$D$99,0))</f>
        <v>1</v>
      </c>
      <c r="R160" s="8" t="n">
        <f aca="false">INDEX(Mapping!$C$2:$C$99,MATCH(R$1&amp;"|"&amp;Customers!R160,Mapping!$D$2:$D$99,0))</f>
        <v>1</v>
      </c>
      <c r="S160" s="8" t="n">
        <f aca="false">INDEX(Mapping!$C$2:$C$99,MATCH(S$1&amp;"|"&amp;Customers!S160,Mapping!$D$2:$D$99,0))</f>
        <v>1</v>
      </c>
      <c r="T160" s="8" t="n">
        <f aca="false">INDEX(Mapping!$C$2:$C$99,MATCH(T$1&amp;"|"&amp;Customers!T160,Mapping!$D$2:$D$99,0))</f>
        <v>1</v>
      </c>
      <c r="U160" s="8" t="n">
        <f aca="false">INDEX(Mapping!$C$2:$C$99,MATCH(U$1&amp;"|"&amp;Customers!U160,Mapping!$D$2:$D$99,0))</f>
        <v>2</v>
      </c>
      <c r="V160" s="8" t="n">
        <f aca="false">INDEX(Mapping!$C$2:$C$99,MATCH(V$1&amp;"|"&amp;Customers!V160,Mapping!$D$2:$D$99,0))</f>
        <v>1</v>
      </c>
      <c r="W160" s="17" t="n">
        <f aca="false">SUMPRODUCT($C160:$V160,Weights!$C$27:$V$27)</f>
        <v>1.6925</v>
      </c>
      <c r="X160" s="18" t="n">
        <f aca="false">ROUND($W160,2)</f>
        <v>1.69</v>
      </c>
      <c r="Y160" s="8" t="str">
        <f aca="false">IF($X160&lt;=2,"Low",IF($X160&lt;=3.49,"Medium","High"))</f>
        <v>Low</v>
      </c>
      <c r="Z160" s="8" t="str">
        <f aca="false">IF(OR($F160&gt;=3,$E160=5,$D160=5,$C160=5,$G160=5,$H160=5,$I160=5,$J160=5,Customers!$W160="Yes"),"Yes","No")</f>
        <v>No</v>
      </c>
      <c r="AA160" s="15" t="str">
        <f aca="false">IF($Z160="Yes","High",$Y160)</f>
        <v>Low</v>
      </c>
      <c r="AB160" s="18" t="n">
        <f aca="false">SUMPRODUCT($C160:$G160,Weights!$C$28:$G$28)</f>
        <v>1.7</v>
      </c>
      <c r="AC160" s="18" t="n">
        <f aca="false">SUMPRODUCT($H160:$J160,Weights!$H$28:$J$28)</f>
        <v>1</v>
      </c>
      <c r="AD160" s="18" t="n">
        <f aca="false">SUMPRODUCT($K160:$N160,Weights!$K$28:$N$28)</f>
        <v>2.85</v>
      </c>
      <c r="AE160" s="18" t="n">
        <f aca="false">SUMPRODUCT($O160:$Q160,Weights!$O$28:$Q$28)</f>
        <v>1.9</v>
      </c>
      <c r="AF160" s="18" t="n">
        <f aca="false">SUMPRODUCT($R160:$V160,Weights!$R$28:$V$28)</f>
        <v>1.15</v>
      </c>
      <c r="AH160" s="18" t="n">
        <f aca="false">SUMPRODUCT($AB160:$AF160,Validation!$D$7:$H$7)</f>
        <v>1.6914285714281</v>
      </c>
      <c r="AI160" s="18" t="n">
        <f aca="false">SUMPRODUCT($AB160:$AF160,Validation!$D$8:$H$8)</f>
        <v>1.6935714285719</v>
      </c>
      <c r="AJ160" s="18" t="n">
        <f aca="false">SUMPRODUCT($AB160:$AF160,Validation!$D$9:$H$9)</f>
        <v>1.78483333333365</v>
      </c>
      <c r="AK160" s="18" t="n">
        <f aca="false">SUMPRODUCT($AB160:$AF160,Validation!$D$10:$H$10)</f>
        <v>1.60016666666635</v>
      </c>
      <c r="AL160" s="18" t="n">
        <f aca="false">SUMPRODUCT($AB160:$AF160,Validation!$D$11:$H$11)</f>
        <v>1.5478125</v>
      </c>
      <c r="AM160" s="18" t="n">
        <f aca="false">SUMPRODUCT($AB160:$AF160,Validation!$D$12:$H$12)</f>
        <v>1.8371875</v>
      </c>
      <c r="AN160" s="18" t="n">
        <f aca="false">SUMPRODUCT($AB160:$AF160,Validation!$D$13:$H$13)</f>
        <v>1.66944444444385</v>
      </c>
      <c r="AO160" s="18" t="n">
        <f aca="false">SUMPRODUCT($AB160:$AF160,Validation!$D$14:$H$14)</f>
        <v>1.71555555555615</v>
      </c>
      <c r="AP160" s="18" t="n">
        <f aca="false">SUMPRODUCT($AB160:$AF160,Validation!$D$15:$H$15)</f>
        <v>1.75632352941195</v>
      </c>
      <c r="AQ160" s="18" t="n">
        <f aca="false">SUMPRODUCT($AB160:$AF160,Validation!$D$16:$H$16)</f>
        <v>1.62867647058805</v>
      </c>
      <c r="AR160" s="8" t="n">
        <f aca="false">COUNTIF($C160:$V160,"&gt;=4")</f>
        <v>0</v>
      </c>
      <c r="AS160" s="8" t="str">
        <f aca="false">IF($X160&lt;=1.6,"Low",IF($X160&lt;=2.2,"Medium","High"))</f>
        <v>Medium</v>
      </c>
      <c r="AT160" s="8" t="str">
        <f aca="false">IF($AR160=0,"Low",IF($AR160&lt;3,"Medium","High"))</f>
        <v>Low</v>
      </c>
      <c r="AU160" s="8" t="str">
        <f aca="false">IF(OR($AS160="High",$AT160="High"),"High",IF(OR($AS160="Medium",$AT160="Medium"),"Medium","Low"))</f>
        <v>Medium</v>
      </c>
      <c r="AV160" s="15" t="str">
        <f aca="false">IF($Z160="Yes","High",$AU160)</f>
        <v>Medium</v>
      </c>
    </row>
    <row r="161" customFormat="false" ht="15" hidden="false" customHeight="false" outlineLevel="0" collapsed="false">
      <c r="A161" s="7" t="str">
        <f aca="false">Customers!$A161</f>
        <v>NG-10305</v>
      </c>
      <c r="B161" s="7" t="str">
        <f aca="false">Customers!$B161</f>
        <v>Sole trader</v>
      </c>
      <c r="C161" s="8" t="n">
        <f aca="false">INDEX(Mapping!$C$2:$C$99,MATCH(C$1&amp;"|"&amp;Customers!C161,Mapping!$D$2:$D$99,0))</f>
        <v>2</v>
      </c>
      <c r="D161" s="8" t="n">
        <f aca="false">INDEX(Mapping!$C$2:$C$99,MATCH(D$1&amp;"|"&amp;Customers!D161,Mapping!$D$2:$D$99,0))</f>
        <v>1</v>
      </c>
      <c r="E161" s="8" t="n">
        <f aca="false">INDEX(Mapping!$C$2:$C$99,MATCH(E$1&amp;"|"&amp;Customers!E161,Mapping!$D$2:$D$99,0))</f>
        <v>4</v>
      </c>
      <c r="F161" s="8" t="n">
        <f aca="false">INDEX(Mapping!$C$2:$C$99,MATCH(F$1&amp;"|"&amp;Customers!F161,Mapping!$D$2:$D$99,0))</f>
        <v>1</v>
      </c>
      <c r="G161" s="8" t="n">
        <f aca="false">INDEX(Mapping!$C$2:$C$99,MATCH(G$1&amp;"|"&amp;Customers!G161,Mapping!$D$2:$D$99,0))</f>
        <v>1</v>
      </c>
      <c r="H161" s="8" t="n">
        <f aca="false">INDEX(Mapping!$C$2:$C$99,MATCH(H$1&amp;"|"&amp;Customers!H161,Mapping!$D$2:$D$99,0))</f>
        <v>1</v>
      </c>
      <c r="I161" s="8" t="n">
        <f aca="false">INDEX(Mapping!$C$2:$C$99,MATCH(I$1&amp;"|"&amp;Customers!I161,Mapping!$D$2:$D$99,0))</f>
        <v>1</v>
      </c>
      <c r="J161" s="8" t="n">
        <f aca="false">INDEX(Mapping!$C$2:$C$99,MATCH(J$1&amp;"|"&amp;Customers!J161,Mapping!$D$2:$D$99,0))</f>
        <v>2</v>
      </c>
      <c r="K161" s="8" t="n">
        <f aca="false">INDEX(Mapping!$C$2:$C$99,MATCH(K$1&amp;"|"&amp;Customers!K161,Mapping!$D$2:$D$99,0))</f>
        <v>4</v>
      </c>
      <c r="L161" s="8" t="n">
        <f aca="false">INDEX(Mapping!$C$2:$C$99,MATCH(L$1&amp;"|"&amp;Customers!L161,Mapping!$D$2:$D$99,0))</f>
        <v>4</v>
      </c>
      <c r="M161" s="8" t="n">
        <f aca="false">INDEX(Mapping!$C$2:$C$99,MATCH(M$1&amp;"|"&amp;Customers!M161,Mapping!$D$2:$D$99,0))</f>
        <v>3</v>
      </c>
      <c r="N161" s="8" t="n">
        <f aca="false">INDEX(Mapping!$C$2:$C$99,MATCH(N$1&amp;"|"&amp;Customers!N161,Mapping!$D$2:$D$99,0))</f>
        <v>1</v>
      </c>
      <c r="O161" s="8" t="n">
        <f aca="false">INDEX(Mapping!$C$2:$C$99,MATCH(O$1&amp;"|"&amp;Customers!O161,Mapping!$D$2:$D$99,0))</f>
        <v>1</v>
      </c>
      <c r="P161" s="8" t="n">
        <f aca="false">INDEX(Mapping!$C$2:$C$99,MATCH(P$1&amp;"|"&amp;Customers!P161,Mapping!$D$2:$D$99,0))</f>
        <v>3</v>
      </c>
      <c r="Q161" s="8" t="n">
        <f aca="false">INDEX(Mapping!$C$2:$C$99,MATCH(Q$1&amp;"|"&amp;Customers!Q161,Mapping!$D$2:$D$99,0))</f>
        <v>1</v>
      </c>
      <c r="R161" s="8" t="n">
        <f aca="false">INDEX(Mapping!$C$2:$C$99,MATCH(R$1&amp;"|"&amp;Customers!R161,Mapping!$D$2:$D$99,0))</f>
        <v>2</v>
      </c>
      <c r="S161" s="8" t="n">
        <f aca="false">INDEX(Mapping!$C$2:$C$99,MATCH(S$1&amp;"|"&amp;Customers!S161,Mapping!$D$2:$D$99,0))</f>
        <v>4</v>
      </c>
      <c r="T161" s="8" t="n">
        <f aca="false">INDEX(Mapping!$C$2:$C$99,MATCH(T$1&amp;"|"&amp;Customers!T161,Mapping!$D$2:$D$99,0))</f>
        <v>1</v>
      </c>
      <c r="U161" s="8" t="n">
        <f aca="false">INDEX(Mapping!$C$2:$C$99,MATCH(U$1&amp;"|"&amp;Customers!U161,Mapping!$D$2:$D$99,0))</f>
        <v>2</v>
      </c>
      <c r="V161" s="8" t="n">
        <f aca="false">INDEX(Mapping!$C$2:$C$99,MATCH(V$1&amp;"|"&amp;Customers!V161,Mapping!$D$2:$D$99,0))</f>
        <v>1</v>
      </c>
      <c r="W161" s="17" t="n">
        <f aca="false">SUMPRODUCT($C161:$V161,Weights!$C$27:$V$27)</f>
        <v>2.11</v>
      </c>
      <c r="X161" s="18" t="n">
        <f aca="false">ROUND($W161,2)</f>
        <v>2.11</v>
      </c>
      <c r="Y161" s="8" t="str">
        <f aca="false">IF($X161&lt;=2,"Low",IF($X161&lt;=3.49,"Medium","High"))</f>
        <v>Medium</v>
      </c>
      <c r="Z161" s="8" t="str">
        <f aca="false">IF(OR($F161&gt;=3,$E161=5,$D161=5,$C161=5,$G161=5,$H161=5,$I161=5,$J161=5,Customers!$W161="Yes"),"Yes","No")</f>
        <v>No</v>
      </c>
      <c r="AA161" s="15" t="str">
        <f aca="false">IF($Z161="Yes","High",$Y161)</f>
        <v>Medium</v>
      </c>
      <c r="AB161" s="18" t="n">
        <f aca="false">SUMPRODUCT($C161:$G161,Weights!$C$28:$G$28)</f>
        <v>1.95</v>
      </c>
      <c r="AC161" s="18" t="n">
        <f aca="false">SUMPRODUCT($H161:$J161,Weights!$H$28:$J$28)</f>
        <v>1.4</v>
      </c>
      <c r="AD161" s="18" t="n">
        <f aca="false">SUMPRODUCT($K161:$N161,Weights!$K$28:$N$28)</f>
        <v>3.3</v>
      </c>
      <c r="AE161" s="18" t="n">
        <f aca="false">SUMPRODUCT($O161:$Q161,Weights!$O$28:$Q$28)</f>
        <v>1.7</v>
      </c>
      <c r="AF161" s="18" t="n">
        <f aca="false">SUMPRODUCT($R161:$V161,Weights!$R$28:$V$28)</f>
        <v>2.3</v>
      </c>
      <c r="AH161" s="18" t="n">
        <f aca="false">SUMPRODUCT($AB161:$AF161,Validation!$D$7:$H$7)</f>
        <v>2.1328571428568</v>
      </c>
      <c r="AI161" s="18" t="n">
        <f aca="false">SUMPRODUCT($AB161:$AF161,Validation!$D$8:$H$8)</f>
        <v>2.0871428571432</v>
      </c>
      <c r="AJ161" s="18" t="n">
        <f aca="false">SUMPRODUCT($AB161:$AF161,Validation!$D$9:$H$9)</f>
        <v>2.2046666666672</v>
      </c>
      <c r="AK161" s="18" t="n">
        <f aca="false">SUMPRODUCT($AB161:$AF161,Validation!$D$10:$H$10)</f>
        <v>2.0153333333328</v>
      </c>
      <c r="AL161" s="18" t="n">
        <f aca="false">SUMPRODUCT($AB161:$AF161,Validation!$D$11:$H$11)</f>
        <v>1.96125</v>
      </c>
      <c r="AM161" s="18" t="n">
        <f aca="false">SUMPRODUCT($AB161:$AF161,Validation!$D$12:$H$12)</f>
        <v>2.25875</v>
      </c>
      <c r="AN161" s="18" t="n">
        <f aca="false">SUMPRODUCT($AB161:$AF161,Validation!$D$13:$H$13)</f>
        <v>2.15555555555525</v>
      </c>
      <c r="AO161" s="18" t="n">
        <f aca="false">SUMPRODUCT($AB161:$AF161,Validation!$D$14:$H$14)</f>
        <v>2.06444444444475</v>
      </c>
      <c r="AP161" s="18" t="n">
        <f aca="false">SUMPRODUCT($AB161:$AF161,Validation!$D$15:$H$15)</f>
        <v>2.08764705882395</v>
      </c>
      <c r="AQ161" s="18" t="n">
        <f aca="false">SUMPRODUCT($AB161:$AF161,Validation!$D$16:$H$16)</f>
        <v>2.13235294117605</v>
      </c>
      <c r="AR161" s="8" t="n">
        <f aca="false">COUNTIF($C161:$V161,"&gt;=4")</f>
        <v>4</v>
      </c>
      <c r="AS161" s="8" t="str">
        <f aca="false">IF($X161&lt;=1.6,"Low",IF($X161&lt;=2.2,"Medium","High"))</f>
        <v>Medium</v>
      </c>
      <c r="AT161" s="8" t="str">
        <f aca="false">IF($AR161=0,"Low",IF($AR161&lt;3,"Medium","High"))</f>
        <v>High</v>
      </c>
      <c r="AU161" s="8" t="str">
        <f aca="false">IF(OR($AS161="High",$AT161="High"),"High",IF(OR($AS161="Medium",$AT161="Medium"),"Medium","Low"))</f>
        <v>High</v>
      </c>
      <c r="AV161" s="15" t="str">
        <f aca="false">IF($Z161="Yes","High",$AU161)</f>
        <v>High</v>
      </c>
    </row>
    <row r="162" customFormat="false" ht="15" hidden="false" customHeight="false" outlineLevel="0" collapsed="false">
      <c r="A162" s="7" t="str">
        <f aca="false">Customers!$A162</f>
        <v>NG-10138</v>
      </c>
      <c r="B162" s="7" t="str">
        <f aca="false">Customers!$B162</f>
        <v>Personal</v>
      </c>
      <c r="C162" s="8" t="n">
        <f aca="false">INDEX(Mapping!$C$2:$C$99,MATCH(C$1&amp;"|"&amp;Customers!C162,Mapping!$D$2:$D$99,0))</f>
        <v>1</v>
      </c>
      <c r="D162" s="8" t="n">
        <f aca="false">INDEX(Mapping!$C$2:$C$99,MATCH(D$1&amp;"|"&amp;Customers!D162,Mapping!$D$2:$D$99,0))</f>
        <v>1</v>
      </c>
      <c r="E162" s="8" t="n">
        <f aca="false">INDEX(Mapping!$C$2:$C$99,MATCH(E$1&amp;"|"&amp;Customers!E162,Mapping!$D$2:$D$99,0))</f>
        <v>1</v>
      </c>
      <c r="F162" s="8" t="n">
        <f aca="false">INDEX(Mapping!$C$2:$C$99,MATCH(F$1&amp;"|"&amp;Customers!F162,Mapping!$D$2:$D$99,0))</f>
        <v>1</v>
      </c>
      <c r="G162" s="8" t="n">
        <f aca="false">INDEX(Mapping!$C$2:$C$99,MATCH(G$1&amp;"|"&amp;Customers!G162,Mapping!$D$2:$D$99,0))</f>
        <v>1</v>
      </c>
      <c r="H162" s="8" t="n">
        <f aca="false">INDEX(Mapping!$C$2:$C$99,MATCH(H$1&amp;"|"&amp;Customers!H162,Mapping!$D$2:$D$99,0))</f>
        <v>1</v>
      </c>
      <c r="I162" s="8" t="n">
        <f aca="false">INDEX(Mapping!$C$2:$C$99,MATCH(I$1&amp;"|"&amp;Customers!I162,Mapping!$D$2:$D$99,0))</f>
        <v>2</v>
      </c>
      <c r="J162" s="8" t="n">
        <f aca="false">INDEX(Mapping!$C$2:$C$99,MATCH(J$1&amp;"|"&amp;Customers!J162,Mapping!$D$2:$D$99,0))</f>
        <v>1</v>
      </c>
      <c r="K162" s="8" t="n">
        <f aca="false">INDEX(Mapping!$C$2:$C$99,MATCH(K$1&amp;"|"&amp;Customers!K162,Mapping!$D$2:$D$99,0))</f>
        <v>3</v>
      </c>
      <c r="L162" s="8" t="n">
        <f aca="false">INDEX(Mapping!$C$2:$C$99,MATCH(L$1&amp;"|"&amp;Customers!L162,Mapping!$D$2:$D$99,0))</f>
        <v>3</v>
      </c>
      <c r="M162" s="8" t="n">
        <f aca="false">INDEX(Mapping!$C$2:$C$99,MATCH(M$1&amp;"|"&amp;Customers!M162,Mapping!$D$2:$D$99,0))</f>
        <v>2</v>
      </c>
      <c r="N162" s="8" t="n">
        <f aca="false">INDEX(Mapping!$C$2:$C$99,MATCH(N$1&amp;"|"&amp;Customers!N162,Mapping!$D$2:$D$99,0))</f>
        <v>1</v>
      </c>
      <c r="O162" s="8" t="n">
        <f aca="false">INDEX(Mapping!$C$2:$C$99,MATCH(O$1&amp;"|"&amp;Customers!O162,Mapping!$D$2:$D$99,0))</f>
        <v>3</v>
      </c>
      <c r="P162" s="8" t="n">
        <f aca="false">INDEX(Mapping!$C$2:$C$99,MATCH(P$1&amp;"|"&amp;Customers!P162,Mapping!$D$2:$D$99,0))</f>
        <v>3</v>
      </c>
      <c r="Q162" s="8" t="n">
        <f aca="false">INDEX(Mapping!$C$2:$C$99,MATCH(Q$1&amp;"|"&amp;Customers!Q162,Mapping!$D$2:$D$99,0))</f>
        <v>1</v>
      </c>
      <c r="R162" s="8" t="n">
        <f aca="false">INDEX(Mapping!$C$2:$C$99,MATCH(R$1&amp;"|"&amp;Customers!R162,Mapping!$D$2:$D$99,0))</f>
        <v>3</v>
      </c>
      <c r="S162" s="8" t="n">
        <f aca="false">INDEX(Mapping!$C$2:$C$99,MATCH(S$1&amp;"|"&amp;Customers!S162,Mapping!$D$2:$D$99,0))</f>
        <v>2</v>
      </c>
      <c r="T162" s="8" t="n">
        <f aca="false">INDEX(Mapping!$C$2:$C$99,MATCH(T$1&amp;"|"&amp;Customers!T162,Mapping!$D$2:$D$99,0))</f>
        <v>1</v>
      </c>
      <c r="U162" s="8" t="n">
        <f aca="false">INDEX(Mapping!$C$2:$C$99,MATCH(U$1&amp;"|"&amp;Customers!U162,Mapping!$D$2:$D$99,0))</f>
        <v>1</v>
      </c>
      <c r="V162" s="8" t="n">
        <f aca="false">INDEX(Mapping!$C$2:$C$99,MATCH(V$1&amp;"|"&amp;Customers!V162,Mapping!$D$2:$D$99,0))</f>
        <v>1</v>
      </c>
      <c r="W162" s="17" t="n">
        <f aca="false">SUMPRODUCT($C162:$V162,Weights!$C$27:$V$27)</f>
        <v>1.62</v>
      </c>
      <c r="X162" s="18" t="n">
        <f aca="false">ROUND($W162,2)</f>
        <v>1.62</v>
      </c>
      <c r="Y162" s="8" t="str">
        <f aca="false">IF($X162&lt;=2,"Low",IF($X162&lt;=3.49,"Medium","High"))</f>
        <v>Low</v>
      </c>
      <c r="Z162" s="8" t="str">
        <f aca="false">IF(OR($F162&gt;=3,$E162=5,$D162=5,$C162=5,$G162=5,$H162=5,$I162=5,$J162=5,Customers!$W162="Yes"),"Yes","No")</f>
        <v>No</v>
      </c>
      <c r="AA162" s="15" t="str">
        <f aca="false">IF($Z162="Yes","High",$Y162)</f>
        <v>Low</v>
      </c>
      <c r="AB162" s="18" t="n">
        <f aca="false">SUMPRODUCT($C162:$G162,Weights!$C$28:$G$28)</f>
        <v>1</v>
      </c>
      <c r="AC162" s="18" t="n">
        <f aca="false">SUMPRODUCT($H162:$J162,Weights!$H$28:$J$28)</f>
        <v>1.2</v>
      </c>
      <c r="AD162" s="18" t="n">
        <f aca="false">SUMPRODUCT($K162:$N162,Weights!$K$28:$N$28)</f>
        <v>2.45</v>
      </c>
      <c r="AE162" s="18" t="n">
        <f aca="false">SUMPRODUCT($O162:$Q162,Weights!$O$28:$Q$28)</f>
        <v>2.6</v>
      </c>
      <c r="AF162" s="18" t="n">
        <f aca="false">SUMPRODUCT($R162:$V162,Weights!$R$28:$V$28)</f>
        <v>1.8</v>
      </c>
      <c r="AH162" s="18" t="n">
        <f aca="false">SUMPRODUCT($AB162:$AF162,Validation!$D$7:$H$7)</f>
        <v>1.70857142857155</v>
      </c>
      <c r="AI162" s="18" t="n">
        <f aca="false">SUMPRODUCT($AB162:$AF162,Validation!$D$8:$H$8)</f>
        <v>1.53142857142845</v>
      </c>
      <c r="AJ162" s="18" t="n">
        <f aca="false">SUMPRODUCT($AB162:$AF162,Validation!$D$9:$H$9)</f>
        <v>1.67599999999995</v>
      </c>
      <c r="AK162" s="18" t="n">
        <f aca="false">SUMPRODUCT($AB162:$AF162,Validation!$D$10:$H$10)</f>
        <v>1.56400000000005</v>
      </c>
      <c r="AL162" s="18" t="n">
        <f aca="false">SUMPRODUCT($AB162:$AF162,Validation!$D$11:$H$11)</f>
        <v>1.51625</v>
      </c>
      <c r="AM162" s="18" t="n">
        <f aca="false">SUMPRODUCT($AB162:$AF162,Validation!$D$12:$H$12)</f>
        <v>1.72375</v>
      </c>
      <c r="AN162" s="18" t="n">
        <f aca="false">SUMPRODUCT($AB162:$AF162,Validation!$D$13:$H$13)</f>
        <v>1.5111111111111</v>
      </c>
      <c r="AO162" s="18" t="n">
        <f aca="false">SUMPRODUCT($AB162:$AF162,Validation!$D$14:$H$14)</f>
        <v>1.7288888888889</v>
      </c>
      <c r="AP162" s="18" t="n">
        <f aca="false">SUMPRODUCT($AB162:$AF162,Validation!$D$15:$H$15)</f>
        <v>1.59882352941165</v>
      </c>
      <c r="AQ162" s="18" t="n">
        <f aca="false">SUMPRODUCT($AB162:$AF162,Validation!$D$16:$H$16)</f>
        <v>1.64117647058835</v>
      </c>
      <c r="AR162" s="8" t="n">
        <f aca="false">COUNTIF($C162:$V162,"&gt;=4")</f>
        <v>0</v>
      </c>
      <c r="AS162" s="8" t="str">
        <f aca="false">IF($X162&lt;=1.6,"Low",IF($X162&lt;=2.2,"Medium","High"))</f>
        <v>Medium</v>
      </c>
      <c r="AT162" s="8" t="str">
        <f aca="false">IF($AR162=0,"Low",IF($AR162&lt;3,"Medium","High"))</f>
        <v>Low</v>
      </c>
      <c r="AU162" s="8" t="str">
        <f aca="false">IF(OR($AS162="High",$AT162="High"),"High",IF(OR($AS162="Medium",$AT162="Medium"),"Medium","Low"))</f>
        <v>Medium</v>
      </c>
      <c r="AV162" s="15" t="str">
        <f aca="false">IF($Z162="Yes","High",$AU162)</f>
        <v>Medium</v>
      </c>
    </row>
    <row r="163" customFormat="false" ht="15" hidden="false" customHeight="false" outlineLevel="0" collapsed="false">
      <c r="A163" s="7" t="str">
        <f aca="false">Customers!$A163</f>
        <v>NG-10310</v>
      </c>
      <c r="B163" s="7" t="str">
        <f aca="false">Customers!$B163</f>
        <v>Sole trader</v>
      </c>
      <c r="C163" s="8" t="n">
        <f aca="false">INDEX(Mapping!$C$2:$C$99,MATCH(C$1&amp;"|"&amp;Customers!C163,Mapping!$D$2:$D$99,0))</f>
        <v>2</v>
      </c>
      <c r="D163" s="8" t="n">
        <f aca="false">INDEX(Mapping!$C$2:$C$99,MATCH(D$1&amp;"|"&amp;Customers!D163,Mapping!$D$2:$D$99,0))</f>
        <v>1</v>
      </c>
      <c r="E163" s="8" t="n">
        <f aca="false">INDEX(Mapping!$C$2:$C$99,MATCH(E$1&amp;"|"&amp;Customers!E163,Mapping!$D$2:$D$99,0))</f>
        <v>3</v>
      </c>
      <c r="F163" s="8" t="n">
        <f aca="false">INDEX(Mapping!$C$2:$C$99,MATCH(F$1&amp;"|"&amp;Customers!F163,Mapping!$D$2:$D$99,0))</f>
        <v>1</v>
      </c>
      <c r="G163" s="8" t="n">
        <f aca="false">INDEX(Mapping!$C$2:$C$99,MATCH(G$1&amp;"|"&amp;Customers!G163,Mapping!$D$2:$D$99,0))</f>
        <v>2</v>
      </c>
      <c r="H163" s="8" t="n">
        <f aca="false">INDEX(Mapping!$C$2:$C$99,MATCH(H$1&amp;"|"&amp;Customers!H163,Mapping!$D$2:$D$99,0))</f>
        <v>1</v>
      </c>
      <c r="I163" s="8" t="n">
        <f aca="false">INDEX(Mapping!$C$2:$C$99,MATCH(I$1&amp;"|"&amp;Customers!I163,Mapping!$D$2:$D$99,0))</f>
        <v>1</v>
      </c>
      <c r="J163" s="8" t="n">
        <f aca="false">INDEX(Mapping!$C$2:$C$99,MATCH(J$1&amp;"|"&amp;Customers!J163,Mapping!$D$2:$D$99,0))</f>
        <v>2</v>
      </c>
      <c r="K163" s="8" t="n">
        <f aca="false">INDEX(Mapping!$C$2:$C$99,MATCH(K$1&amp;"|"&amp;Customers!K163,Mapping!$D$2:$D$99,0))</f>
        <v>4</v>
      </c>
      <c r="L163" s="8" t="n">
        <f aca="false">INDEX(Mapping!$C$2:$C$99,MATCH(L$1&amp;"|"&amp;Customers!L163,Mapping!$D$2:$D$99,0))</f>
        <v>3</v>
      </c>
      <c r="M163" s="8" t="n">
        <f aca="false">INDEX(Mapping!$C$2:$C$99,MATCH(M$1&amp;"|"&amp;Customers!M163,Mapping!$D$2:$D$99,0))</f>
        <v>2</v>
      </c>
      <c r="N163" s="8" t="n">
        <f aca="false">INDEX(Mapping!$C$2:$C$99,MATCH(N$1&amp;"|"&amp;Customers!N163,Mapping!$D$2:$D$99,0))</f>
        <v>1</v>
      </c>
      <c r="O163" s="8" t="n">
        <f aca="false">INDEX(Mapping!$C$2:$C$99,MATCH(O$1&amp;"|"&amp;Customers!O163,Mapping!$D$2:$D$99,0))</f>
        <v>1</v>
      </c>
      <c r="P163" s="8" t="n">
        <f aca="false">INDEX(Mapping!$C$2:$C$99,MATCH(P$1&amp;"|"&amp;Customers!P163,Mapping!$D$2:$D$99,0))</f>
        <v>3</v>
      </c>
      <c r="Q163" s="8" t="n">
        <f aca="false">INDEX(Mapping!$C$2:$C$99,MATCH(Q$1&amp;"|"&amp;Customers!Q163,Mapping!$D$2:$D$99,0))</f>
        <v>1</v>
      </c>
      <c r="R163" s="8" t="n">
        <f aca="false">INDEX(Mapping!$C$2:$C$99,MATCH(R$1&amp;"|"&amp;Customers!R163,Mapping!$D$2:$D$99,0))</f>
        <v>2</v>
      </c>
      <c r="S163" s="8" t="n">
        <f aca="false">INDEX(Mapping!$C$2:$C$99,MATCH(S$1&amp;"|"&amp;Customers!S163,Mapping!$D$2:$D$99,0))</f>
        <v>2</v>
      </c>
      <c r="T163" s="8" t="n">
        <f aca="false">INDEX(Mapping!$C$2:$C$99,MATCH(T$1&amp;"|"&amp;Customers!T163,Mapping!$D$2:$D$99,0))</f>
        <v>1</v>
      </c>
      <c r="U163" s="8" t="n">
        <f aca="false">INDEX(Mapping!$C$2:$C$99,MATCH(U$1&amp;"|"&amp;Customers!U163,Mapping!$D$2:$D$99,0))</f>
        <v>4</v>
      </c>
      <c r="V163" s="8" t="n">
        <f aca="false">INDEX(Mapping!$C$2:$C$99,MATCH(V$1&amp;"|"&amp;Customers!V163,Mapping!$D$2:$D$99,0))</f>
        <v>1</v>
      </c>
      <c r="W163" s="17" t="n">
        <f aca="false">SUMPRODUCT($C163:$V163,Weights!$C$27:$V$27)</f>
        <v>1.935</v>
      </c>
      <c r="X163" s="18" t="n">
        <f aca="false">ROUND($W163,2)</f>
        <v>1.94</v>
      </c>
      <c r="Y163" s="8" t="str">
        <f aca="false">IF($X163&lt;=2,"Low",IF($X163&lt;=3.49,"Medium","High"))</f>
        <v>Low</v>
      </c>
      <c r="Z163" s="8" t="str">
        <f aca="false">IF(OR($F163&gt;=3,$E163=5,$D163=5,$C163=5,$G163=5,$H163=5,$I163=5,$J163=5,Customers!$W163="Yes"),"Yes","No")</f>
        <v>No</v>
      </c>
      <c r="AA163" s="15" t="str">
        <f aca="false">IF($Z163="Yes","High",$Y163)</f>
        <v>Low</v>
      </c>
      <c r="AB163" s="18" t="n">
        <f aca="false">SUMPRODUCT($C163:$G163,Weights!$C$28:$G$28)</f>
        <v>1.85</v>
      </c>
      <c r="AC163" s="18" t="n">
        <f aca="false">SUMPRODUCT($H163:$J163,Weights!$H$28:$J$28)</f>
        <v>1.4</v>
      </c>
      <c r="AD163" s="18" t="n">
        <f aca="false">SUMPRODUCT($K163:$N163,Weights!$K$28:$N$28)</f>
        <v>2.8</v>
      </c>
      <c r="AE163" s="18" t="n">
        <f aca="false">SUMPRODUCT($O163:$Q163,Weights!$O$28:$Q$28)</f>
        <v>1.7</v>
      </c>
      <c r="AF163" s="18" t="n">
        <f aca="false">SUMPRODUCT($R163:$V163,Weights!$R$28:$V$28)</f>
        <v>2</v>
      </c>
      <c r="AH163" s="18" t="n">
        <f aca="false">SUMPRODUCT($AB163:$AF163,Validation!$D$7:$H$7)</f>
        <v>1.9471428571426</v>
      </c>
      <c r="AI163" s="18" t="n">
        <f aca="false">SUMPRODUCT($AB163:$AF163,Validation!$D$8:$H$8)</f>
        <v>1.9228571428574</v>
      </c>
      <c r="AJ163" s="18" t="n">
        <f aca="false">SUMPRODUCT($AB163:$AF163,Validation!$D$9:$H$9)</f>
        <v>2.0063333333337</v>
      </c>
      <c r="AK163" s="18" t="n">
        <f aca="false">SUMPRODUCT($AB163:$AF163,Validation!$D$10:$H$10)</f>
        <v>1.8636666666663</v>
      </c>
      <c r="AL163" s="18" t="n">
        <f aca="false">SUMPRODUCT($AB163:$AF163,Validation!$D$11:$H$11)</f>
        <v>1.826875</v>
      </c>
      <c r="AM163" s="18" t="n">
        <f aca="false">SUMPRODUCT($AB163:$AF163,Validation!$D$12:$H$12)</f>
        <v>2.043125</v>
      </c>
      <c r="AN163" s="18" t="n">
        <f aca="false">SUMPRODUCT($AB163:$AF163,Validation!$D$13:$H$13)</f>
        <v>1.96111111111085</v>
      </c>
      <c r="AO163" s="18" t="n">
        <f aca="false">SUMPRODUCT($AB163:$AF163,Validation!$D$14:$H$14)</f>
        <v>1.90888888888915</v>
      </c>
      <c r="AP163" s="18" t="n">
        <f aca="false">SUMPRODUCT($AB163:$AF163,Validation!$D$15:$H$15)</f>
        <v>1.92735294117675</v>
      </c>
      <c r="AQ163" s="18" t="n">
        <f aca="false">SUMPRODUCT($AB163:$AF163,Validation!$D$16:$H$16)</f>
        <v>1.94264705882325</v>
      </c>
      <c r="AR163" s="8" t="n">
        <f aca="false">COUNTIF($C163:$V163,"&gt;=4")</f>
        <v>2</v>
      </c>
      <c r="AS163" s="8" t="str">
        <f aca="false">IF($X163&lt;=1.6,"Low",IF($X163&lt;=2.2,"Medium","High"))</f>
        <v>Medium</v>
      </c>
      <c r="AT163" s="8" t="str">
        <f aca="false">IF($AR163=0,"Low",IF($AR163&lt;3,"Medium","High"))</f>
        <v>Medium</v>
      </c>
      <c r="AU163" s="8" t="str">
        <f aca="false">IF(OR($AS163="High",$AT163="High"),"High",IF(OR($AS163="Medium",$AT163="Medium"),"Medium","Low"))</f>
        <v>Medium</v>
      </c>
      <c r="AV163" s="15" t="str">
        <f aca="false">IF($Z163="Yes","High",$AU163)</f>
        <v>Medium</v>
      </c>
    </row>
    <row r="164" customFormat="false" ht="15" hidden="false" customHeight="false" outlineLevel="0" collapsed="false">
      <c r="A164" s="7" t="str">
        <f aca="false">Customers!$A164</f>
        <v>NG-10040</v>
      </c>
      <c r="B164" s="7" t="str">
        <f aca="false">Customers!$B164</f>
        <v>Personal</v>
      </c>
      <c r="C164" s="8" t="n">
        <f aca="false">INDEX(Mapping!$C$2:$C$99,MATCH(C$1&amp;"|"&amp;Customers!C164,Mapping!$D$2:$D$99,0))</f>
        <v>2</v>
      </c>
      <c r="D164" s="8" t="n">
        <f aca="false">INDEX(Mapping!$C$2:$C$99,MATCH(D$1&amp;"|"&amp;Customers!D164,Mapping!$D$2:$D$99,0))</f>
        <v>1</v>
      </c>
      <c r="E164" s="8" t="n">
        <f aca="false">INDEX(Mapping!$C$2:$C$99,MATCH(E$1&amp;"|"&amp;Customers!E164,Mapping!$D$2:$D$99,0))</f>
        <v>1</v>
      </c>
      <c r="F164" s="8" t="n">
        <f aca="false">INDEX(Mapping!$C$2:$C$99,MATCH(F$1&amp;"|"&amp;Customers!F164,Mapping!$D$2:$D$99,0))</f>
        <v>1</v>
      </c>
      <c r="G164" s="8" t="n">
        <f aca="false">INDEX(Mapping!$C$2:$C$99,MATCH(G$1&amp;"|"&amp;Customers!G164,Mapping!$D$2:$D$99,0))</f>
        <v>2</v>
      </c>
      <c r="H164" s="8" t="n">
        <f aca="false">INDEX(Mapping!$C$2:$C$99,MATCH(H$1&amp;"|"&amp;Customers!H164,Mapping!$D$2:$D$99,0))</f>
        <v>1</v>
      </c>
      <c r="I164" s="8" t="n">
        <f aca="false">INDEX(Mapping!$C$2:$C$99,MATCH(I$1&amp;"|"&amp;Customers!I164,Mapping!$D$2:$D$99,0))</f>
        <v>1</v>
      </c>
      <c r="J164" s="8" t="n">
        <f aca="false">INDEX(Mapping!$C$2:$C$99,MATCH(J$1&amp;"|"&amp;Customers!J164,Mapping!$D$2:$D$99,0))</f>
        <v>1</v>
      </c>
      <c r="K164" s="8" t="n">
        <f aca="false">INDEX(Mapping!$C$2:$C$99,MATCH(K$1&amp;"|"&amp;Customers!K164,Mapping!$D$2:$D$99,0))</f>
        <v>3</v>
      </c>
      <c r="L164" s="8" t="n">
        <f aca="false">INDEX(Mapping!$C$2:$C$99,MATCH(L$1&amp;"|"&amp;Customers!L164,Mapping!$D$2:$D$99,0))</f>
        <v>3</v>
      </c>
      <c r="M164" s="8" t="n">
        <f aca="false">INDEX(Mapping!$C$2:$C$99,MATCH(M$1&amp;"|"&amp;Customers!M164,Mapping!$D$2:$D$99,0))</f>
        <v>1</v>
      </c>
      <c r="N164" s="8" t="n">
        <f aca="false">INDEX(Mapping!$C$2:$C$99,MATCH(N$1&amp;"|"&amp;Customers!N164,Mapping!$D$2:$D$99,0))</f>
        <v>2</v>
      </c>
      <c r="O164" s="8" t="n">
        <f aca="false">INDEX(Mapping!$C$2:$C$99,MATCH(O$1&amp;"|"&amp;Customers!O164,Mapping!$D$2:$D$99,0))</f>
        <v>3</v>
      </c>
      <c r="P164" s="8" t="n">
        <f aca="false">INDEX(Mapping!$C$2:$C$99,MATCH(P$1&amp;"|"&amp;Customers!P164,Mapping!$D$2:$D$99,0))</f>
        <v>3</v>
      </c>
      <c r="Q164" s="8" t="n">
        <f aca="false">INDEX(Mapping!$C$2:$C$99,MATCH(Q$1&amp;"|"&amp;Customers!Q164,Mapping!$D$2:$D$99,0))</f>
        <v>3</v>
      </c>
      <c r="R164" s="8" t="n">
        <f aca="false">INDEX(Mapping!$C$2:$C$99,MATCH(R$1&amp;"|"&amp;Customers!R164,Mapping!$D$2:$D$99,0))</f>
        <v>1</v>
      </c>
      <c r="S164" s="8" t="n">
        <f aca="false">INDEX(Mapping!$C$2:$C$99,MATCH(S$1&amp;"|"&amp;Customers!S164,Mapping!$D$2:$D$99,0))</f>
        <v>2</v>
      </c>
      <c r="T164" s="8" t="n">
        <f aca="false">INDEX(Mapping!$C$2:$C$99,MATCH(T$1&amp;"|"&amp;Customers!T164,Mapping!$D$2:$D$99,0))</f>
        <v>1</v>
      </c>
      <c r="U164" s="8" t="n">
        <f aca="false">INDEX(Mapping!$C$2:$C$99,MATCH(U$1&amp;"|"&amp;Customers!U164,Mapping!$D$2:$D$99,0))</f>
        <v>1</v>
      </c>
      <c r="V164" s="8" t="n">
        <f aca="false">INDEX(Mapping!$C$2:$C$99,MATCH(V$1&amp;"|"&amp;Customers!V164,Mapping!$D$2:$D$99,0))</f>
        <v>3</v>
      </c>
      <c r="W164" s="17" t="n">
        <f aca="false">SUMPRODUCT($C164:$V164,Weights!$C$27:$V$27)</f>
        <v>1.65</v>
      </c>
      <c r="X164" s="18" t="n">
        <f aca="false">ROUND($W164,2)</f>
        <v>1.65</v>
      </c>
      <c r="Y164" s="8" t="str">
        <f aca="false">IF($X164&lt;=2,"Low",IF($X164&lt;=3.49,"Medium","High"))</f>
        <v>Low</v>
      </c>
      <c r="Z164" s="8" t="str">
        <f aca="false">IF(OR($F164&gt;=3,$E164=5,$D164=5,$C164=5,$G164=5,$H164=5,$I164=5,$J164=5,Customers!$W164="Yes"),"Yes","No")</f>
        <v>No</v>
      </c>
      <c r="AA164" s="15" t="str">
        <f aca="false">IF($Z164="Yes","High",$Y164)</f>
        <v>Low</v>
      </c>
      <c r="AB164" s="18" t="n">
        <f aca="false">SUMPRODUCT($C164:$G164,Weights!$C$28:$G$28)</f>
        <v>1.35</v>
      </c>
      <c r="AC164" s="18" t="n">
        <f aca="false">SUMPRODUCT($H164:$J164,Weights!$H$28:$J$28)</f>
        <v>1</v>
      </c>
      <c r="AD164" s="18" t="n">
        <f aca="false">SUMPRODUCT($K164:$N164,Weights!$K$28:$N$28)</f>
        <v>2.35</v>
      </c>
      <c r="AE164" s="18" t="n">
        <f aca="false">SUMPRODUCT($O164:$Q164,Weights!$O$28:$Q$28)</f>
        <v>3</v>
      </c>
      <c r="AF164" s="18" t="n">
        <f aca="false">SUMPRODUCT($R164:$V164,Weights!$R$28:$V$28)</f>
        <v>1.5</v>
      </c>
      <c r="AH164" s="18" t="n">
        <f aca="false">SUMPRODUCT($AB164:$AF164,Validation!$D$7:$H$7)</f>
        <v>1.69285714285735</v>
      </c>
      <c r="AI164" s="18" t="n">
        <f aca="false">SUMPRODUCT($AB164:$AF164,Validation!$D$8:$H$8)</f>
        <v>1.60714285714265</v>
      </c>
      <c r="AJ164" s="18" t="n">
        <f aca="false">SUMPRODUCT($AB164:$AF164,Validation!$D$9:$H$9)</f>
        <v>1.73666666666645</v>
      </c>
      <c r="AK164" s="18" t="n">
        <f aca="false">SUMPRODUCT($AB164:$AF164,Validation!$D$10:$H$10)</f>
        <v>1.56333333333355</v>
      </c>
      <c r="AL164" s="18" t="n">
        <f aca="false">SUMPRODUCT($AB164:$AF164,Validation!$D$11:$H$11)</f>
        <v>1.5625</v>
      </c>
      <c r="AM164" s="18" t="n">
        <f aca="false">SUMPRODUCT($AB164:$AF164,Validation!$D$12:$H$12)</f>
        <v>1.7375</v>
      </c>
      <c r="AN164" s="18" t="n">
        <f aca="false">SUMPRODUCT($AB164:$AF164,Validation!$D$13:$H$13)</f>
        <v>1.49999999999975</v>
      </c>
      <c r="AO164" s="18" t="n">
        <f aca="false">SUMPRODUCT($AB164:$AF164,Validation!$D$14:$H$14)</f>
        <v>1.80000000000025</v>
      </c>
      <c r="AP164" s="18" t="n">
        <f aca="false">SUMPRODUCT($AB164:$AF164,Validation!$D$15:$H$15)</f>
        <v>1.6676470588232</v>
      </c>
      <c r="AQ164" s="18" t="n">
        <f aca="false">SUMPRODUCT($AB164:$AF164,Validation!$D$16:$H$16)</f>
        <v>1.6323529411768</v>
      </c>
      <c r="AR164" s="8" t="n">
        <f aca="false">COUNTIF($C164:$V164,"&gt;=4")</f>
        <v>0</v>
      </c>
      <c r="AS164" s="8" t="str">
        <f aca="false">IF($X164&lt;=1.6,"Low",IF($X164&lt;=2.2,"Medium","High"))</f>
        <v>Medium</v>
      </c>
      <c r="AT164" s="8" t="str">
        <f aca="false">IF($AR164=0,"Low",IF($AR164&lt;3,"Medium","High"))</f>
        <v>Low</v>
      </c>
      <c r="AU164" s="8" t="str">
        <f aca="false">IF(OR($AS164="High",$AT164="High"),"High",IF(OR($AS164="Medium",$AT164="Medium"),"Medium","Low"))</f>
        <v>Medium</v>
      </c>
      <c r="AV164" s="15" t="str">
        <f aca="false">IF($Z164="Yes","High",$AU164)</f>
        <v>Medium</v>
      </c>
    </row>
    <row r="165" customFormat="false" ht="15" hidden="false" customHeight="false" outlineLevel="0" collapsed="false">
      <c r="A165" s="7" t="str">
        <f aca="false">Customers!$A165</f>
        <v>NG-10080</v>
      </c>
      <c r="B165" s="7" t="str">
        <f aca="false">Customers!$B165</f>
        <v>Personal</v>
      </c>
      <c r="C165" s="8" t="n">
        <f aca="false">INDEX(Mapping!$C$2:$C$99,MATCH(C$1&amp;"|"&amp;Customers!C165,Mapping!$D$2:$D$99,0))</f>
        <v>1</v>
      </c>
      <c r="D165" s="8" t="n">
        <f aca="false">INDEX(Mapping!$C$2:$C$99,MATCH(D$1&amp;"|"&amp;Customers!D165,Mapping!$D$2:$D$99,0))</f>
        <v>1</v>
      </c>
      <c r="E165" s="8" t="n">
        <f aca="false">INDEX(Mapping!$C$2:$C$99,MATCH(E$1&amp;"|"&amp;Customers!E165,Mapping!$D$2:$D$99,0))</f>
        <v>1</v>
      </c>
      <c r="F165" s="8" t="n">
        <f aca="false">INDEX(Mapping!$C$2:$C$99,MATCH(F$1&amp;"|"&amp;Customers!F165,Mapping!$D$2:$D$99,0))</f>
        <v>1</v>
      </c>
      <c r="G165" s="8" t="n">
        <f aca="false">INDEX(Mapping!$C$2:$C$99,MATCH(G$1&amp;"|"&amp;Customers!G165,Mapping!$D$2:$D$99,0))</f>
        <v>1</v>
      </c>
      <c r="H165" s="8" t="n">
        <f aca="false">INDEX(Mapping!$C$2:$C$99,MATCH(H$1&amp;"|"&amp;Customers!H165,Mapping!$D$2:$D$99,0))</f>
        <v>1</v>
      </c>
      <c r="I165" s="8" t="n">
        <f aca="false">INDEX(Mapping!$C$2:$C$99,MATCH(I$1&amp;"|"&amp;Customers!I165,Mapping!$D$2:$D$99,0))</f>
        <v>1</v>
      </c>
      <c r="J165" s="8" t="n">
        <f aca="false">INDEX(Mapping!$C$2:$C$99,MATCH(J$1&amp;"|"&amp;Customers!J165,Mapping!$D$2:$D$99,0))</f>
        <v>1</v>
      </c>
      <c r="K165" s="8" t="n">
        <f aca="false">INDEX(Mapping!$C$2:$C$99,MATCH(K$1&amp;"|"&amp;Customers!K165,Mapping!$D$2:$D$99,0))</f>
        <v>2</v>
      </c>
      <c r="L165" s="8" t="n">
        <f aca="false">INDEX(Mapping!$C$2:$C$99,MATCH(L$1&amp;"|"&amp;Customers!L165,Mapping!$D$2:$D$99,0))</f>
        <v>3</v>
      </c>
      <c r="M165" s="8" t="n">
        <f aca="false">INDEX(Mapping!$C$2:$C$99,MATCH(M$1&amp;"|"&amp;Customers!M165,Mapping!$D$2:$D$99,0))</f>
        <v>1</v>
      </c>
      <c r="N165" s="8" t="n">
        <f aca="false">INDEX(Mapping!$C$2:$C$99,MATCH(N$1&amp;"|"&amp;Customers!N165,Mapping!$D$2:$D$99,0))</f>
        <v>1</v>
      </c>
      <c r="O165" s="8" t="n">
        <f aca="false">INDEX(Mapping!$C$2:$C$99,MATCH(O$1&amp;"|"&amp;Customers!O165,Mapping!$D$2:$D$99,0))</f>
        <v>1</v>
      </c>
      <c r="P165" s="8" t="n">
        <f aca="false">INDEX(Mapping!$C$2:$C$99,MATCH(P$1&amp;"|"&amp;Customers!P165,Mapping!$D$2:$D$99,0))</f>
        <v>3</v>
      </c>
      <c r="Q165" s="8" t="n">
        <f aca="false">INDEX(Mapping!$C$2:$C$99,MATCH(Q$1&amp;"|"&amp;Customers!Q165,Mapping!$D$2:$D$99,0))</f>
        <v>2</v>
      </c>
      <c r="R165" s="8" t="n">
        <f aca="false">INDEX(Mapping!$C$2:$C$99,MATCH(R$1&amp;"|"&amp;Customers!R165,Mapping!$D$2:$D$99,0))</f>
        <v>2</v>
      </c>
      <c r="S165" s="8" t="n">
        <f aca="false">INDEX(Mapping!$C$2:$C$99,MATCH(S$1&amp;"|"&amp;Customers!S165,Mapping!$D$2:$D$99,0))</f>
        <v>2</v>
      </c>
      <c r="T165" s="8" t="n">
        <f aca="false">INDEX(Mapping!$C$2:$C$99,MATCH(T$1&amp;"|"&amp;Customers!T165,Mapping!$D$2:$D$99,0))</f>
        <v>2</v>
      </c>
      <c r="U165" s="8" t="n">
        <f aca="false">INDEX(Mapping!$C$2:$C$99,MATCH(U$1&amp;"|"&amp;Customers!U165,Mapping!$D$2:$D$99,0))</f>
        <v>1</v>
      </c>
      <c r="V165" s="8" t="n">
        <f aca="false">INDEX(Mapping!$C$2:$C$99,MATCH(V$1&amp;"|"&amp;Customers!V165,Mapping!$D$2:$D$99,0))</f>
        <v>1</v>
      </c>
      <c r="W165" s="17" t="n">
        <f aca="false">SUMPRODUCT($C165:$V165,Weights!$C$27:$V$27)</f>
        <v>1.3725</v>
      </c>
      <c r="X165" s="18" t="n">
        <f aca="false">ROUND($W165,2)</f>
        <v>1.37</v>
      </c>
      <c r="Y165" s="8" t="str">
        <f aca="false">IF($X165&lt;=2,"Low",IF($X165&lt;=3.49,"Medium","High"))</f>
        <v>Low</v>
      </c>
      <c r="Z165" s="8" t="str">
        <f aca="false">IF(OR($F165&gt;=3,$E165=5,$D165=5,$C165=5,$G165=5,$H165=5,$I165=5,$J165=5,Customers!$W165="Yes"),"Yes","No")</f>
        <v>No</v>
      </c>
      <c r="AA165" s="15" t="str">
        <f aca="false">IF($Z165="Yes","High",$Y165)</f>
        <v>Low</v>
      </c>
      <c r="AB165" s="18" t="n">
        <f aca="false">SUMPRODUCT($C165:$G165,Weights!$C$28:$G$28)</f>
        <v>1</v>
      </c>
      <c r="AC165" s="18" t="n">
        <f aca="false">SUMPRODUCT($H165:$J165,Weights!$H$28:$J$28)</f>
        <v>1</v>
      </c>
      <c r="AD165" s="18" t="n">
        <f aca="false">SUMPRODUCT($K165:$N165,Weights!$K$28:$N$28)</f>
        <v>1.85</v>
      </c>
      <c r="AE165" s="18" t="n">
        <f aca="false">SUMPRODUCT($O165:$Q165,Weights!$O$28:$Q$28)</f>
        <v>1.9</v>
      </c>
      <c r="AF165" s="18" t="n">
        <f aca="false">SUMPRODUCT($R165:$V165,Weights!$R$28:$V$28)</f>
        <v>1.75</v>
      </c>
      <c r="AH165" s="18" t="n">
        <f aca="false">SUMPRODUCT($AB165:$AF165,Validation!$D$7:$H$7)</f>
        <v>1.4257142857145</v>
      </c>
      <c r="AI165" s="18" t="n">
        <f aca="false">SUMPRODUCT($AB165:$AF165,Validation!$D$8:$H$8)</f>
        <v>1.3192857142855</v>
      </c>
      <c r="AJ165" s="18" t="n">
        <f aca="false">SUMPRODUCT($AB165:$AF165,Validation!$D$9:$H$9)</f>
        <v>1.42216666666665</v>
      </c>
      <c r="AK165" s="18" t="n">
        <f aca="false">SUMPRODUCT($AB165:$AF165,Validation!$D$10:$H$10)</f>
        <v>1.32283333333335</v>
      </c>
      <c r="AL165" s="18" t="n">
        <f aca="false">SUMPRODUCT($AB165:$AF165,Validation!$D$11:$H$11)</f>
        <v>1.3128125</v>
      </c>
      <c r="AM165" s="18" t="n">
        <f aca="false">SUMPRODUCT($AB165:$AF165,Validation!$D$12:$H$12)</f>
        <v>1.4321875</v>
      </c>
      <c r="AN165" s="18" t="n">
        <f aca="false">SUMPRODUCT($AB165:$AF165,Validation!$D$13:$H$13)</f>
        <v>1.31388888888895</v>
      </c>
      <c r="AO165" s="18" t="n">
        <f aca="false">SUMPRODUCT($AB165:$AF165,Validation!$D$14:$H$14)</f>
        <v>1.43111111111105</v>
      </c>
      <c r="AP165" s="18" t="n">
        <f aca="false">SUMPRODUCT($AB165:$AF165,Validation!$D$15:$H$15)</f>
        <v>1.32808823529405</v>
      </c>
      <c r="AQ165" s="18" t="n">
        <f aca="false">SUMPRODUCT($AB165:$AF165,Validation!$D$16:$H$16)</f>
        <v>1.41691176470595</v>
      </c>
      <c r="AR165" s="8" t="n">
        <f aca="false">COUNTIF($C165:$V165,"&gt;=4")</f>
        <v>0</v>
      </c>
      <c r="AS165" s="8" t="str">
        <f aca="false">IF($X165&lt;=1.6,"Low",IF($X165&lt;=2.2,"Medium","High"))</f>
        <v>Low</v>
      </c>
      <c r="AT165" s="8" t="str">
        <f aca="false">IF($AR165=0,"Low",IF($AR165&lt;3,"Medium","High"))</f>
        <v>Low</v>
      </c>
      <c r="AU165" s="8" t="str">
        <f aca="false">IF(OR($AS165="High",$AT165="High"),"High",IF(OR($AS165="Medium",$AT165="Medium"),"Medium","Low"))</f>
        <v>Low</v>
      </c>
      <c r="AV165" s="15" t="str">
        <f aca="false">IF($Z165="Yes","High",$AU165)</f>
        <v>Low</v>
      </c>
    </row>
    <row r="166" customFormat="false" ht="15" hidden="false" customHeight="false" outlineLevel="0" collapsed="false">
      <c r="A166" s="7" t="str">
        <f aca="false">Customers!$A166</f>
        <v>NG-10274</v>
      </c>
      <c r="B166" s="7" t="str">
        <f aca="false">Customers!$B166</f>
        <v>Personal</v>
      </c>
      <c r="C166" s="8" t="n">
        <f aca="false">INDEX(Mapping!$C$2:$C$99,MATCH(C$1&amp;"|"&amp;Customers!C166,Mapping!$D$2:$D$99,0))</f>
        <v>1</v>
      </c>
      <c r="D166" s="8" t="n">
        <f aca="false">INDEX(Mapping!$C$2:$C$99,MATCH(D$1&amp;"|"&amp;Customers!D166,Mapping!$D$2:$D$99,0))</f>
        <v>1</v>
      </c>
      <c r="E166" s="8" t="n">
        <f aca="false">INDEX(Mapping!$C$2:$C$99,MATCH(E$1&amp;"|"&amp;Customers!E166,Mapping!$D$2:$D$99,0))</f>
        <v>1</v>
      </c>
      <c r="F166" s="8" t="n">
        <f aca="false">INDEX(Mapping!$C$2:$C$99,MATCH(F$1&amp;"|"&amp;Customers!F166,Mapping!$D$2:$D$99,0))</f>
        <v>1</v>
      </c>
      <c r="G166" s="8" t="n">
        <f aca="false">INDEX(Mapping!$C$2:$C$99,MATCH(G$1&amp;"|"&amp;Customers!G166,Mapping!$D$2:$D$99,0))</f>
        <v>1</v>
      </c>
      <c r="H166" s="8" t="n">
        <f aca="false">INDEX(Mapping!$C$2:$C$99,MATCH(H$1&amp;"|"&amp;Customers!H166,Mapping!$D$2:$D$99,0))</f>
        <v>1</v>
      </c>
      <c r="I166" s="8" t="n">
        <f aca="false">INDEX(Mapping!$C$2:$C$99,MATCH(I$1&amp;"|"&amp;Customers!I166,Mapping!$D$2:$D$99,0))</f>
        <v>1</v>
      </c>
      <c r="J166" s="8" t="n">
        <f aca="false">INDEX(Mapping!$C$2:$C$99,MATCH(J$1&amp;"|"&amp;Customers!J166,Mapping!$D$2:$D$99,0))</f>
        <v>1</v>
      </c>
      <c r="K166" s="8" t="n">
        <f aca="false">INDEX(Mapping!$C$2:$C$99,MATCH(K$1&amp;"|"&amp;Customers!K166,Mapping!$D$2:$D$99,0))</f>
        <v>2</v>
      </c>
      <c r="L166" s="8" t="n">
        <f aca="false">INDEX(Mapping!$C$2:$C$99,MATCH(L$1&amp;"|"&amp;Customers!L166,Mapping!$D$2:$D$99,0))</f>
        <v>2</v>
      </c>
      <c r="M166" s="8" t="n">
        <f aca="false">INDEX(Mapping!$C$2:$C$99,MATCH(M$1&amp;"|"&amp;Customers!M166,Mapping!$D$2:$D$99,0))</f>
        <v>2</v>
      </c>
      <c r="N166" s="8" t="n">
        <f aca="false">INDEX(Mapping!$C$2:$C$99,MATCH(N$1&amp;"|"&amp;Customers!N166,Mapping!$D$2:$D$99,0))</f>
        <v>1</v>
      </c>
      <c r="O166" s="8" t="n">
        <f aca="false">INDEX(Mapping!$C$2:$C$99,MATCH(O$1&amp;"|"&amp;Customers!O166,Mapping!$D$2:$D$99,0))</f>
        <v>4</v>
      </c>
      <c r="P166" s="8" t="n">
        <f aca="false">INDEX(Mapping!$C$2:$C$99,MATCH(P$1&amp;"|"&amp;Customers!P166,Mapping!$D$2:$D$99,0))</f>
        <v>3</v>
      </c>
      <c r="Q166" s="8" t="n">
        <f aca="false">INDEX(Mapping!$C$2:$C$99,MATCH(Q$1&amp;"|"&amp;Customers!Q166,Mapping!$D$2:$D$99,0))</f>
        <v>1</v>
      </c>
      <c r="R166" s="8" t="n">
        <f aca="false">INDEX(Mapping!$C$2:$C$99,MATCH(R$1&amp;"|"&amp;Customers!R166,Mapping!$D$2:$D$99,0))</f>
        <v>1</v>
      </c>
      <c r="S166" s="8" t="n">
        <f aca="false">INDEX(Mapping!$C$2:$C$99,MATCH(S$1&amp;"|"&amp;Customers!S166,Mapping!$D$2:$D$99,0))</f>
        <v>3</v>
      </c>
      <c r="T166" s="8" t="n">
        <f aca="false">INDEX(Mapping!$C$2:$C$99,MATCH(T$1&amp;"|"&amp;Customers!T166,Mapping!$D$2:$D$99,0))</f>
        <v>3</v>
      </c>
      <c r="U166" s="8" t="n">
        <f aca="false">INDEX(Mapping!$C$2:$C$99,MATCH(U$1&amp;"|"&amp;Customers!U166,Mapping!$D$2:$D$99,0))</f>
        <v>1</v>
      </c>
      <c r="V166" s="8" t="n">
        <f aca="false">INDEX(Mapping!$C$2:$C$99,MATCH(V$1&amp;"|"&amp;Customers!V166,Mapping!$D$2:$D$99,0))</f>
        <v>1</v>
      </c>
      <c r="W166" s="17" t="n">
        <f aca="false">SUMPRODUCT($C166:$V166,Weights!$C$27:$V$27)</f>
        <v>1.525</v>
      </c>
      <c r="X166" s="18" t="n">
        <f aca="false">ROUND($W166,2)</f>
        <v>1.53</v>
      </c>
      <c r="Y166" s="8" t="str">
        <f aca="false">IF($X166&lt;=2,"Low",IF($X166&lt;=3.49,"Medium","High"))</f>
        <v>Low</v>
      </c>
      <c r="Z166" s="8" t="str">
        <f aca="false">IF(OR($F166&gt;=3,$E166=5,$D166=5,$C166=5,$G166=5,$H166=5,$I166=5,$J166=5,Customers!$W166="Yes"),"Yes","No")</f>
        <v>No</v>
      </c>
      <c r="AA166" s="15" t="str">
        <f aca="false">IF($Z166="Yes","High",$Y166)</f>
        <v>Low</v>
      </c>
      <c r="AB166" s="18" t="n">
        <f aca="false">SUMPRODUCT($C166:$G166,Weights!$C$28:$G$28)</f>
        <v>1</v>
      </c>
      <c r="AC166" s="18" t="n">
        <f aca="false">SUMPRODUCT($H166:$J166,Weights!$H$28:$J$28)</f>
        <v>1</v>
      </c>
      <c r="AD166" s="18" t="n">
        <f aca="false">SUMPRODUCT($K166:$N166,Weights!$K$28:$N$28)</f>
        <v>1.85</v>
      </c>
      <c r="AE166" s="18" t="n">
        <f aca="false">SUMPRODUCT($O166:$Q166,Weights!$O$28:$Q$28)</f>
        <v>3.05</v>
      </c>
      <c r="AF166" s="18" t="n">
        <f aca="false">SUMPRODUCT($R166:$V166,Weights!$R$28:$V$28)</f>
        <v>2</v>
      </c>
      <c r="AH166" s="18" t="n">
        <f aca="false">SUMPRODUCT($AB166:$AF166,Validation!$D$7:$H$7)</f>
        <v>1.60000000000065</v>
      </c>
      <c r="AI166" s="18" t="n">
        <f aca="false">SUMPRODUCT($AB166:$AF166,Validation!$D$8:$H$8)</f>
        <v>1.44999999999935</v>
      </c>
      <c r="AJ166" s="18" t="n">
        <f aca="false">SUMPRODUCT($AB166:$AF166,Validation!$D$9:$H$9)</f>
        <v>1.5949999999996</v>
      </c>
      <c r="AK166" s="18" t="n">
        <f aca="false">SUMPRODUCT($AB166:$AF166,Validation!$D$10:$H$10)</f>
        <v>1.4550000000004</v>
      </c>
      <c r="AL166" s="18" t="n">
        <f aca="false">SUMPRODUCT($AB166:$AF166,Validation!$D$11:$H$11)</f>
        <v>1.484375</v>
      </c>
      <c r="AM166" s="18" t="n">
        <f aca="false">SUMPRODUCT($AB166:$AF166,Validation!$D$12:$H$12)</f>
        <v>1.565625</v>
      </c>
      <c r="AN166" s="18" t="n">
        <f aca="false">SUMPRODUCT($AB166:$AF166,Validation!$D$13:$H$13)</f>
        <v>1.3555555555557</v>
      </c>
      <c r="AO166" s="18" t="n">
        <f aca="false">SUMPRODUCT($AB166:$AF166,Validation!$D$14:$H$14)</f>
        <v>1.6944444444443</v>
      </c>
      <c r="AP166" s="18" t="n">
        <f aca="false">SUMPRODUCT($AB166:$AF166,Validation!$D$15:$H$15)</f>
        <v>1.46911764705835</v>
      </c>
      <c r="AQ166" s="18" t="n">
        <f aca="false">SUMPRODUCT($AB166:$AF166,Validation!$D$16:$H$16)</f>
        <v>1.58088235294165</v>
      </c>
      <c r="AR166" s="8" t="n">
        <f aca="false">COUNTIF($C166:$V166,"&gt;=4")</f>
        <v>1</v>
      </c>
      <c r="AS166" s="8" t="str">
        <f aca="false">IF($X166&lt;=1.6,"Low",IF($X166&lt;=2.2,"Medium","High"))</f>
        <v>Low</v>
      </c>
      <c r="AT166" s="8" t="str">
        <f aca="false">IF($AR166=0,"Low",IF($AR166&lt;3,"Medium","High"))</f>
        <v>Medium</v>
      </c>
      <c r="AU166" s="8" t="str">
        <f aca="false">IF(OR($AS166="High",$AT166="High"),"High",IF(OR($AS166="Medium",$AT166="Medium"),"Medium","Low"))</f>
        <v>Medium</v>
      </c>
      <c r="AV166" s="15" t="str">
        <f aca="false">IF($Z166="Yes","High",$AU166)</f>
        <v>Medium</v>
      </c>
    </row>
    <row r="167" customFormat="false" ht="15" hidden="false" customHeight="false" outlineLevel="0" collapsed="false">
      <c r="A167" s="7" t="str">
        <f aca="false">Customers!$A167</f>
        <v>NG-10384</v>
      </c>
      <c r="B167" s="7" t="str">
        <f aca="false">Customers!$B167</f>
        <v>Limited company</v>
      </c>
      <c r="C167" s="8" t="n">
        <f aca="false">INDEX(Mapping!$C$2:$C$99,MATCH(C$1&amp;"|"&amp;Customers!C167,Mapping!$D$2:$D$99,0))</f>
        <v>3</v>
      </c>
      <c r="D167" s="8" t="n">
        <f aca="false">INDEX(Mapping!$C$2:$C$99,MATCH(D$1&amp;"|"&amp;Customers!D167,Mapping!$D$2:$D$99,0))</f>
        <v>2</v>
      </c>
      <c r="E167" s="8" t="n">
        <f aca="false">INDEX(Mapping!$C$2:$C$99,MATCH(E$1&amp;"|"&amp;Customers!E167,Mapping!$D$2:$D$99,0))</f>
        <v>3</v>
      </c>
      <c r="F167" s="8" t="n">
        <f aca="false">INDEX(Mapping!$C$2:$C$99,MATCH(F$1&amp;"|"&amp;Customers!F167,Mapping!$D$2:$D$99,0))</f>
        <v>1</v>
      </c>
      <c r="G167" s="8" t="n">
        <f aca="false">INDEX(Mapping!$C$2:$C$99,MATCH(G$1&amp;"|"&amp;Customers!G167,Mapping!$D$2:$D$99,0))</f>
        <v>1</v>
      </c>
      <c r="H167" s="8" t="n">
        <f aca="false">INDEX(Mapping!$C$2:$C$99,MATCH(H$1&amp;"|"&amp;Customers!H167,Mapping!$D$2:$D$99,0))</f>
        <v>1</v>
      </c>
      <c r="I167" s="8" t="n">
        <f aca="false">INDEX(Mapping!$C$2:$C$99,MATCH(I$1&amp;"|"&amp;Customers!I167,Mapping!$D$2:$D$99,0))</f>
        <v>1</v>
      </c>
      <c r="J167" s="8" t="n">
        <f aca="false">INDEX(Mapping!$C$2:$C$99,MATCH(J$1&amp;"|"&amp;Customers!J167,Mapping!$D$2:$D$99,0))</f>
        <v>2</v>
      </c>
      <c r="K167" s="8" t="n">
        <f aca="false">INDEX(Mapping!$C$2:$C$99,MATCH(K$1&amp;"|"&amp;Customers!K167,Mapping!$D$2:$D$99,0))</f>
        <v>5</v>
      </c>
      <c r="L167" s="8" t="n">
        <f aca="false">INDEX(Mapping!$C$2:$C$99,MATCH(L$1&amp;"|"&amp;Customers!L167,Mapping!$D$2:$D$99,0))</f>
        <v>2</v>
      </c>
      <c r="M167" s="8" t="n">
        <f aca="false">INDEX(Mapping!$C$2:$C$99,MATCH(M$1&amp;"|"&amp;Customers!M167,Mapping!$D$2:$D$99,0))</f>
        <v>3</v>
      </c>
      <c r="N167" s="8" t="n">
        <f aca="false">INDEX(Mapping!$C$2:$C$99,MATCH(N$1&amp;"|"&amp;Customers!N167,Mapping!$D$2:$D$99,0))</f>
        <v>4</v>
      </c>
      <c r="O167" s="8" t="n">
        <f aca="false">INDEX(Mapping!$C$2:$C$99,MATCH(O$1&amp;"|"&amp;Customers!O167,Mapping!$D$2:$D$99,0))</f>
        <v>3</v>
      </c>
      <c r="P167" s="8" t="n">
        <f aca="false">INDEX(Mapping!$C$2:$C$99,MATCH(P$1&amp;"|"&amp;Customers!P167,Mapping!$D$2:$D$99,0))</f>
        <v>1</v>
      </c>
      <c r="Q167" s="8" t="n">
        <f aca="false">INDEX(Mapping!$C$2:$C$99,MATCH(Q$1&amp;"|"&amp;Customers!Q167,Mapping!$D$2:$D$99,0))</f>
        <v>4</v>
      </c>
      <c r="R167" s="8" t="n">
        <f aca="false">INDEX(Mapping!$C$2:$C$99,MATCH(R$1&amp;"|"&amp;Customers!R167,Mapping!$D$2:$D$99,0))</f>
        <v>2</v>
      </c>
      <c r="S167" s="8" t="n">
        <f aca="false">INDEX(Mapping!$C$2:$C$99,MATCH(S$1&amp;"|"&amp;Customers!S167,Mapping!$D$2:$D$99,0))</f>
        <v>3</v>
      </c>
      <c r="T167" s="8" t="n">
        <f aca="false">INDEX(Mapping!$C$2:$C$99,MATCH(T$1&amp;"|"&amp;Customers!T167,Mapping!$D$2:$D$99,0))</f>
        <v>1</v>
      </c>
      <c r="U167" s="8" t="n">
        <f aca="false">INDEX(Mapping!$C$2:$C$99,MATCH(U$1&amp;"|"&amp;Customers!U167,Mapping!$D$2:$D$99,0))</f>
        <v>4</v>
      </c>
      <c r="V167" s="8" t="n">
        <f aca="false">INDEX(Mapping!$C$2:$C$99,MATCH(V$1&amp;"|"&amp;Customers!V167,Mapping!$D$2:$D$99,0))</f>
        <v>2</v>
      </c>
      <c r="W167" s="17" t="n">
        <f aca="false">SUMPRODUCT($C167:$V167,Weights!$C$27:$V$27)</f>
        <v>2.31</v>
      </c>
      <c r="X167" s="18" t="n">
        <f aca="false">ROUND($W167,2)</f>
        <v>2.31</v>
      </c>
      <c r="Y167" s="8" t="str">
        <f aca="false">IF($X167&lt;=2,"Low",IF($X167&lt;=3.49,"Medium","High"))</f>
        <v>Medium</v>
      </c>
      <c r="Z167" s="8" t="str">
        <f aca="false">IF(OR($F167&gt;=3,$E167=5,$D167=5,$C167=5,$G167=5,$H167=5,$I167=5,$J167=5,Customers!$W167="Yes"),"Yes","No")</f>
        <v>No</v>
      </c>
      <c r="AA167" s="15" t="str">
        <f aca="false">IF($Z167="Yes","High",$Y167)</f>
        <v>Medium</v>
      </c>
      <c r="AB167" s="18" t="n">
        <f aca="false">SUMPRODUCT($C167:$G167,Weights!$C$28:$G$28)</f>
        <v>2.1</v>
      </c>
      <c r="AC167" s="18" t="n">
        <f aca="false">SUMPRODUCT($H167:$J167,Weights!$H$28:$J$28)</f>
        <v>1.4</v>
      </c>
      <c r="AD167" s="18" t="n">
        <f aca="false">SUMPRODUCT($K167:$N167,Weights!$K$28:$N$28)</f>
        <v>3.6</v>
      </c>
      <c r="AE167" s="18" t="n">
        <f aca="false">SUMPRODUCT($O167:$Q167,Weights!$O$28:$Q$28)</f>
        <v>2.5</v>
      </c>
      <c r="AF167" s="18" t="n">
        <f aca="false">SUMPRODUCT($R167:$V167,Weights!$R$28:$V$28)</f>
        <v>2.4</v>
      </c>
      <c r="AH167" s="18" t="n">
        <f aca="false">SUMPRODUCT($AB167:$AF167,Validation!$D$7:$H$7)</f>
        <v>2.3399999999998</v>
      </c>
      <c r="AI167" s="18" t="n">
        <f aca="false">SUMPRODUCT($AB167:$AF167,Validation!$D$8:$H$8)</f>
        <v>2.2800000000002</v>
      </c>
      <c r="AJ167" s="18" t="n">
        <f aca="false">SUMPRODUCT($AB167:$AF167,Validation!$D$9:$H$9)</f>
        <v>2.4313333333337</v>
      </c>
      <c r="AK167" s="18" t="n">
        <f aca="false">SUMPRODUCT($AB167:$AF167,Validation!$D$10:$H$10)</f>
        <v>2.1886666666663</v>
      </c>
      <c r="AL167" s="18" t="n">
        <f aca="false">SUMPRODUCT($AB167:$AF167,Validation!$D$11:$H$11)</f>
        <v>2.14875</v>
      </c>
      <c r="AM167" s="18" t="n">
        <f aca="false">SUMPRODUCT($AB167:$AF167,Validation!$D$12:$H$12)</f>
        <v>2.47125</v>
      </c>
      <c r="AN167" s="18" t="n">
        <f aca="false">SUMPRODUCT($AB167:$AF167,Validation!$D$13:$H$13)</f>
        <v>2.2888888888885</v>
      </c>
      <c r="AO167" s="18" t="n">
        <f aca="false">SUMPRODUCT($AB167:$AF167,Validation!$D$14:$H$14)</f>
        <v>2.3311111111115</v>
      </c>
      <c r="AP167" s="18" t="n">
        <f aca="false">SUMPRODUCT($AB167:$AF167,Validation!$D$15:$H$15)</f>
        <v>2.2994117647061</v>
      </c>
      <c r="AQ167" s="18" t="n">
        <f aca="false">SUMPRODUCT($AB167:$AF167,Validation!$D$16:$H$16)</f>
        <v>2.3205882352939</v>
      </c>
      <c r="AR167" s="8" t="n">
        <f aca="false">COUNTIF($C167:$V167,"&gt;=4")</f>
        <v>4</v>
      </c>
      <c r="AS167" s="8" t="str">
        <f aca="false">IF($X167&lt;=1.6,"Low",IF($X167&lt;=2.2,"Medium","High"))</f>
        <v>High</v>
      </c>
      <c r="AT167" s="8" t="str">
        <f aca="false">IF($AR167=0,"Low",IF($AR167&lt;3,"Medium","High"))</f>
        <v>High</v>
      </c>
      <c r="AU167" s="8" t="str">
        <f aca="false">IF(OR($AS167="High",$AT167="High"),"High",IF(OR($AS167="Medium",$AT167="Medium"),"Medium","Low"))</f>
        <v>High</v>
      </c>
      <c r="AV167" s="15" t="str">
        <f aca="false">IF($Z167="Yes","High",$AU167)</f>
        <v>High</v>
      </c>
    </row>
    <row r="168" customFormat="false" ht="15" hidden="false" customHeight="false" outlineLevel="0" collapsed="false">
      <c r="A168" s="7" t="str">
        <f aca="false">Customers!$A168</f>
        <v>NG-10089</v>
      </c>
      <c r="B168" s="7" t="str">
        <f aca="false">Customers!$B168</f>
        <v>Personal</v>
      </c>
      <c r="C168" s="8" t="n">
        <f aca="false">INDEX(Mapping!$C$2:$C$99,MATCH(C$1&amp;"|"&amp;Customers!C168,Mapping!$D$2:$D$99,0))</f>
        <v>1</v>
      </c>
      <c r="D168" s="8" t="n">
        <f aca="false">INDEX(Mapping!$C$2:$C$99,MATCH(D$1&amp;"|"&amp;Customers!D168,Mapping!$D$2:$D$99,0))</f>
        <v>1</v>
      </c>
      <c r="E168" s="8" t="n">
        <f aca="false">INDEX(Mapping!$C$2:$C$99,MATCH(E$1&amp;"|"&amp;Customers!E168,Mapping!$D$2:$D$99,0))</f>
        <v>1</v>
      </c>
      <c r="F168" s="8" t="n">
        <f aca="false">INDEX(Mapping!$C$2:$C$99,MATCH(F$1&amp;"|"&amp;Customers!F168,Mapping!$D$2:$D$99,0))</f>
        <v>1</v>
      </c>
      <c r="G168" s="8" t="n">
        <f aca="false">INDEX(Mapping!$C$2:$C$99,MATCH(G$1&amp;"|"&amp;Customers!G168,Mapping!$D$2:$D$99,0))</f>
        <v>1</v>
      </c>
      <c r="H168" s="8" t="n">
        <f aca="false">INDEX(Mapping!$C$2:$C$99,MATCH(H$1&amp;"|"&amp;Customers!H168,Mapping!$D$2:$D$99,0))</f>
        <v>1</v>
      </c>
      <c r="I168" s="8" t="n">
        <f aca="false">INDEX(Mapping!$C$2:$C$99,MATCH(I$1&amp;"|"&amp;Customers!I168,Mapping!$D$2:$D$99,0))</f>
        <v>1</v>
      </c>
      <c r="J168" s="8" t="n">
        <f aca="false">INDEX(Mapping!$C$2:$C$99,MATCH(J$1&amp;"|"&amp;Customers!J168,Mapping!$D$2:$D$99,0))</f>
        <v>1</v>
      </c>
      <c r="K168" s="8" t="n">
        <f aca="false">INDEX(Mapping!$C$2:$C$99,MATCH(K$1&amp;"|"&amp;Customers!K168,Mapping!$D$2:$D$99,0))</f>
        <v>3</v>
      </c>
      <c r="L168" s="8" t="n">
        <f aca="false">INDEX(Mapping!$C$2:$C$99,MATCH(L$1&amp;"|"&amp;Customers!L168,Mapping!$D$2:$D$99,0))</f>
        <v>1</v>
      </c>
      <c r="M168" s="8" t="n">
        <f aca="false">INDEX(Mapping!$C$2:$C$99,MATCH(M$1&amp;"|"&amp;Customers!M168,Mapping!$D$2:$D$99,0))</f>
        <v>2</v>
      </c>
      <c r="N168" s="8" t="n">
        <f aca="false">INDEX(Mapping!$C$2:$C$99,MATCH(N$1&amp;"|"&amp;Customers!N168,Mapping!$D$2:$D$99,0))</f>
        <v>1</v>
      </c>
      <c r="O168" s="8" t="n">
        <f aca="false">INDEX(Mapping!$C$2:$C$99,MATCH(O$1&amp;"|"&amp;Customers!O168,Mapping!$D$2:$D$99,0))</f>
        <v>3</v>
      </c>
      <c r="P168" s="8" t="n">
        <f aca="false">INDEX(Mapping!$C$2:$C$99,MATCH(P$1&amp;"|"&amp;Customers!P168,Mapping!$D$2:$D$99,0))</f>
        <v>3</v>
      </c>
      <c r="Q168" s="8" t="n">
        <f aca="false">INDEX(Mapping!$C$2:$C$99,MATCH(Q$1&amp;"|"&amp;Customers!Q168,Mapping!$D$2:$D$99,0))</f>
        <v>1</v>
      </c>
      <c r="R168" s="8" t="n">
        <f aca="false">INDEX(Mapping!$C$2:$C$99,MATCH(R$1&amp;"|"&amp;Customers!R168,Mapping!$D$2:$D$99,0))</f>
        <v>1</v>
      </c>
      <c r="S168" s="8" t="n">
        <f aca="false">INDEX(Mapping!$C$2:$C$99,MATCH(S$1&amp;"|"&amp;Customers!S168,Mapping!$D$2:$D$99,0))</f>
        <v>3</v>
      </c>
      <c r="T168" s="8" t="n">
        <f aca="false">INDEX(Mapping!$C$2:$C$99,MATCH(T$1&amp;"|"&amp;Customers!T168,Mapping!$D$2:$D$99,0))</f>
        <v>2</v>
      </c>
      <c r="U168" s="8" t="n">
        <f aca="false">INDEX(Mapping!$C$2:$C$99,MATCH(U$1&amp;"|"&amp;Customers!U168,Mapping!$D$2:$D$99,0))</f>
        <v>1</v>
      </c>
      <c r="V168" s="8" t="n">
        <f aca="false">INDEX(Mapping!$C$2:$C$99,MATCH(V$1&amp;"|"&amp;Customers!V168,Mapping!$D$2:$D$99,0))</f>
        <v>1</v>
      </c>
      <c r="W168" s="17" t="n">
        <f aca="false">SUMPRODUCT($C168:$V168,Weights!$C$27:$V$27)</f>
        <v>1.47</v>
      </c>
      <c r="X168" s="18" t="n">
        <f aca="false">ROUND($W168,2)</f>
        <v>1.47</v>
      </c>
      <c r="Y168" s="8" t="str">
        <f aca="false">IF($X168&lt;=2,"Low",IF($X168&lt;=3.49,"Medium","High"))</f>
        <v>Low</v>
      </c>
      <c r="Z168" s="8" t="str">
        <f aca="false">IF(OR($F168&gt;=3,$E168=5,$D168=5,$C168=5,$G168=5,$H168=5,$I168=5,$J168=5,Customers!$W168="Yes"),"Yes","No")</f>
        <v>No</v>
      </c>
      <c r="AA168" s="15" t="str">
        <f aca="false">IF($Z168="Yes","High",$Y168)</f>
        <v>Low</v>
      </c>
      <c r="AB168" s="18" t="n">
        <f aca="false">SUMPRODUCT($C168:$G168,Weights!$C$28:$G$28)</f>
        <v>1</v>
      </c>
      <c r="AC168" s="18" t="n">
        <f aca="false">SUMPRODUCT($H168:$J168,Weights!$H$28:$J$28)</f>
        <v>1</v>
      </c>
      <c r="AD168" s="18" t="n">
        <f aca="false">SUMPRODUCT($K168:$N168,Weights!$K$28:$N$28)</f>
        <v>1.95</v>
      </c>
      <c r="AE168" s="18" t="n">
        <f aca="false">SUMPRODUCT($O168:$Q168,Weights!$O$28:$Q$28)</f>
        <v>2.6</v>
      </c>
      <c r="AF168" s="18" t="n">
        <f aca="false">SUMPRODUCT($R168:$V168,Weights!$R$28:$V$28)</f>
        <v>1.8</v>
      </c>
      <c r="AH168" s="18" t="n">
        <f aca="false">SUMPRODUCT($AB168:$AF168,Validation!$D$7:$H$7)</f>
        <v>1.53714285714325</v>
      </c>
      <c r="AI168" s="18" t="n">
        <f aca="false">SUMPRODUCT($AB168:$AF168,Validation!$D$8:$H$8)</f>
        <v>1.40285714285675</v>
      </c>
      <c r="AJ168" s="18" t="n">
        <f aca="false">SUMPRODUCT($AB168:$AF168,Validation!$D$9:$H$9)</f>
        <v>1.53266666666645</v>
      </c>
      <c r="AK168" s="18" t="n">
        <f aca="false">SUMPRODUCT($AB168:$AF168,Validation!$D$10:$H$10)</f>
        <v>1.40733333333355</v>
      </c>
      <c r="AL168" s="18" t="n">
        <f aca="false">SUMPRODUCT($AB168:$AF168,Validation!$D$11:$H$11)</f>
        <v>1.41</v>
      </c>
      <c r="AM168" s="18" t="n">
        <f aca="false">SUMPRODUCT($AB168:$AF168,Validation!$D$12:$H$12)</f>
        <v>1.53</v>
      </c>
      <c r="AN168" s="18" t="n">
        <f aca="false">SUMPRODUCT($AB168:$AF168,Validation!$D$13:$H$13)</f>
        <v>1.3444444444445</v>
      </c>
      <c r="AO168" s="18" t="n">
        <f aca="false">SUMPRODUCT($AB168:$AF168,Validation!$D$14:$H$14)</f>
        <v>1.5955555555555</v>
      </c>
      <c r="AP168" s="18" t="n">
        <f aca="false">SUMPRODUCT($AB168:$AF168,Validation!$D$15:$H$15)</f>
        <v>1.43117647058795</v>
      </c>
      <c r="AQ168" s="18" t="n">
        <f aca="false">SUMPRODUCT($AB168:$AF168,Validation!$D$16:$H$16)</f>
        <v>1.50882352941205</v>
      </c>
      <c r="AR168" s="8" t="n">
        <f aca="false">COUNTIF($C168:$V168,"&gt;=4")</f>
        <v>0</v>
      </c>
      <c r="AS168" s="8" t="str">
        <f aca="false">IF($X168&lt;=1.6,"Low",IF($X168&lt;=2.2,"Medium","High"))</f>
        <v>Low</v>
      </c>
      <c r="AT168" s="8" t="str">
        <f aca="false">IF($AR168=0,"Low",IF($AR168&lt;3,"Medium","High"))</f>
        <v>Low</v>
      </c>
      <c r="AU168" s="8" t="str">
        <f aca="false">IF(OR($AS168="High",$AT168="High"),"High",IF(OR($AS168="Medium",$AT168="Medium"),"Medium","Low"))</f>
        <v>Low</v>
      </c>
      <c r="AV168" s="15" t="str">
        <f aca="false">IF($Z168="Yes","High",$AU168)</f>
        <v>Low</v>
      </c>
    </row>
    <row r="169" customFormat="false" ht="15" hidden="false" customHeight="false" outlineLevel="0" collapsed="false">
      <c r="A169" s="7" t="str">
        <f aca="false">Customers!$A169</f>
        <v>NG-10141</v>
      </c>
      <c r="B169" s="7" t="str">
        <f aca="false">Customers!$B169</f>
        <v>Personal</v>
      </c>
      <c r="C169" s="8" t="n">
        <f aca="false">INDEX(Mapping!$C$2:$C$99,MATCH(C$1&amp;"|"&amp;Customers!C169,Mapping!$D$2:$D$99,0))</f>
        <v>1</v>
      </c>
      <c r="D169" s="8" t="n">
        <f aca="false">INDEX(Mapping!$C$2:$C$99,MATCH(D$1&amp;"|"&amp;Customers!D169,Mapping!$D$2:$D$99,0))</f>
        <v>1</v>
      </c>
      <c r="E169" s="8" t="n">
        <f aca="false">INDEX(Mapping!$C$2:$C$99,MATCH(E$1&amp;"|"&amp;Customers!E169,Mapping!$D$2:$D$99,0))</f>
        <v>1</v>
      </c>
      <c r="F169" s="8" t="n">
        <f aca="false">INDEX(Mapping!$C$2:$C$99,MATCH(F$1&amp;"|"&amp;Customers!F169,Mapping!$D$2:$D$99,0))</f>
        <v>1</v>
      </c>
      <c r="G169" s="8" t="n">
        <f aca="false">INDEX(Mapping!$C$2:$C$99,MATCH(G$1&amp;"|"&amp;Customers!G169,Mapping!$D$2:$D$99,0))</f>
        <v>1</v>
      </c>
      <c r="H169" s="8" t="n">
        <f aca="false">INDEX(Mapping!$C$2:$C$99,MATCH(H$1&amp;"|"&amp;Customers!H169,Mapping!$D$2:$D$99,0))</f>
        <v>1</v>
      </c>
      <c r="I169" s="8" t="n">
        <f aca="false">INDEX(Mapping!$C$2:$C$99,MATCH(I$1&amp;"|"&amp;Customers!I169,Mapping!$D$2:$D$99,0))</f>
        <v>1</v>
      </c>
      <c r="J169" s="8" t="n">
        <f aca="false">INDEX(Mapping!$C$2:$C$99,MATCH(J$1&amp;"|"&amp;Customers!J169,Mapping!$D$2:$D$99,0))</f>
        <v>1</v>
      </c>
      <c r="K169" s="8" t="n">
        <f aca="false">INDEX(Mapping!$C$2:$C$99,MATCH(K$1&amp;"|"&amp;Customers!K169,Mapping!$D$2:$D$99,0))</f>
        <v>3</v>
      </c>
      <c r="L169" s="8" t="n">
        <f aca="false">INDEX(Mapping!$C$2:$C$99,MATCH(L$1&amp;"|"&amp;Customers!L169,Mapping!$D$2:$D$99,0))</f>
        <v>3</v>
      </c>
      <c r="M169" s="8" t="n">
        <f aca="false">INDEX(Mapping!$C$2:$C$99,MATCH(M$1&amp;"|"&amp;Customers!M169,Mapping!$D$2:$D$99,0))</f>
        <v>3</v>
      </c>
      <c r="N169" s="8" t="n">
        <f aca="false">INDEX(Mapping!$C$2:$C$99,MATCH(N$1&amp;"|"&amp;Customers!N169,Mapping!$D$2:$D$99,0))</f>
        <v>1</v>
      </c>
      <c r="O169" s="8" t="n">
        <f aca="false">INDEX(Mapping!$C$2:$C$99,MATCH(O$1&amp;"|"&amp;Customers!O169,Mapping!$D$2:$D$99,0))</f>
        <v>3</v>
      </c>
      <c r="P169" s="8" t="n">
        <f aca="false">INDEX(Mapping!$C$2:$C$99,MATCH(P$1&amp;"|"&amp;Customers!P169,Mapping!$D$2:$D$99,0))</f>
        <v>4</v>
      </c>
      <c r="Q169" s="8" t="n">
        <f aca="false">INDEX(Mapping!$C$2:$C$99,MATCH(Q$1&amp;"|"&amp;Customers!Q169,Mapping!$D$2:$D$99,0))</f>
        <v>1</v>
      </c>
      <c r="R169" s="8" t="n">
        <f aca="false">INDEX(Mapping!$C$2:$C$99,MATCH(R$1&amp;"|"&amp;Customers!R169,Mapping!$D$2:$D$99,0))</f>
        <v>1</v>
      </c>
      <c r="S169" s="8" t="n">
        <f aca="false">INDEX(Mapping!$C$2:$C$99,MATCH(S$1&amp;"|"&amp;Customers!S169,Mapping!$D$2:$D$99,0))</f>
        <v>1</v>
      </c>
      <c r="T169" s="8" t="n">
        <f aca="false">INDEX(Mapping!$C$2:$C$99,MATCH(T$1&amp;"|"&amp;Customers!T169,Mapping!$D$2:$D$99,0))</f>
        <v>1</v>
      </c>
      <c r="U169" s="8" t="n">
        <f aca="false">INDEX(Mapping!$C$2:$C$99,MATCH(U$1&amp;"|"&amp;Customers!U169,Mapping!$D$2:$D$99,0))</f>
        <v>1</v>
      </c>
      <c r="V169" s="8" t="n">
        <f aca="false">INDEX(Mapping!$C$2:$C$99,MATCH(V$1&amp;"|"&amp;Customers!V169,Mapping!$D$2:$D$99,0))</f>
        <v>1</v>
      </c>
      <c r="W169" s="17" t="n">
        <f aca="false">SUMPRODUCT($C169:$V169,Weights!$C$27:$V$27)</f>
        <v>1.535</v>
      </c>
      <c r="X169" s="18" t="n">
        <f aca="false">ROUND($W169,2)</f>
        <v>1.54</v>
      </c>
      <c r="Y169" s="8" t="str">
        <f aca="false">IF($X169&lt;=2,"Low",IF($X169&lt;=3.49,"Medium","High"))</f>
        <v>Low</v>
      </c>
      <c r="Z169" s="8" t="str">
        <f aca="false">IF(OR($F169&gt;=3,$E169=5,$D169=5,$C169=5,$G169=5,$H169=5,$I169=5,$J169=5,Customers!$W169="Yes"),"Yes","No")</f>
        <v>No</v>
      </c>
      <c r="AA169" s="15" t="str">
        <f aca="false">IF($Z169="Yes","High",$Y169)</f>
        <v>Low</v>
      </c>
      <c r="AB169" s="18" t="n">
        <f aca="false">SUMPRODUCT($C169:$G169,Weights!$C$28:$G$28)</f>
        <v>1</v>
      </c>
      <c r="AC169" s="18" t="n">
        <f aca="false">SUMPRODUCT($H169:$J169,Weights!$H$28:$J$28)</f>
        <v>1</v>
      </c>
      <c r="AD169" s="18" t="n">
        <f aca="false">SUMPRODUCT($K169:$N169,Weights!$K$28:$N$28)</f>
        <v>2.7</v>
      </c>
      <c r="AE169" s="18" t="n">
        <f aca="false">SUMPRODUCT($O169:$Q169,Weights!$O$28:$Q$28)</f>
        <v>2.95</v>
      </c>
      <c r="AF169" s="18" t="n">
        <f aca="false">SUMPRODUCT($R169:$V169,Weights!$R$28:$V$28)</f>
        <v>1</v>
      </c>
      <c r="AH169" s="18" t="n">
        <f aca="false">SUMPRODUCT($AB169:$AF169,Validation!$D$7:$H$7)</f>
        <v>1.6114285714284</v>
      </c>
      <c r="AI169" s="18" t="n">
        <f aca="false">SUMPRODUCT($AB169:$AF169,Validation!$D$8:$H$8)</f>
        <v>1.4585714285716</v>
      </c>
      <c r="AJ169" s="18" t="n">
        <f aca="false">SUMPRODUCT($AB169:$AF169,Validation!$D$9:$H$9)</f>
        <v>1.60633333333325</v>
      </c>
      <c r="AK169" s="18" t="n">
        <f aca="false">SUMPRODUCT($AB169:$AF169,Validation!$D$10:$H$10)</f>
        <v>1.46366666666675</v>
      </c>
      <c r="AL169" s="18" t="n">
        <f aca="false">SUMPRODUCT($AB169:$AF169,Validation!$D$11:$H$11)</f>
        <v>1.389375</v>
      </c>
      <c r="AM169" s="18" t="n">
        <f aca="false">SUMPRODUCT($AB169:$AF169,Validation!$D$12:$H$12)</f>
        <v>1.680625</v>
      </c>
      <c r="AN169" s="18" t="n">
        <f aca="false">SUMPRODUCT($AB169:$AF169,Validation!$D$13:$H$13)</f>
        <v>1.3777777777774</v>
      </c>
      <c r="AO169" s="18" t="n">
        <f aca="false">SUMPRODUCT($AB169:$AF169,Validation!$D$14:$H$14)</f>
        <v>1.6922222222226</v>
      </c>
      <c r="AP169" s="18" t="n">
        <f aca="false">SUMPRODUCT($AB169:$AF169,Validation!$D$15:$H$15)</f>
        <v>1.5979411764704</v>
      </c>
      <c r="AQ169" s="18" t="n">
        <f aca="false">SUMPRODUCT($AB169:$AF169,Validation!$D$16:$H$16)</f>
        <v>1.4720588235296</v>
      </c>
      <c r="AR169" s="8" t="n">
        <f aca="false">COUNTIF($C169:$V169,"&gt;=4")</f>
        <v>1</v>
      </c>
      <c r="AS169" s="8" t="str">
        <f aca="false">IF($X169&lt;=1.6,"Low",IF($X169&lt;=2.2,"Medium","High"))</f>
        <v>Low</v>
      </c>
      <c r="AT169" s="8" t="str">
        <f aca="false">IF($AR169=0,"Low",IF($AR169&lt;3,"Medium","High"))</f>
        <v>Medium</v>
      </c>
      <c r="AU169" s="8" t="str">
        <f aca="false">IF(OR($AS169="High",$AT169="High"),"High",IF(OR($AS169="Medium",$AT169="Medium"),"Medium","Low"))</f>
        <v>Medium</v>
      </c>
      <c r="AV169" s="15" t="str">
        <f aca="false">IF($Z169="Yes","High",$AU169)</f>
        <v>Medium</v>
      </c>
    </row>
    <row r="170" customFormat="false" ht="15" hidden="false" customHeight="false" outlineLevel="0" collapsed="false">
      <c r="A170" s="7" t="str">
        <f aca="false">Customers!$A170</f>
        <v>NG-10337</v>
      </c>
      <c r="B170" s="7" t="str">
        <f aca="false">Customers!$B170</f>
        <v>Sole trader</v>
      </c>
      <c r="C170" s="8" t="n">
        <f aca="false">INDEX(Mapping!$C$2:$C$99,MATCH(C$1&amp;"|"&amp;Customers!C170,Mapping!$D$2:$D$99,0))</f>
        <v>2</v>
      </c>
      <c r="D170" s="8" t="n">
        <f aca="false">INDEX(Mapping!$C$2:$C$99,MATCH(D$1&amp;"|"&amp;Customers!D170,Mapping!$D$2:$D$99,0))</f>
        <v>1</v>
      </c>
      <c r="E170" s="8" t="n">
        <f aca="false">INDEX(Mapping!$C$2:$C$99,MATCH(E$1&amp;"|"&amp;Customers!E170,Mapping!$D$2:$D$99,0))</f>
        <v>5</v>
      </c>
      <c r="F170" s="8" t="n">
        <f aca="false">INDEX(Mapping!$C$2:$C$99,MATCH(F$1&amp;"|"&amp;Customers!F170,Mapping!$D$2:$D$99,0))</f>
        <v>1</v>
      </c>
      <c r="G170" s="8" t="n">
        <f aca="false">INDEX(Mapping!$C$2:$C$99,MATCH(G$1&amp;"|"&amp;Customers!G170,Mapping!$D$2:$D$99,0))</f>
        <v>1</v>
      </c>
      <c r="H170" s="8" t="n">
        <f aca="false">INDEX(Mapping!$C$2:$C$99,MATCH(H$1&amp;"|"&amp;Customers!H170,Mapping!$D$2:$D$99,0))</f>
        <v>1</v>
      </c>
      <c r="I170" s="8" t="n">
        <f aca="false">INDEX(Mapping!$C$2:$C$99,MATCH(I$1&amp;"|"&amp;Customers!I170,Mapping!$D$2:$D$99,0))</f>
        <v>1</v>
      </c>
      <c r="J170" s="8" t="n">
        <f aca="false">INDEX(Mapping!$C$2:$C$99,MATCH(J$1&amp;"|"&amp;Customers!J170,Mapping!$D$2:$D$99,0))</f>
        <v>2</v>
      </c>
      <c r="K170" s="8" t="n">
        <f aca="false">INDEX(Mapping!$C$2:$C$99,MATCH(K$1&amp;"|"&amp;Customers!K170,Mapping!$D$2:$D$99,0))</f>
        <v>5</v>
      </c>
      <c r="L170" s="8" t="n">
        <f aca="false">INDEX(Mapping!$C$2:$C$99,MATCH(L$1&amp;"|"&amp;Customers!L170,Mapping!$D$2:$D$99,0))</f>
        <v>4</v>
      </c>
      <c r="M170" s="8" t="n">
        <f aca="false">INDEX(Mapping!$C$2:$C$99,MATCH(M$1&amp;"|"&amp;Customers!M170,Mapping!$D$2:$D$99,0))</f>
        <v>3</v>
      </c>
      <c r="N170" s="8" t="n">
        <f aca="false">INDEX(Mapping!$C$2:$C$99,MATCH(N$1&amp;"|"&amp;Customers!N170,Mapping!$D$2:$D$99,0))</f>
        <v>1</v>
      </c>
      <c r="O170" s="8" t="n">
        <f aca="false">INDEX(Mapping!$C$2:$C$99,MATCH(O$1&amp;"|"&amp;Customers!O170,Mapping!$D$2:$D$99,0))</f>
        <v>4</v>
      </c>
      <c r="P170" s="8" t="n">
        <f aca="false">INDEX(Mapping!$C$2:$C$99,MATCH(P$1&amp;"|"&amp;Customers!P170,Mapping!$D$2:$D$99,0))</f>
        <v>3</v>
      </c>
      <c r="Q170" s="8" t="n">
        <f aca="false">INDEX(Mapping!$C$2:$C$99,MATCH(Q$1&amp;"|"&amp;Customers!Q170,Mapping!$D$2:$D$99,0))</f>
        <v>1</v>
      </c>
      <c r="R170" s="8" t="n">
        <f aca="false">INDEX(Mapping!$C$2:$C$99,MATCH(R$1&amp;"|"&amp;Customers!R170,Mapping!$D$2:$D$99,0))</f>
        <v>2</v>
      </c>
      <c r="S170" s="8" t="n">
        <f aca="false">INDEX(Mapping!$C$2:$C$99,MATCH(S$1&amp;"|"&amp;Customers!S170,Mapping!$D$2:$D$99,0))</f>
        <v>4</v>
      </c>
      <c r="T170" s="8" t="n">
        <f aca="false">INDEX(Mapping!$C$2:$C$99,MATCH(T$1&amp;"|"&amp;Customers!T170,Mapping!$D$2:$D$99,0))</f>
        <v>3</v>
      </c>
      <c r="U170" s="8" t="n">
        <f aca="false">INDEX(Mapping!$C$2:$C$99,MATCH(U$1&amp;"|"&amp;Customers!U170,Mapping!$D$2:$D$99,0))</f>
        <v>2</v>
      </c>
      <c r="V170" s="8" t="n">
        <f aca="false">INDEX(Mapping!$C$2:$C$99,MATCH(V$1&amp;"|"&amp;Customers!V170,Mapping!$D$2:$D$99,0))</f>
        <v>2</v>
      </c>
      <c r="W170" s="17" t="n">
        <f aca="false">SUMPRODUCT($C170:$V170,Weights!$C$27:$V$27)</f>
        <v>2.465</v>
      </c>
      <c r="X170" s="18" t="n">
        <f aca="false">ROUND($W170,2)</f>
        <v>2.47</v>
      </c>
      <c r="Y170" s="8" t="str">
        <f aca="false">IF($X170&lt;=2,"Low",IF($X170&lt;=3.49,"Medium","High"))</f>
        <v>Medium</v>
      </c>
      <c r="Z170" s="8" t="str">
        <f aca="false">IF(OR($F170&gt;=3,$E170=5,$D170=5,$C170=5,$G170=5,$H170=5,$I170=5,$J170=5,Customers!$W170="Yes"),"Yes","No")</f>
        <v>Yes</v>
      </c>
      <c r="AA170" s="15" t="str">
        <f aca="false">IF($Z170="Yes","High",$Y170)</f>
        <v>High</v>
      </c>
      <c r="AB170" s="18" t="n">
        <f aca="false">SUMPRODUCT($C170:$G170,Weights!$C$28:$G$28)</f>
        <v>2.2</v>
      </c>
      <c r="AC170" s="18" t="n">
        <f aca="false">SUMPRODUCT($H170:$J170,Weights!$H$28:$J$28)</f>
        <v>1.4</v>
      </c>
      <c r="AD170" s="18" t="n">
        <f aca="false">SUMPRODUCT($K170:$N170,Weights!$K$28:$N$28)</f>
        <v>3.65</v>
      </c>
      <c r="AE170" s="18" t="n">
        <f aca="false">SUMPRODUCT($O170:$Q170,Weights!$O$28:$Q$28)</f>
        <v>3.05</v>
      </c>
      <c r="AF170" s="18" t="n">
        <f aca="false">SUMPRODUCT($R170:$V170,Weights!$R$28:$V$28)</f>
        <v>2.8</v>
      </c>
      <c r="AH170" s="18" t="n">
        <f aca="false">SUMPRODUCT($AB170:$AF170,Validation!$D$7:$H$7)</f>
        <v>2.50285714285725</v>
      </c>
      <c r="AI170" s="18" t="n">
        <f aca="false">SUMPRODUCT($AB170:$AF170,Validation!$D$8:$H$8)</f>
        <v>2.42714285714275</v>
      </c>
      <c r="AJ170" s="18" t="n">
        <f aca="false">SUMPRODUCT($AB170:$AF170,Validation!$D$9:$H$9)</f>
        <v>2.6070000000002</v>
      </c>
      <c r="AK170" s="18" t="n">
        <f aca="false">SUMPRODUCT($AB170:$AF170,Validation!$D$10:$H$10)</f>
        <v>2.3229999999998</v>
      </c>
      <c r="AL170" s="18" t="n">
        <f aca="false">SUMPRODUCT($AB170:$AF170,Validation!$D$11:$H$11)</f>
        <v>2.316875</v>
      </c>
      <c r="AM170" s="18" t="n">
        <f aca="false">SUMPRODUCT($AB170:$AF170,Validation!$D$12:$H$12)</f>
        <v>2.613125</v>
      </c>
      <c r="AN170" s="18" t="n">
        <f aca="false">SUMPRODUCT($AB170:$AF170,Validation!$D$13:$H$13)</f>
        <v>2.3999999999997</v>
      </c>
      <c r="AO170" s="18" t="n">
        <f aca="false">SUMPRODUCT($AB170:$AF170,Validation!$D$14:$H$14)</f>
        <v>2.5300000000003</v>
      </c>
      <c r="AP170" s="18" t="n">
        <f aca="false">SUMPRODUCT($AB170:$AF170,Validation!$D$15:$H$15)</f>
        <v>2.42558823529415</v>
      </c>
      <c r="AQ170" s="18" t="n">
        <f aca="false">SUMPRODUCT($AB170:$AF170,Validation!$D$16:$H$16)</f>
        <v>2.50441176470585</v>
      </c>
      <c r="AR170" s="8" t="n">
        <f aca="false">COUNTIF($C170:$V170,"&gt;=4")</f>
        <v>5</v>
      </c>
      <c r="AS170" s="8" t="str">
        <f aca="false">IF($X170&lt;=1.6,"Low",IF($X170&lt;=2.2,"Medium","High"))</f>
        <v>High</v>
      </c>
      <c r="AT170" s="8" t="str">
        <f aca="false">IF($AR170=0,"Low",IF($AR170&lt;3,"Medium","High"))</f>
        <v>High</v>
      </c>
      <c r="AU170" s="8" t="str">
        <f aca="false">IF(OR($AS170="High",$AT170="High"),"High",IF(OR($AS170="Medium",$AT170="Medium"),"Medium","Low"))</f>
        <v>High</v>
      </c>
      <c r="AV170" s="15" t="str">
        <f aca="false">IF($Z170="Yes","High",$AU170)</f>
        <v>High</v>
      </c>
    </row>
    <row r="171" customFormat="false" ht="15" hidden="false" customHeight="false" outlineLevel="0" collapsed="false">
      <c r="A171" s="7" t="str">
        <f aca="false">Customers!$A171</f>
        <v>NG-10065</v>
      </c>
      <c r="B171" s="7" t="str">
        <f aca="false">Customers!$B171</f>
        <v>Personal</v>
      </c>
      <c r="C171" s="8" t="n">
        <f aca="false">INDEX(Mapping!$C$2:$C$99,MATCH(C$1&amp;"|"&amp;Customers!C171,Mapping!$D$2:$D$99,0))</f>
        <v>2</v>
      </c>
      <c r="D171" s="8" t="n">
        <f aca="false">INDEX(Mapping!$C$2:$C$99,MATCH(D$1&amp;"|"&amp;Customers!D171,Mapping!$D$2:$D$99,0))</f>
        <v>1</v>
      </c>
      <c r="E171" s="8" t="n">
        <f aca="false">INDEX(Mapping!$C$2:$C$99,MATCH(E$1&amp;"|"&amp;Customers!E171,Mapping!$D$2:$D$99,0))</f>
        <v>1</v>
      </c>
      <c r="F171" s="8" t="n">
        <f aca="false">INDEX(Mapping!$C$2:$C$99,MATCH(F$1&amp;"|"&amp;Customers!F171,Mapping!$D$2:$D$99,0))</f>
        <v>1</v>
      </c>
      <c r="G171" s="8" t="n">
        <f aca="false">INDEX(Mapping!$C$2:$C$99,MATCH(G$1&amp;"|"&amp;Customers!G171,Mapping!$D$2:$D$99,0))</f>
        <v>2</v>
      </c>
      <c r="H171" s="8" t="n">
        <f aca="false">INDEX(Mapping!$C$2:$C$99,MATCH(H$1&amp;"|"&amp;Customers!H171,Mapping!$D$2:$D$99,0))</f>
        <v>1</v>
      </c>
      <c r="I171" s="8" t="n">
        <f aca="false">INDEX(Mapping!$C$2:$C$99,MATCH(I$1&amp;"|"&amp;Customers!I171,Mapping!$D$2:$D$99,0))</f>
        <v>1</v>
      </c>
      <c r="J171" s="8" t="n">
        <f aca="false">INDEX(Mapping!$C$2:$C$99,MATCH(J$1&amp;"|"&amp;Customers!J171,Mapping!$D$2:$D$99,0))</f>
        <v>1</v>
      </c>
      <c r="K171" s="8" t="n">
        <f aca="false">INDEX(Mapping!$C$2:$C$99,MATCH(K$1&amp;"|"&amp;Customers!K171,Mapping!$D$2:$D$99,0))</f>
        <v>3</v>
      </c>
      <c r="L171" s="8" t="n">
        <f aca="false">INDEX(Mapping!$C$2:$C$99,MATCH(L$1&amp;"|"&amp;Customers!L171,Mapping!$D$2:$D$99,0))</f>
        <v>2</v>
      </c>
      <c r="M171" s="8" t="n">
        <f aca="false">INDEX(Mapping!$C$2:$C$99,MATCH(M$1&amp;"|"&amp;Customers!M171,Mapping!$D$2:$D$99,0))</f>
        <v>2</v>
      </c>
      <c r="N171" s="8" t="n">
        <f aca="false">INDEX(Mapping!$C$2:$C$99,MATCH(N$1&amp;"|"&amp;Customers!N171,Mapping!$D$2:$D$99,0))</f>
        <v>1</v>
      </c>
      <c r="O171" s="8" t="n">
        <f aca="false">INDEX(Mapping!$C$2:$C$99,MATCH(O$1&amp;"|"&amp;Customers!O171,Mapping!$D$2:$D$99,0))</f>
        <v>3</v>
      </c>
      <c r="P171" s="8" t="n">
        <f aca="false">INDEX(Mapping!$C$2:$C$99,MATCH(P$1&amp;"|"&amp;Customers!P171,Mapping!$D$2:$D$99,0))</f>
        <v>3</v>
      </c>
      <c r="Q171" s="8" t="n">
        <f aca="false">INDEX(Mapping!$C$2:$C$99,MATCH(Q$1&amp;"|"&amp;Customers!Q171,Mapping!$D$2:$D$99,0))</f>
        <v>1</v>
      </c>
      <c r="R171" s="8" t="n">
        <f aca="false">INDEX(Mapping!$C$2:$C$99,MATCH(R$1&amp;"|"&amp;Customers!R171,Mapping!$D$2:$D$99,0))</f>
        <v>1</v>
      </c>
      <c r="S171" s="8" t="n">
        <f aca="false">INDEX(Mapping!$C$2:$C$99,MATCH(S$1&amp;"|"&amp;Customers!S171,Mapping!$D$2:$D$99,0))</f>
        <v>2</v>
      </c>
      <c r="T171" s="8" t="n">
        <f aca="false">INDEX(Mapping!$C$2:$C$99,MATCH(T$1&amp;"|"&amp;Customers!T171,Mapping!$D$2:$D$99,0))</f>
        <v>2</v>
      </c>
      <c r="U171" s="8" t="n">
        <f aca="false">INDEX(Mapping!$C$2:$C$99,MATCH(U$1&amp;"|"&amp;Customers!U171,Mapping!$D$2:$D$99,0))</f>
        <v>1</v>
      </c>
      <c r="V171" s="8" t="n">
        <f aca="false">INDEX(Mapping!$C$2:$C$99,MATCH(V$1&amp;"|"&amp;Customers!V171,Mapping!$D$2:$D$99,0))</f>
        <v>2</v>
      </c>
      <c r="W171" s="17" t="n">
        <f aca="false">SUMPRODUCT($C171:$V171,Weights!$C$27:$V$27)</f>
        <v>1.595</v>
      </c>
      <c r="X171" s="18" t="n">
        <f aca="false">ROUND($W171,2)</f>
        <v>1.6</v>
      </c>
      <c r="Y171" s="8" t="str">
        <f aca="false">IF($X171&lt;=2,"Low",IF($X171&lt;=3.49,"Medium","High"))</f>
        <v>Low</v>
      </c>
      <c r="Z171" s="8" t="str">
        <f aca="false">IF(OR($F171&gt;=3,$E171=5,$D171=5,$C171=5,$G171=5,$H171=5,$I171=5,$J171=5,Customers!$W171="Yes"),"Yes","No")</f>
        <v>No</v>
      </c>
      <c r="AA171" s="15" t="str">
        <f aca="false">IF($Z171="Yes","High",$Y171)</f>
        <v>Low</v>
      </c>
      <c r="AB171" s="18" t="n">
        <f aca="false">SUMPRODUCT($C171:$G171,Weights!$C$28:$G$28)</f>
        <v>1.35</v>
      </c>
      <c r="AC171" s="18" t="n">
        <f aca="false">SUMPRODUCT($H171:$J171,Weights!$H$28:$J$28)</f>
        <v>1</v>
      </c>
      <c r="AD171" s="18" t="n">
        <f aca="false">SUMPRODUCT($K171:$N171,Weights!$K$28:$N$28)</f>
        <v>2.2</v>
      </c>
      <c r="AE171" s="18" t="n">
        <f aca="false">SUMPRODUCT($O171:$Q171,Weights!$O$28:$Q$28)</f>
        <v>2.6</v>
      </c>
      <c r="AF171" s="18" t="n">
        <f aca="false">SUMPRODUCT($R171:$V171,Weights!$R$28:$V$28)</f>
        <v>1.6</v>
      </c>
      <c r="AH171" s="18" t="n">
        <f aca="false">SUMPRODUCT($AB171:$AF171,Validation!$D$7:$H$7)</f>
        <v>1.6300000000002</v>
      </c>
      <c r="AI171" s="18" t="n">
        <f aca="false">SUMPRODUCT($AB171:$AF171,Validation!$D$8:$H$8)</f>
        <v>1.5599999999998</v>
      </c>
      <c r="AJ171" s="18" t="n">
        <f aca="false">SUMPRODUCT($AB171:$AF171,Validation!$D$9:$H$9)</f>
        <v>1.6743333333332</v>
      </c>
      <c r="AK171" s="18" t="n">
        <f aca="false">SUMPRODUCT($AB171:$AF171,Validation!$D$10:$H$10)</f>
        <v>1.5156666666668</v>
      </c>
      <c r="AL171" s="18" t="n">
        <f aca="false">SUMPRODUCT($AB171:$AF171,Validation!$D$11:$H$11)</f>
        <v>1.519375</v>
      </c>
      <c r="AM171" s="18" t="n">
        <f aca="false">SUMPRODUCT($AB171:$AF171,Validation!$D$12:$H$12)</f>
        <v>1.670625</v>
      </c>
      <c r="AN171" s="18" t="n">
        <f aca="false">SUMPRODUCT($AB171:$AF171,Validation!$D$13:$H$13)</f>
        <v>1.48333333333315</v>
      </c>
      <c r="AO171" s="18" t="n">
        <f aca="false">SUMPRODUCT($AB171:$AF171,Validation!$D$14:$H$14)</f>
        <v>1.70666666666685</v>
      </c>
      <c r="AP171" s="18" t="n">
        <f aca="false">SUMPRODUCT($AB171:$AF171,Validation!$D$15:$H$15)</f>
        <v>1.59441176470565</v>
      </c>
      <c r="AQ171" s="18" t="n">
        <f aca="false">SUMPRODUCT($AB171:$AF171,Validation!$D$16:$H$16)</f>
        <v>1.59558823529435</v>
      </c>
      <c r="AR171" s="8" t="n">
        <f aca="false">COUNTIF($C171:$V171,"&gt;=4")</f>
        <v>0</v>
      </c>
      <c r="AS171" s="8" t="str">
        <f aca="false">IF($X171&lt;=1.6,"Low",IF($X171&lt;=2.2,"Medium","High"))</f>
        <v>Low</v>
      </c>
      <c r="AT171" s="8" t="str">
        <f aca="false">IF($AR171=0,"Low",IF($AR171&lt;3,"Medium","High"))</f>
        <v>Low</v>
      </c>
      <c r="AU171" s="8" t="str">
        <f aca="false">IF(OR($AS171="High",$AT171="High"),"High",IF(OR($AS171="Medium",$AT171="Medium"),"Medium","Low"))</f>
        <v>Low</v>
      </c>
      <c r="AV171" s="15" t="str">
        <f aca="false">IF($Z171="Yes","High",$AU171)</f>
        <v>Low</v>
      </c>
    </row>
    <row r="172" customFormat="false" ht="15" hidden="false" customHeight="false" outlineLevel="0" collapsed="false">
      <c r="A172" s="7" t="str">
        <f aca="false">Customers!$A172</f>
        <v>NG-10163</v>
      </c>
      <c r="B172" s="7" t="str">
        <f aca="false">Customers!$B172</f>
        <v>Personal</v>
      </c>
      <c r="C172" s="8" t="n">
        <f aca="false">INDEX(Mapping!$C$2:$C$99,MATCH(C$1&amp;"|"&amp;Customers!C172,Mapping!$D$2:$D$99,0))</f>
        <v>1</v>
      </c>
      <c r="D172" s="8" t="n">
        <f aca="false">INDEX(Mapping!$C$2:$C$99,MATCH(D$1&amp;"|"&amp;Customers!D172,Mapping!$D$2:$D$99,0))</f>
        <v>1</v>
      </c>
      <c r="E172" s="8" t="n">
        <f aca="false">INDEX(Mapping!$C$2:$C$99,MATCH(E$1&amp;"|"&amp;Customers!E172,Mapping!$D$2:$D$99,0))</f>
        <v>2</v>
      </c>
      <c r="F172" s="8" t="n">
        <f aca="false">INDEX(Mapping!$C$2:$C$99,MATCH(F$1&amp;"|"&amp;Customers!F172,Mapping!$D$2:$D$99,0))</f>
        <v>1</v>
      </c>
      <c r="G172" s="8" t="n">
        <f aca="false">INDEX(Mapping!$C$2:$C$99,MATCH(G$1&amp;"|"&amp;Customers!G172,Mapping!$D$2:$D$99,0))</f>
        <v>1</v>
      </c>
      <c r="H172" s="8" t="n">
        <f aca="false">INDEX(Mapping!$C$2:$C$99,MATCH(H$1&amp;"|"&amp;Customers!H172,Mapping!$D$2:$D$99,0))</f>
        <v>1</v>
      </c>
      <c r="I172" s="8" t="n">
        <f aca="false">INDEX(Mapping!$C$2:$C$99,MATCH(I$1&amp;"|"&amp;Customers!I172,Mapping!$D$2:$D$99,0))</f>
        <v>1</v>
      </c>
      <c r="J172" s="8" t="n">
        <f aca="false">INDEX(Mapping!$C$2:$C$99,MATCH(J$1&amp;"|"&amp;Customers!J172,Mapping!$D$2:$D$99,0))</f>
        <v>1</v>
      </c>
      <c r="K172" s="8" t="n">
        <f aca="false">INDEX(Mapping!$C$2:$C$99,MATCH(K$1&amp;"|"&amp;Customers!K172,Mapping!$D$2:$D$99,0))</f>
        <v>2</v>
      </c>
      <c r="L172" s="8" t="n">
        <f aca="false">INDEX(Mapping!$C$2:$C$99,MATCH(L$1&amp;"|"&amp;Customers!L172,Mapping!$D$2:$D$99,0))</f>
        <v>3</v>
      </c>
      <c r="M172" s="8" t="n">
        <f aca="false">INDEX(Mapping!$C$2:$C$99,MATCH(M$1&amp;"|"&amp;Customers!M172,Mapping!$D$2:$D$99,0))</f>
        <v>2</v>
      </c>
      <c r="N172" s="8" t="n">
        <f aca="false">INDEX(Mapping!$C$2:$C$99,MATCH(N$1&amp;"|"&amp;Customers!N172,Mapping!$D$2:$D$99,0))</f>
        <v>2</v>
      </c>
      <c r="O172" s="8" t="n">
        <f aca="false">INDEX(Mapping!$C$2:$C$99,MATCH(O$1&amp;"|"&amp;Customers!O172,Mapping!$D$2:$D$99,0))</f>
        <v>3</v>
      </c>
      <c r="P172" s="8" t="n">
        <f aca="false">INDEX(Mapping!$C$2:$C$99,MATCH(P$1&amp;"|"&amp;Customers!P172,Mapping!$D$2:$D$99,0))</f>
        <v>4</v>
      </c>
      <c r="Q172" s="8" t="n">
        <f aca="false">INDEX(Mapping!$C$2:$C$99,MATCH(Q$1&amp;"|"&amp;Customers!Q172,Mapping!$D$2:$D$99,0))</f>
        <v>2</v>
      </c>
      <c r="R172" s="8" t="n">
        <f aca="false">INDEX(Mapping!$C$2:$C$99,MATCH(R$1&amp;"|"&amp;Customers!R172,Mapping!$D$2:$D$99,0))</f>
        <v>2</v>
      </c>
      <c r="S172" s="8" t="n">
        <f aca="false">INDEX(Mapping!$C$2:$C$99,MATCH(S$1&amp;"|"&amp;Customers!S172,Mapping!$D$2:$D$99,0))</f>
        <v>2</v>
      </c>
      <c r="T172" s="8" t="n">
        <f aca="false">INDEX(Mapping!$C$2:$C$99,MATCH(T$1&amp;"|"&amp;Customers!T172,Mapping!$D$2:$D$99,0))</f>
        <v>1</v>
      </c>
      <c r="U172" s="8" t="n">
        <f aca="false">INDEX(Mapping!$C$2:$C$99,MATCH(U$1&amp;"|"&amp;Customers!U172,Mapping!$D$2:$D$99,0))</f>
        <v>1</v>
      </c>
      <c r="V172" s="8" t="n">
        <f aca="false">INDEX(Mapping!$C$2:$C$99,MATCH(V$1&amp;"|"&amp;Customers!V172,Mapping!$D$2:$D$99,0))</f>
        <v>1</v>
      </c>
      <c r="W172" s="17" t="n">
        <f aca="false">SUMPRODUCT($C172:$V172,Weights!$C$27:$V$27)</f>
        <v>1.6225</v>
      </c>
      <c r="X172" s="18" t="n">
        <f aca="false">ROUND($W172,2)</f>
        <v>1.62</v>
      </c>
      <c r="Y172" s="8" t="str">
        <f aca="false">IF($X172&lt;=2,"Low",IF($X172&lt;=3.49,"Medium","High"))</f>
        <v>Low</v>
      </c>
      <c r="Z172" s="8" t="str">
        <f aca="false">IF(OR($F172&gt;=3,$E172=5,$D172=5,$C172=5,$G172=5,$H172=5,$I172=5,$J172=5,Customers!$W172="Yes"),"Yes","No")</f>
        <v>No</v>
      </c>
      <c r="AA172" s="15" t="str">
        <f aca="false">IF($Z172="Yes","High",$Y172)</f>
        <v>Low</v>
      </c>
      <c r="AB172" s="18" t="n">
        <f aca="false">SUMPRODUCT($C172:$G172,Weights!$C$28:$G$28)</f>
        <v>1.25</v>
      </c>
      <c r="AC172" s="18" t="n">
        <f aca="false">SUMPRODUCT($H172:$J172,Weights!$H$28:$J$28)</f>
        <v>1</v>
      </c>
      <c r="AD172" s="18" t="n">
        <f aca="false">SUMPRODUCT($K172:$N172,Weights!$K$28:$N$28)</f>
        <v>2.25</v>
      </c>
      <c r="AE172" s="18" t="n">
        <f aca="false">SUMPRODUCT($O172:$Q172,Weights!$O$28:$Q$28)</f>
        <v>3.15</v>
      </c>
      <c r="AF172" s="18" t="n">
        <f aca="false">SUMPRODUCT($R172:$V172,Weights!$R$28:$V$28)</f>
        <v>1.55</v>
      </c>
      <c r="AH172" s="18" t="n">
        <f aca="false">SUMPRODUCT($AB172:$AF172,Validation!$D$7:$H$7)</f>
        <v>1.6757142857146</v>
      </c>
      <c r="AI172" s="18" t="n">
        <f aca="false">SUMPRODUCT($AB172:$AF172,Validation!$D$8:$H$8)</f>
        <v>1.5692857142854</v>
      </c>
      <c r="AJ172" s="18" t="n">
        <f aca="false">SUMPRODUCT($AB172:$AF172,Validation!$D$9:$H$9)</f>
        <v>1.7054999999997</v>
      </c>
      <c r="AK172" s="18" t="n">
        <f aca="false">SUMPRODUCT($AB172:$AF172,Validation!$D$10:$H$10)</f>
        <v>1.5395000000003</v>
      </c>
      <c r="AL172" s="18" t="n">
        <f aca="false">SUMPRODUCT($AB172:$AF172,Validation!$D$11:$H$11)</f>
        <v>1.5440625</v>
      </c>
      <c r="AM172" s="18" t="n">
        <f aca="false">SUMPRODUCT($AB172:$AF172,Validation!$D$12:$H$12)</f>
        <v>1.7009375</v>
      </c>
      <c r="AN172" s="18" t="n">
        <f aca="false">SUMPRODUCT($AB172:$AF172,Validation!$D$13:$H$13)</f>
        <v>1.4527777777776</v>
      </c>
      <c r="AO172" s="18" t="n">
        <f aca="false">SUMPRODUCT($AB172:$AF172,Validation!$D$14:$H$14)</f>
        <v>1.7922222222224</v>
      </c>
      <c r="AP172" s="18" t="n">
        <f aca="false">SUMPRODUCT($AB172:$AF172,Validation!$D$15:$H$15)</f>
        <v>1.6310294117643</v>
      </c>
      <c r="AQ172" s="18" t="n">
        <f aca="false">SUMPRODUCT($AB172:$AF172,Validation!$D$16:$H$16)</f>
        <v>1.6139705882357</v>
      </c>
      <c r="AR172" s="8" t="n">
        <f aca="false">COUNTIF($C172:$V172,"&gt;=4")</f>
        <v>1</v>
      </c>
      <c r="AS172" s="8" t="str">
        <f aca="false">IF($X172&lt;=1.6,"Low",IF($X172&lt;=2.2,"Medium","High"))</f>
        <v>Medium</v>
      </c>
      <c r="AT172" s="8" t="str">
        <f aca="false">IF($AR172=0,"Low",IF($AR172&lt;3,"Medium","High"))</f>
        <v>Medium</v>
      </c>
      <c r="AU172" s="8" t="str">
        <f aca="false">IF(OR($AS172="High",$AT172="High"),"High",IF(OR($AS172="Medium",$AT172="Medium"),"Medium","Low"))</f>
        <v>Medium</v>
      </c>
      <c r="AV172" s="15" t="str">
        <f aca="false">IF($Z172="Yes","High",$AU172)</f>
        <v>Medium</v>
      </c>
    </row>
    <row r="173" customFormat="false" ht="15" hidden="false" customHeight="false" outlineLevel="0" collapsed="false">
      <c r="A173" s="7" t="str">
        <f aca="false">Customers!$A173</f>
        <v>NG-10012</v>
      </c>
      <c r="B173" s="7" t="str">
        <f aca="false">Customers!$B173</f>
        <v>Personal</v>
      </c>
      <c r="C173" s="8" t="n">
        <f aca="false">INDEX(Mapping!$C$2:$C$99,MATCH(C$1&amp;"|"&amp;Customers!C173,Mapping!$D$2:$D$99,0))</f>
        <v>1</v>
      </c>
      <c r="D173" s="8" t="n">
        <f aca="false">INDEX(Mapping!$C$2:$C$99,MATCH(D$1&amp;"|"&amp;Customers!D173,Mapping!$D$2:$D$99,0))</f>
        <v>1</v>
      </c>
      <c r="E173" s="8" t="n">
        <f aca="false">INDEX(Mapping!$C$2:$C$99,MATCH(E$1&amp;"|"&amp;Customers!E173,Mapping!$D$2:$D$99,0))</f>
        <v>1</v>
      </c>
      <c r="F173" s="8" t="n">
        <f aca="false">INDEX(Mapping!$C$2:$C$99,MATCH(F$1&amp;"|"&amp;Customers!F173,Mapping!$D$2:$D$99,0))</f>
        <v>1</v>
      </c>
      <c r="G173" s="8" t="n">
        <f aca="false">INDEX(Mapping!$C$2:$C$99,MATCH(G$1&amp;"|"&amp;Customers!G173,Mapping!$D$2:$D$99,0))</f>
        <v>1</v>
      </c>
      <c r="H173" s="8" t="n">
        <f aca="false">INDEX(Mapping!$C$2:$C$99,MATCH(H$1&amp;"|"&amp;Customers!H173,Mapping!$D$2:$D$99,0))</f>
        <v>1</v>
      </c>
      <c r="I173" s="8" t="n">
        <f aca="false">INDEX(Mapping!$C$2:$C$99,MATCH(I$1&amp;"|"&amp;Customers!I173,Mapping!$D$2:$D$99,0))</f>
        <v>1</v>
      </c>
      <c r="J173" s="8" t="n">
        <f aca="false">INDEX(Mapping!$C$2:$C$99,MATCH(J$1&amp;"|"&amp;Customers!J173,Mapping!$D$2:$D$99,0))</f>
        <v>1</v>
      </c>
      <c r="K173" s="8" t="n">
        <f aca="false">INDEX(Mapping!$C$2:$C$99,MATCH(K$1&amp;"|"&amp;Customers!K173,Mapping!$D$2:$D$99,0))</f>
        <v>2</v>
      </c>
      <c r="L173" s="8" t="n">
        <f aca="false">INDEX(Mapping!$C$2:$C$99,MATCH(L$1&amp;"|"&amp;Customers!L173,Mapping!$D$2:$D$99,0))</f>
        <v>3</v>
      </c>
      <c r="M173" s="8" t="n">
        <f aca="false">INDEX(Mapping!$C$2:$C$99,MATCH(M$1&amp;"|"&amp;Customers!M173,Mapping!$D$2:$D$99,0))</f>
        <v>2</v>
      </c>
      <c r="N173" s="8" t="n">
        <f aca="false">INDEX(Mapping!$C$2:$C$99,MATCH(N$1&amp;"|"&amp;Customers!N173,Mapping!$D$2:$D$99,0))</f>
        <v>1</v>
      </c>
      <c r="O173" s="8" t="n">
        <f aca="false">INDEX(Mapping!$C$2:$C$99,MATCH(O$1&amp;"|"&amp;Customers!O173,Mapping!$D$2:$D$99,0))</f>
        <v>3</v>
      </c>
      <c r="P173" s="8" t="n">
        <f aca="false">INDEX(Mapping!$C$2:$C$99,MATCH(P$1&amp;"|"&amp;Customers!P173,Mapping!$D$2:$D$99,0))</f>
        <v>3</v>
      </c>
      <c r="Q173" s="8" t="n">
        <f aca="false">INDEX(Mapping!$C$2:$C$99,MATCH(Q$1&amp;"|"&amp;Customers!Q173,Mapping!$D$2:$D$99,0))</f>
        <v>1</v>
      </c>
      <c r="R173" s="8" t="n">
        <f aca="false">INDEX(Mapping!$C$2:$C$99,MATCH(R$1&amp;"|"&amp;Customers!R173,Mapping!$D$2:$D$99,0))</f>
        <v>3</v>
      </c>
      <c r="S173" s="8" t="n">
        <f aca="false">INDEX(Mapping!$C$2:$C$99,MATCH(S$1&amp;"|"&amp;Customers!S173,Mapping!$D$2:$D$99,0))</f>
        <v>2</v>
      </c>
      <c r="T173" s="8" t="n">
        <f aca="false">INDEX(Mapping!$C$2:$C$99,MATCH(T$1&amp;"|"&amp;Customers!T173,Mapping!$D$2:$D$99,0))</f>
        <v>2</v>
      </c>
      <c r="U173" s="8" t="n">
        <f aca="false">INDEX(Mapping!$C$2:$C$99,MATCH(U$1&amp;"|"&amp;Customers!U173,Mapping!$D$2:$D$99,0))</f>
        <v>1</v>
      </c>
      <c r="V173" s="8" t="n">
        <f aca="false">INDEX(Mapping!$C$2:$C$99,MATCH(V$1&amp;"|"&amp;Customers!V173,Mapping!$D$2:$D$99,0))</f>
        <v>1</v>
      </c>
      <c r="W173" s="17" t="n">
        <f aca="false">SUMPRODUCT($C173:$V173,Weights!$C$27:$V$27)</f>
        <v>1.53</v>
      </c>
      <c r="X173" s="18" t="n">
        <f aca="false">ROUND($W173,2)</f>
        <v>1.53</v>
      </c>
      <c r="Y173" s="8" t="str">
        <f aca="false">IF($X173&lt;=2,"Low",IF($X173&lt;=3.49,"Medium","High"))</f>
        <v>Low</v>
      </c>
      <c r="Z173" s="8" t="str">
        <f aca="false">IF(OR($F173&gt;=3,$E173=5,$D173=5,$C173=5,$G173=5,$H173=5,$I173=5,$J173=5,Customers!$W173="Yes"),"Yes","No")</f>
        <v>No</v>
      </c>
      <c r="AA173" s="15" t="str">
        <f aca="false">IF($Z173="Yes","High",$Y173)</f>
        <v>Low</v>
      </c>
      <c r="AB173" s="18" t="n">
        <f aca="false">SUMPRODUCT($C173:$G173,Weights!$C$28:$G$28)</f>
        <v>1</v>
      </c>
      <c r="AC173" s="18" t="n">
        <f aca="false">SUMPRODUCT($H173:$J173,Weights!$H$28:$J$28)</f>
        <v>1</v>
      </c>
      <c r="AD173" s="18" t="n">
        <f aca="false">SUMPRODUCT($K173:$N173,Weights!$K$28:$N$28)</f>
        <v>2.1</v>
      </c>
      <c r="AE173" s="18" t="n">
        <f aca="false">SUMPRODUCT($O173:$Q173,Weights!$O$28:$Q$28)</f>
        <v>2.6</v>
      </c>
      <c r="AF173" s="18" t="n">
        <f aca="false">SUMPRODUCT($R173:$V173,Weights!$R$28:$V$28)</f>
        <v>2</v>
      </c>
      <c r="AH173" s="18" t="n">
        <f aca="false">SUMPRODUCT($AB173:$AF173,Validation!$D$7:$H$7)</f>
        <v>1.6057142857147</v>
      </c>
      <c r="AI173" s="18" t="n">
        <f aca="false">SUMPRODUCT($AB173:$AF173,Validation!$D$8:$H$8)</f>
        <v>1.4542857142853</v>
      </c>
      <c r="AJ173" s="18" t="n">
        <f aca="false">SUMPRODUCT($AB173:$AF173,Validation!$D$9:$H$9)</f>
        <v>1.6006666666665</v>
      </c>
      <c r="AK173" s="18" t="n">
        <f aca="false">SUMPRODUCT($AB173:$AF173,Validation!$D$10:$H$10)</f>
        <v>1.4593333333335</v>
      </c>
      <c r="AL173" s="18" t="n">
        <f aca="false">SUMPRODUCT($AB173:$AF173,Validation!$D$11:$H$11)</f>
        <v>1.45875</v>
      </c>
      <c r="AM173" s="18" t="n">
        <f aca="false">SUMPRODUCT($AB173:$AF173,Validation!$D$12:$H$12)</f>
        <v>1.60125</v>
      </c>
      <c r="AN173" s="18" t="n">
        <f aca="false">SUMPRODUCT($AB173:$AF173,Validation!$D$13:$H$13)</f>
        <v>1.4111111111112</v>
      </c>
      <c r="AO173" s="18" t="n">
        <f aca="false">SUMPRODUCT($AB173:$AF173,Validation!$D$14:$H$14)</f>
        <v>1.6488888888888</v>
      </c>
      <c r="AP173" s="18" t="n">
        <f aca="false">SUMPRODUCT($AB173:$AF173,Validation!$D$15:$H$15)</f>
        <v>1.4747058823527</v>
      </c>
      <c r="AQ173" s="18" t="n">
        <f aca="false">SUMPRODUCT($AB173:$AF173,Validation!$D$16:$H$16)</f>
        <v>1.5852941176473</v>
      </c>
      <c r="AR173" s="8" t="n">
        <f aca="false">COUNTIF($C173:$V173,"&gt;=4")</f>
        <v>0</v>
      </c>
      <c r="AS173" s="8" t="str">
        <f aca="false">IF($X173&lt;=1.6,"Low",IF($X173&lt;=2.2,"Medium","High"))</f>
        <v>Low</v>
      </c>
      <c r="AT173" s="8" t="str">
        <f aca="false">IF($AR173=0,"Low",IF($AR173&lt;3,"Medium","High"))</f>
        <v>Low</v>
      </c>
      <c r="AU173" s="8" t="str">
        <f aca="false">IF(OR($AS173="High",$AT173="High"),"High",IF(OR($AS173="Medium",$AT173="Medium"),"Medium","Low"))</f>
        <v>Low</v>
      </c>
      <c r="AV173" s="15" t="str">
        <f aca="false">IF($Z173="Yes","High",$AU173)</f>
        <v>Low</v>
      </c>
    </row>
    <row r="174" customFormat="false" ht="15" hidden="false" customHeight="false" outlineLevel="0" collapsed="false">
      <c r="A174" s="7" t="str">
        <f aca="false">Customers!$A174</f>
        <v>NG-10316</v>
      </c>
      <c r="B174" s="7" t="str">
        <f aca="false">Customers!$B174</f>
        <v>Sole trader</v>
      </c>
      <c r="C174" s="8" t="n">
        <f aca="false">INDEX(Mapping!$C$2:$C$99,MATCH(C$1&amp;"|"&amp;Customers!C174,Mapping!$D$2:$D$99,0))</f>
        <v>2</v>
      </c>
      <c r="D174" s="8" t="n">
        <f aca="false">INDEX(Mapping!$C$2:$C$99,MATCH(D$1&amp;"|"&amp;Customers!D174,Mapping!$D$2:$D$99,0))</f>
        <v>1</v>
      </c>
      <c r="E174" s="8" t="n">
        <f aca="false">INDEX(Mapping!$C$2:$C$99,MATCH(E$1&amp;"|"&amp;Customers!E174,Mapping!$D$2:$D$99,0))</f>
        <v>3</v>
      </c>
      <c r="F174" s="8" t="n">
        <f aca="false">INDEX(Mapping!$C$2:$C$99,MATCH(F$1&amp;"|"&amp;Customers!F174,Mapping!$D$2:$D$99,0))</f>
        <v>1</v>
      </c>
      <c r="G174" s="8" t="n">
        <f aca="false">INDEX(Mapping!$C$2:$C$99,MATCH(G$1&amp;"|"&amp;Customers!G174,Mapping!$D$2:$D$99,0))</f>
        <v>1</v>
      </c>
      <c r="H174" s="8" t="n">
        <f aca="false">INDEX(Mapping!$C$2:$C$99,MATCH(H$1&amp;"|"&amp;Customers!H174,Mapping!$D$2:$D$99,0))</f>
        <v>1</v>
      </c>
      <c r="I174" s="8" t="n">
        <f aca="false">INDEX(Mapping!$C$2:$C$99,MATCH(I$1&amp;"|"&amp;Customers!I174,Mapping!$D$2:$D$99,0))</f>
        <v>1</v>
      </c>
      <c r="J174" s="8" t="n">
        <f aca="false">INDEX(Mapping!$C$2:$C$99,MATCH(J$1&amp;"|"&amp;Customers!J174,Mapping!$D$2:$D$99,0))</f>
        <v>2</v>
      </c>
      <c r="K174" s="8" t="n">
        <f aca="false">INDEX(Mapping!$C$2:$C$99,MATCH(K$1&amp;"|"&amp;Customers!K174,Mapping!$D$2:$D$99,0))</f>
        <v>4</v>
      </c>
      <c r="L174" s="8" t="n">
        <f aca="false">INDEX(Mapping!$C$2:$C$99,MATCH(L$1&amp;"|"&amp;Customers!L174,Mapping!$D$2:$D$99,0))</f>
        <v>5</v>
      </c>
      <c r="M174" s="8" t="n">
        <f aca="false">INDEX(Mapping!$C$2:$C$99,MATCH(M$1&amp;"|"&amp;Customers!M174,Mapping!$D$2:$D$99,0))</f>
        <v>1</v>
      </c>
      <c r="N174" s="8" t="n">
        <f aca="false">INDEX(Mapping!$C$2:$C$99,MATCH(N$1&amp;"|"&amp;Customers!N174,Mapping!$D$2:$D$99,0))</f>
        <v>1</v>
      </c>
      <c r="O174" s="8" t="n">
        <f aca="false">INDEX(Mapping!$C$2:$C$99,MATCH(O$1&amp;"|"&amp;Customers!O174,Mapping!$D$2:$D$99,0))</f>
        <v>2</v>
      </c>
      <c r="P174" s="8" t="n">
        <f aca="false">INDEX(Mapping!$C$2:$C$99,MATCH(P$1&amp;"|"&amp;Customers!P174,Mapping!$D$2:$D$99,0))</f>
        <v>3</v>
      </c>
      <c r="Q174" s="8" t="n">
        <f aca="false">INDEX(Mapping!$C$2:$C$99,MATCH(Q$1&amp;"|"&amp;Customers!Q174,Mapping!$D$2:$D$99,0))</f>
        <v>1</v>
      </c>
      <c r="R174" s="8" t="n">
        <f aca="false">INDEX(Mapping!$C$2:$C$99,MATCH(R$1&amp;"|"&amp;Customers!R174,Mapping!$D$2:$D$99,0))</f>
        <v>2</v>
      </c>
      <c r="S174" s="8" t="n">
        <f aca="false">INDEX(Mapping!$C$2:$C$99,MATCH(S$1&amp;"|"&amp;Customers!S174,Mapping!$D$2:$D$99,0))</f>
        <v>3</v>
      </c>
      <c r="T174" s="8" t="n">
        <f aca="false">INDEX(Mapping!$C$2:$C$99,MATCH(T$1&amp;"|"&amp;Customers!T174,Mapping!$D$2:$D$99,0))</f>
        <v>2</v>
      </c>
      <c r="U174" s="8" t="n">
        <f aca="false">INDEX(Mapping!$C$2:$C$99,MATCH(U$1&amp;"|"&amp;Customers!U174,Mapping!$D$2:$D$99,0))</f>
        <v>4</v>
      </c>
      <c r="V174" s="8" t="n">
        <f aca="false">INDEX(Mapping!$C$2:$C$99,MATCH(V$1&amp;"|"&amp;Customers!V174,Mapping!$D$2:$D$99,0))</f>
        <v>1</v>
      </c>
      <c r="W174" s="17" t="n">
        <f aca="false">SUMPRODUCT($C174:$V174,Weights!$C$27:$V$27)</f>
        <v>2.06</v>
      </c>
      <c r="X174" s="18" t="n">
        <f aca="false">ROUND($W174,2)</f>
        <v>2.06</v>
      </c>
      <c r="Y174" s="8" t="str">
        <f aca="false">IF($X174&lt;=2,"Low",IF($X174&lt;=3.49,"Medium","High"))</f>
        <v>Medium</v>
      </c>
      <c r="Z174" s="8" t="str">
        <f aca="false">IF(OR($F174&gt;=3,$E174=5,$D174=5,$C174=5,$G174=5,$H174=5,$I174=5,$J174=5,Customers!$W174="Yes"),"Yes","No")</f>
        <v>Yes</v>
      </c>
      <c r="AA174" s="15" t="str">
        <f aca="false">IF($Z174="Yes","High",$Y174)</f>
        <v>High</v>
      </c>
      <c r="AB174" s="18" t="n">
        <f aca="false">SUMPRODUCT($C174:$G174,Weights!$C$28:$G$28)</f>
        <v>1.7</v>
      </c>
      <c r="AC174" s="18" t="n">
        <f aca="false">SUMPRODUCT($H174:$J174,Weights!$H$28:$J$28)</f>
        <v>1.4</v>
      </c>
      <c r="AD174" s="18" t="n">
        <f aca="false">SUMPRODUCT($K174:$N174,Weights!$K$28:$N$28)</f>
        <v>3.05</v>
      </c>
      <c r="AE174" s="18" t="n">
        <f aca="false">SUMPRODUCT($O174:$Q174,Weights!$O$28:$Q$28)</f>
        <v>2.15</v>
      </c>
      <c r="AF174" s="18" t="n">
        <f aca="false">SUMPRODUCT($R174:$V174,Weights!$R$28:$V$28)</f>
        <v>2.5</v>
      </c>
      <c r="AH174" s="18" t="n">
        <f aca="false">SUMPRODUCT($AB174:$AF174,Validation!$D$7:$H$7)</f>
        <v>2.11142857142855</v>
      </c>
      <c r="AI174" s="18" t="n">
        <f aca="false">SUMPRODUCT($AB174:$AF174,Validation!$D$8:$H$8)</f>
        <v>2.00857142857145</v>
      </c>
      <c r="AJ174" s="18" t="n">
        <f aca="false">SUMPRODUCT($AB174:$AF174,Validation!$D$9:$H$9)</f>
        <v>2.1480000000003</v>
      </c>
      <c r="AK174" s="18" t="n">
        <f aca="false">SUMPRODUCT($AB174:$AF174,Validation!$D$10:$H$10)</f>
        <v>1.9719999999997</v>
      </c>
      <c r="AL174" s="18" t="n">
        <f aca="false">SUMPRODUCT($AB174:$AF174,Validation!$D$11:$H$11)</f>
        <v>1.93625</v>
      </c>
      <c r="AM174" s="18" t="n">
        <f aca="false">SUMPRODUCT($AB174:$AF174,Validation!$D$12:$H$12)</f>
        <v>2.18375</v>
      </c>
      <c r="AN174" s="18" t="n">
        <f aca="false">SUMPRODUCT($AB174:$AF174,Validation!$D$13:$H$13)</f>
        <v>2.0499999999999</v>
      </c>
      <c r="AO174" s="18" t="n">
        <f aca="false">SUMPRODUCT($AB174:$AF174,Validation!$D$14:$H$14)</f>
        <v>2.0700000000001</v>
      </c>
      <c r="AP174" s="18" t="n">
        <f aca="false">SUMPRODUCT($AB174:$AF174,Validation!$D$15:$H$15)</f>
        <v>2.00823529411785</v>
      </c>
      <c r="AQ174" s="18" t="n">
        <f aca="false">SUMPRODUCT($AB174:$AF174,Validation!$D$16:$H$16)</f>
        <v>2.11176470588215</v>
      </c>
      <c r="AR174" s="8" t="n">
        <f aca="false">COUNTIF($C174:$V174,"&gt;=4")</f>
        <v>3</v>
      </c>
      <c r="AS174" s="8" t="str">
        <f aca="false">IF($X174&lt;=1.6,"Low",IF($X174&lt;=2.2,"Medium","High"))</f>
        <v>Medium</v>
      </c>
      <c r="AT174" s="8" t="str">
        <f aca="false">IF($AR174=0,"Low",IF($AR174&lt;3,"Medium","High"))</f>
        <v>High</v>
      </c>
      <c r="AU174" s="8" t="str">
        <f aca="false">IF(OR($AS174="High",$AT174="High"),"High",IF(OR($AS174="Medium",$AT174="Medium"),"Medium","Low"))</f>
        <v>High</v>
      </c>
      <c r="AV174" s="15" t="str">
        <f aca="false">IF($Z174="Yes","High",$AU174)</f>
        <v>High</v>
      </c>
    </row>
    <row r="175" customFormat="false" ht="15" hidden="false" customHeight="false" outlineLevel="0" collapsed="false">
      <c r="A175" s="7" t="str">
        <f aca="false">Customers!$A175</f>
        <v>NG-10311</v>
      </c>
      <c r="B175" s="7" t="str">
        <f aca="false">Customers!$B175</f>
        <v>Sole trader</v>
      </c>
      <c r="C175" s="8" t="n">
        <f aca="false">INDEX(Mapping!$C$2:$C$99,MATCH(C$1&amp;"|"&amp;Customers!C175,Mapping!$D$2:$D$99,0))</f>
        <v>2</v>
      </c>
      <c r="D175" s="8" t="n">
        <f aca="false">INDEX(Mapping!$C$2:$C$99,MATCH(D$1&amp;"|"&amp;Customers!D175,Mapping!$D$2:$D$99,0))</f>
        <v>1</v>
      </c>
      <c r="E175" s="8" t="n">
        <f aca="false">INDEX(Mapping!$C$2:$C$99,MATCH(E$1&amp;"|"&amp;Customers!E175,Mapping!$D$2:$D$99,0))</f>
        <v>4</v>
      </c>
      <c r="F175" s="8" t="n">
        <f aca="false">INDEX(Mapping!$C$2:$C$99,MATCH(F$1&amp;"|"&amp;Customers!F175,Mapping!$D$2:$D$99,0))</f>
        <v>1</v>
      </c>
      <c r="G175" s="8" t="n">
        <f aca="false">INDEX(Mapping!$C$2:$C$99,MATCH(G$1&amp;"|"&amp;Customers!G175,Mapping!$D$2:$D$99,0))</f>
        <v>1</v>
      </c>
      <c r="H175" s="8" t="n">
        <f aca="false">INDEX(Mapping!$C$2:$C$99,MATCH(H$1&amp;"|"&amp;Customers!H175,Mapping!$D$2:$D$99,0))</f>
        <v>1</v>
      </c>
      <c r="I175" s="8" t="n">
        <f aca="false">INDEX(Mapping!$C$2:$C$99,MATCH(I$1&amp;"|"&amp;Customers!I175,Mapping!$D$2:$D$99,0))</f>
        <v>1</v>
      </c>
      <c r="J175" s="8" t="n">
        <f aca="false">INDEX(Mapping!$C$2:$C$99,MATCH(J$1&amp;"|"&amp;Customers!J175,Mapping!$D$2:$D$99,0))</f>
        <v>1</v>
      </c>
      <c r="K175" s="8" t="n">
        <f aca="false">INDEX(Mapping!$C$2:$C$99,MATCH(K$1&amp;"|"&amp;Customers!K175,Mapping!$D$2:$D$99,0))</f>
        <v>4</v>
      </c>
      <c r="L175" s="8" t="n">
        <f aca="false">INDEX(Mapping!$C$2:$C$99,MATCH(L$1&amp;"|"&amp;Customers!L175,Mapping!$D$2:$D$99,0))</f>
        <v>5</v>
      </c>
      <c r="M175" s="8" t="n">
        <f aca="false">INDEX(Mapping!$C$2:$C$99,MATCH(M$1&amp;"|"&amp;Customers!M175,Mapping!$D$2:$D$99,0))</f>
        <v>1</v>
      </c>
      <c r="N175" s="8" t="n">
        <f aca="false">INDEX(Mapping!$C$2:$C$99,MATCH(N$1&amp;"|"&amp;Customers!N175,Mapping!$D$2:$D$99,0))</f>
        <v>1</v>
      </c>
      <c r="O175" s="8" t="n">
        <f aca="false">INDEX(Mapping!$C$2:$C$99,MATCH(O$1&amp;"|"&amp;Customers!O175,Mapping!$D$2:$D$99,0))</f>
        <v>1</v>
      </c>
      <c r="P175" s="8" t="n">
        <f aca="false">INDEX(Mapping!$C$2:$C$99,MATCH(P$1&amp;"|"&amp;Customers!P175,Mapping!$D$2:$D$99,0))</f>
        <v>1</v>
      </c>
      <c r="Q175" s="8" t="n">
        <f aca="false">INDEX(Mapping!$C$2:$C$99,MATCH(Q$1&amp;"|"&amp;Customers!Q175,Mapping!$D$2:$D$99,0))</f>
        <v>1</v>
      </c>
      <c r="R175" s="8" t="n">
        <f aca="false">INDEX(Mapping!$C$2:$C$99,MATCH(R$1&amp;"|"&amp;Customers!R175,Mapping!$D$2:$D$99,0))</f>
        <v>1</v>
      </c>
      <c r="S175" s="8" t="n">
        <f aca="false">INDEX(Mapping!$C$2:$C$99,MATCH(S$1&amp;"|"&amp;Customers!S175,Mapping!$D$2:$D$99,0))</f>
        <v>3</v>
      </c>
      <c r="T175" s="8" t="n">
        <f aca="false">INDEX(Mapping!$C$2:$C$99,MATCH(T$1&amp;"|"&amp;Customers!T175,Mapping!$D$2:$D$99,0))</f>
        <v>1</v>
      </c>
      <c r="U175" s="8" t="n">
        <f aca="false">INDEX(Mapping!$C$2:$C$99,MATCH(U$1&amp;"|"&amp;Customers!U175,Mapping!$D$2:$D$99,0))</f>
        <v>3</v>
      </c>
      <c r="V175" s="8" t="n">
        <f aca="false">INDEX(Mapping!$C$2:$C$99,MATCH(V$1&amp;"|"&amp;Customers!V175,Mapping!$D$2:$D$99,0))</f>
        <v>1</v>
      </c>
      <c r="W175" s="17" t="n">
        <f aca="false">SUMPRODUCT($C175:$V175,Weights!$C$27:$V$27)</f>
        <v>1.83</v>
      </c>
      <c r="X175" s="18" t="n">
        <f aca="false">ROUND($W175,2)</f>
        <v>1.83</v>
      </c>
      <c r="Y175" s="8" t="str">
        <f aca="false">IF($X175&lt;=2,"Low",IF($X175&lt;=3.49,"Medium","High"))</f>
        <v>Low</v>
      </c>
      <c r="Z175" s="8" t="str">
        <f aca="false">IF(OR($F175&gt;=3,$E175=5,$D175=5,$C175=5,$G175=5,$H175=5,$I175=5,$J175=5,Customers!$W175="Yes"),"Yes","No")</f>
        <v>No</v>
      </c>
      <c r="AA175" s="15" t="str">
        <f aca="false">IF($Z175="Yes","High",$Y175)</f>
        <v>Low</v>
      </c>
      <c r="AB175" s="18" t="n">
        <f aca="false">SUMPRODUCT($C175:$G175,Weights!$C$28:$G$28)</f>
        <v>1.95</v>
      </c>
      <c r="AC175" s="18" t="n">
        <f aca="false">SUMPRODUCT($H175:$J175,Weights!$H$28:$J$28)</f>
        <v>1</v>
      </c>
      <c r="AD175" s="18" t="n">
        <f aca="false">SUMPRODUCT($K175:$N175,Weights!$K$28:$N$28)</f>
        <v>3.05</v>
      </c>
      <c r="AE175" s="18" t="n">
        <f aca="false">SUMPRODUCT($O175:$Q175,Weights!$O$28:$Q$28)</f>
        <v>1</v>
      </c>
      <c r="AF175" s="18" t="n">
        <f aca="false">SUMPRODUCT($R175:$V175,Weights!$R$28:$V$28)</f>
        <v>1.9</v>
      </c>
      <c r="AH175" s="18" t="n">
        <f aca="false">SUMPRODUCT($AB175:$AF175,Validation!$D$7:$H$7)</f>
        <v>1.81285714285665</v>
      </c>
      <c r="AI175" s="18" t="n">
        <f aca="false">SUMPRODUCT($AB175:$AF175,Validation!$D$8:$H$8)</f>
        <v>1.84714285714335</v>
      </c>
      <c r="AJ175" s="18" t="n">
        <f aca="false">SUMPRODUCT($AB175:$AF175,Validation!$D$9:$H$9)</f>
        <v>1.94066666666735</v>
      </c>
      <c r="AK175" s="18" t="n">
        <f aca="false">SUMPRODUCT($AB175:$AF175,Validation!$D$10:$H$10)</f>
        <v>1.71933333333265</v>
      </c>
      <c r="AL175" s="18" t="n">
        <f aca="false">SUMPRODUCT($AB175:$AF175,Validation!$D$11:$H$11)</f>
        <v>1.6775</v>
      </c>
      <c r="AM175" s="18" t="n">
        <f aca="false">SUMPRODUCT($AB175:$AF175,Validation!$D$12:$H$12)</f>
        <v>1.9825</v>
      </c>
      <c r="AN175" s="18" t="n">
        <f aca="false">SUMPRODUCT($AB175:$AF175,Validation!$D$13:$H$13)</f>
        <v>1.92222222222175</v>
      </c>
      <c r="AO175" s="18" t="n">
        <f aca="false">SUMPRODUCT($AB175:$AF175,Validation!$D$14:$H$14)</f>
        <v>1.73777777777825</v>
      </c>
      <c r="AP175" s="18" t="n">
        <f aca="false">SUMPRODUCT($AB175:$AF175,Validation!$D$15:$H$15)</f>
        <v>1.8217647058829</v>
      </c>
      <c r="AQ175" s="18" t="n">
        <f aca="false">SUMPRODUCT($AB175:$AF175,Validation!$D$16:$H$16)</f>
        <v>1.8382352941171</v>
      </c>
      <c r="AR175" s="8" t="n">
        <f aca="false">COUNTIF($C175:$V175,"&gt;=4")</f>
        <v>3</v>
      </c>
      <c r="AS175" s="8" t="str">
        <f aca="false">IF($X175&lt;=1.6,"Low",IF($X175&lt;=2.2,"Medium","High"))</f>
        <v>Medium</v>
      </c>
      <c r="AT175" s="8" t="str">
        <f aca="false">IF($AR175=0,"Low",IF($AR175&lt;3,"Medium","High"))</f>
        <v>High</v>
      </c>
      <c r="AU175" s="8" t="str">
        <f aca="false">IF(OR($AS175="High",$AT175="High"),"High",IF(OR($AS175="Medium",$AT175="Medium"),"Medium","Low"))</f>
        <v>High</v>
      </c>
      <c r="AV175" s="15" t="str">
        <f aca="false">IF($Z175="Yes","High",$AU175)</f>
        <v>High</v>
      </c>
    </row>
    <row r="176" customFormat="false" ht="15" hidden="false" customHeight="false" outlineLevel="0" collapsed="false">
      <c r="A176" s="7" t="str">
        <f aca="false">Customers!$A176</f>
        <v>NG-10334</v>
      </c>
      <c r="B176" s="7" t="str">
        <f aca="false">Customers!$B176</f>
        <v>Sole trader</v>
      </c>
      <c r="C176" s="8" t="n">
        <f aca="false">INDEX(Mapping!$C$2:$C$99,MATCH(C$1&amp;"|"&amp;Customers!C176,Mapping!$D$2:$D$99,0))</f>
        <v>2</v>
      </c>
      <c r="D176" s="8" t="n">
        <f aca="false">INDEX(Mapping!$C$2:$C$99,MATCH(D$1&amp;"|"&amp;Customers!D176,Mapping!$D$2:$D$99,0))</f>
        <v>1</v>
      </c>
      <c r="E176" s="8" t="n">
        <f aca="false">INDEX(Mapping!$C$2:$C$99,MATCH(E$1&amp;"|"&amp;Customers!E176,Mapping!$D$2:$D$99,0))</f>
        <v>2</v>
      </c>
      <c r="F176" s="8" t="n">
        <f aca="false">INDEX(Mapping!$C$2:$C$99,MATCH(F$1&amp;"|"&amp;Customers!F176,Mapping!$D$2:$D$99,0))</f>
        <v>1</v>
      </c>
      <c r="G176" s="8" t="n">
        <f aca="false">INDEX(Mapping!$C$2:$C$99,MATCH(G$1&amp;"|"&amp;Customers!G176,Mapping!$D$2:$D$99,0))</f>
        <v>1</v>
      </c>
      <c r="H176" s="8" t="n">
        <f aca="false">INDEX(Mapping!$C$2:$C$99,MATCH(H$1&amp;"|"&amp;Customers!H176,Mapping!$D$2:$D$99,0))</f>
        <v>1</v>
      </c>
      <c r="I176" s="8" t="n">
        <f aca="false">INDEX(Mapping!$C$2:$C$99,MATCH(I$1&amp;"|"&amp;Customers!I176,Mapping!$D$2:$D$99,0))</f>
        <v>1</v>
      </c>
      <c r="J176" s="8" t="n">
        <f aca="false">INDEX(Mapping!$C$2:$C$99,MATCH(J$1&amp;"|"&amp;Customers!J176,Mapping!$D$2:$D$99,0))</f>
        <v>1</v>
      </c>
      <c r="K176" s="8" t="n">
        <f aca="false">INDEX(Mapping!$C$2:$C$99,MATCH(K$1&amp;"|"&amp;Customers!K176,Mapping!$D$2:$D$99,0))</f>
        <v>5</v>
      </c>
      <c r="L176" s="8" t="n">
        <f aca="false">INDEX(Mapping!$C$2:$C$99,MATCH(L$1&amp;"|"&amp;Customers!L176,Mapping!$D$2:$D$99,0))</f>
        <v>4</v>
      </c>
      <c r="M176" s="8" t="n">
        <f aca="false">INDEX(Mapping!$C$2:$C$99,MATCH(M$1&amp;"|"&amp;Customers!M176,Mapping!$D$2:$D$99,0))</f>
        <v>1</v>
      </c>
      <c r="N176" s="8" t="n">
        <f aca="false">INDEX(Mapping!$C$2:$C$99,MATCH(N$1&amp;"|"&amp;Customers!N176,Mapping!$D$2:$D$99,0))</f>
        <v>1</v>
      </c>
      <c r="O176" s="8" t="n">
        <f aca="false">INDEX(Mapping!$C$2:$C$99,MATCH(O$1&amp;"|"&amp;Customers!O176,Mapping!$D$2:$D$99,0))</f>
        <v>4</v>
      </c>
      <c r="P176" s="8" t="n">
        <f aca="false">INDEX(Mapping!$C$2:$C$99,MATCH(P$1&amp;"|"&amp;Customers!P176,Mapping!$D$2:$D$99,0))</f>
        <v>4</v>
      </c>
      <c r="Q176" s="8" t="n">
        <f aca="false">INDEX(Mapping!$C$2:$C$99,MATCH(Q$1&amp;"|"&amp;Customers!Q176,Mapping!$D$2:$D$99,0))</f>
        <v>1</v>
      </c>
      <c r="R176" s="8" t="n">
        <f aca="false">INDEX(Mapping!$C$2:$C$99,MATCH(R$1&amp;"|"&amp;Customers!R176,Mapping!$D$2:$D$99,0))</f>
        <v>2</v>
      </c>
      <c r="S176" s="8" t="n">
        <f aca="false">INDEX(Mapping!$C$2:$C$99,MATCH(S$1&amp;"|"&amp;Customers!S176,Mapping!$D$2:$D$99,0))</f>
        <v>2</v>
      </c>
      <c r="T176" s="8" t="n">
        <f aca="false">INDEX(Mapping!$C$2:$C$99,MATCH(T$1&amp;"|"&amp;Customers!T176,Mapping!$D$2:$D$99,0))</f>
        <v>2</v>
      </c>
      <c r="U176" s="8" t="n">
        <f aca="false">INDEX(Mapping!$C$2:$C$99,MATCH(U$1&amp;"|"&amp;Customers!U176,Mapping!$D$2:$D$99,0))</f>
        <v>3</v>
      </c>
      <c r="V176" s="8" t="n">
        <f aca="false">INDEX(Mapping!$C$2:$C$99,MATCH(V$1&amp;"|"&amp;Customers!V176,Mapping!$D$2:$D$99,0))</f>
        <v>3</v>
      </c>
      <c r="W176" s="17" t="n">
        <f aca="false">SUMPRODUCT($C176:$V176,Weights!$C$27:$V$27)</f>
        <v>1.9925</v>
      </c>
      <c r="X176" s="18" t="n">
        <f aca="false">ROUND($W176,2)</f>
        <v>1.99</v>
      </c>
      <c r="Y176" s="8" t="str">
        <f aca="false">IF($X176&lt;=2,"Low",IF($X176&lt;=3.49,"Medium","High"))</f>
        <v>Low</v>
      </c>
      <c r="Z176" s="8" t="str">
        <f aca="false">IF(OR($F176&gt;=3,$E176=5,$D176=5,$C176=5,$G176=5,$H176=5,$I176=5,$J176=5,Customers!$W176="Yes"),"Yes","No")</f>
        <v>No</v>
      </c>
      <c r="AA176" s="15" t="str">
        <f aca="false">IF($Z176="Yes","High",$Y176)</f>
        <v>Low</v>
      </c>
      <c r="AB176" s="18" t="n">
        <f aca="false">SUMPRODUCT($C176:$G176,Weights!$C$28:$G$28)</f>
        <v>1.45</v>
      </c>
      <c r="AC176" s="18" t="n">
        <f aca="false">SUMPRODUCT($H176:$J176,Weights!$H$28:$J$28)</f>
        <v>1</v>
      </c>
      <c r="AD176" s="18" t="n">
        <f aca="false">SUMPRODUCT($K176:$N176,Weights!$K$28:$N$28)</f>
        <v>3.15</v>
      </c>
      <c r="AE176" s="18" t="n">
        <f aca="false">SUMPRODUCT($O176:$Q176,Weights!$O$28:$Q$28)</f>
        <v>3.4</v>
      </c>
      <c r="AF176" s="18" t="n">
        <f aca="false">SUMPRODUCT($R176:$V176,Weights!$R$28:$V$28)</f>
        <v>2.25</v>
      </c>
      <c r="AH176" s="18" t="n">
        <f aca="false">SUMPRODUCT($AB176:$AF176,Validation!$D$7:$H$7)</f>
        <v>2.0700000000003</v>
      </c>
      <c r="AI176" s="18" t="n">
        <f aca="false">SUMPRODUCT($AB176:$AF176,Validation!$D$8:$H$8)</f>
        <v>1.9149999999997</v>
      </c>
      <c r="AJ176" s="18" t="n">
        <f aca="false">SUMPRODUCT($AB176:$AF176,Validation!$D$9:$H$9)</f>
        <v>2.12483333333325</v>
      </c>
      <c r="AK176" s="18" t="n">
        <f aca="false">SUMPRODUCT($AB176:$AF176,Validation!$D$10:$H$10)</f>
        <v>1.86016666666675</v>
      </c>
      <c r="AL176" s="18" t="n">
        <f aca="false">SUMPRODUCT($AB176:$AF176,Validation!$D$11:$H$11)</f>
        <v>1.8478125</v>
      </c>
      <c r="AM176" s="18" t="n">
        <f aca="false">SUMPRODUCT($AB176:$AF176,Validation!$D$12:$H$12)</f>
        <v>2.1371875</v>
      </c>
      <c r="AN176" s="18" t="n">
        <f aca="false">SUMPRODUCT($AB176:$AF176,Validation!$D$13:$H$13)</f>
        <v>1.8361111111109</v>
      </c>
      <c r="AO176" s="18" t="n">
        <f aca="false">SUMPRODUCT($AB176:$AF176,Validation!$D$14:$H$14)</f>
        <v>2.1488888888891</v>
      </c>
      <c r="AP176" s="18" t="n">
        <f aca="false">SUMPRODUCT($AB176:$AF176,Validation!$D$15:$H$15)</f>
        <v>1.9622058823527</v>
      </c>
      <c r="AQ176" s="18" t="n">
        <f aca="false">SUMPRODUCT($AB176:$AF176,Validation!$D$16:$H$16)</f>
        <v>2.0227941176473</v>
      </c>
      <c r="AR176" s="8" t="n">
        <f aca="false">COUNTIF($C176:$V176,"&gt;=4")</f>
        <v>4</v>
      </c>
      <c r="AS176" s="8" t="str">
        <f aca="false">IF($X176&lt;=1.6,"Low",IF($X176&lt;=2.2,"Medium","High"))</f>
        <v>Medium</v>
      </c>
      <c r="AT176" s="8" t="str">
        <f aca="false">IF($AR176=0,"Low",IF($AR176&lt;3,"Medium","High"))</f>
        <v>High</v>
      </c>
      <c r="AU176" s="8" t="str">
        <f aca="false">IF(OR($AS176="High",$AT176="High"),"High",IF(OR($AS176="Medium",$AT176="Medium"),"Medium","Low"))</f>
        <v>High</v>
      </c>
      <c r="AV176" s="15" t="str">
        <f aca="false">IF($Z176="Yes","High",$AU176)</f>
        <v>High</v>
      </c>
    </row>
    <row r="177" customFormat="false" ht="15" hidden="false" customHeight="false" outlineLevel="0" collapsed="false">
      <c r="A177" s="7" t="str">
        <f aca="false">Customers!$A177</f>
        <v>NG-10258</v>
      </c>
      <c r="B177" s="7" t="str">
        <f aca="false">Customers!$B177</f>
        <v>Personal</v>
      </c>
      <c r="C177" s="8" t="n">
        <f aca="false">INDEX(Mapping!$C$2:$C$99,MATCH(C$1&amp;"|"&amp;Customers!C177,Mapping!$D$2:$D$99,0))</f>
        <v>1</v>
      </c>
      <c r="D177" s="8" t="n">
        <f aca="false">INDEX(Mapping!$C$2:$C$99,MATCH(D$1&amp;"|"&amp;Customers!D177,Mapping!$D$2:$D$99,0))</f>
        <v>1</v>
      </c>
      <c r="E177" s="8" t="n">
        <f aca="false">INDEX(Mapping!$C$2:$C$99,MATCH(E$1&amp;"|"&amp;Customers!E177,Mapping!$D$2:$D$99,0))</f>
        <v>1</v>
      </c>
      <c r="F177" s="8" t="n">
        <f aca="false">INDEX(Mapping!$C$2:$C$99,MATCH(F$1&amp;"|"&amp;Customers!F177,Mapping!$D$2:$D$99,0))</f>
        <v>1</v>
      </c>
      <c r="G177" s="8" t="n">
        <f aca="false">INDEX(Mapping!$C$2:$C$99,MATCH(G$1&amp;"|"&amp;Customers!G177,Mapping!$D$2:$D$99,0))</f>
        <v>1</v>
      </c>
      <c r="H177" s="8" t="n">
        <f aca="false">INDEX(Mapping!$C$2:$C$99,MATCH(H$1&amp;"|"&amp;Customers!H177,Mapping!$D$2:$D$99,0))</f>
        <v>1</v>
      </c>
      <c r="I177" s="8" t="n">
        <f aca="false">INDEX(Mapping!$C$2:$C$99,MATCH(I$1&amp;"|"&amp;Customers!I177,Mapping!$D$2:$D$99,0))</f>
        <v>1</v>
      </c>
      <c r="J177" s="8" t="n">
        <f aca="false">INDEX(Mapping!$C$2:$C$99,MATCH(J$1&amp;"|"&amp;Customers!J177,Mapping!$D$2:$D$99,0))</f>
        <v>1</v>
      </c>
      <c r="K177" s="8" t="n">
        <f aca="false">INDEX(Mapping!$C$2:$C$99,MATCH(K$1&amp;"|"&amp;Customers!K177,Mapping!$D$2:$D$99,0))</f>
        <v>3</v>
      </c>
      <c r="L177" s="8" t="n">
        <f aca="false">INDEX(Mapping!$C$2:$C$99,MATCH(L$1&amp;"|"&amp;Customers!L177,Mapping!$D$2:$D$99,0))</f>
        <v>3</v>
      </c>
      <c r="M177" s="8" t="n">
        <f aca="false">INDEX(Mapping!$C$2:$C$99,MATCH(M$1&amp;"|"&amp;Customers!M177,Mapping!$D$2:$D$99,0))</f>
        <v>2</v>
      </c>
      <c r="N177" s="8" t="n">
        <f aca="false">INDEX(Mapping!$C$2:$C$99,MATCH(N$1&amp;"|"&amp;Customers!N177,Mapping!$D$2:$D$99,0))</f>
        <v>1</v>
      </c>
      <c r="O177" s="8" t="n">
        <f aca="false">INDEX(Mapping!$C$2:$C$99,MATCH(O$1&amp;"|"&amp;Customers!O177,Mapping!$D$2:$D$99,0))</f>
        <v>2</v>
      </c>
      <c r="P177" s="8" t="n">
        <f aca="false">INDEX(Mapping!$C$2:$C$99,MATCH(P$1&amp;"|"&amp;Customers!P177,Mapping!$D$2:$D$99,0))</f>
        <v>1</v>
      </c>
      <c r="Q177" s="8" t="n">
        <f aca="false">INDEX(Mapping!$C$2:$C$99,MATCH(Q$1&amp;"|"&amp;Customers!Q177,Mapping!$D$2:$D$99,0))</f>
        <v>3</v>
      </c>
      <c r="R177" s="8" t="n">
        <f aca="false">INDEX(Mapping!$C$2:$C$99,MATCH(R$1&amp;"|"&amp;Customers!R177,Mapping!$D$2:$D$99,0))</f>
        <v>1</v>
      </c>
      <c r="S177" s="8" t="n">
        <f aca="false">INDEX(Mapping!$C$2:$C$99,MATCH(S$1&amp;"|"&amp;Customers!S177,Mapping!$D$2:$D$99,0))</f>
        <v>2</v>
      </c>
      <c r="T177" s="8" t="n">
        <f aca="false">INDEX(Mapping!$C$2:$C$99,MATCH(T$1&amp;"|"&amp;Customers!T177,Mapping!$D$2:$D$99,0))</f>
        <v>2</v>
      </c>
      <c r="U177" s="8" t="n">
        <f aca="false">INDEX(Mapping!$C$2:$C$99,MATCH(U$1&amp;"|"&amp;Customers!U177,Mapping!$D$2:$D$99,0))</f>
        <v>4</v>
      </c>
      <c r="V177" s="8" t="n">
        <f aca="false">INDEX(Mapping!$C$2:$C$99,MATCH(V$1&amp;"|"&amp;Customers!V177,Mapping!$D$2:$D$99,0))</f>
        <v>1</v>
      </c>
      <c r="W177" s="17" t="n">
        <f aca="false">SUMPRODUCT($C177:$V177,Weights!$C$27:$V$27)</f>
        <v>1.5175</v>
      </c>
      <c r="X177" s="18" t="n">
        <f aca="false">ROUND($W177,2)</f>
        <v>1.52</v>
      </c>
      <c r="Y177" s="8" t="str">
        <f aca="false">IF($X177&lt;=2,"Low",IF($X177&lt;=3.49,"Medium","High"))</f>
        <v>Low</v>
      </c>
      <c r="Z177" s="8" t="str">
        <f aca="false">IF(OR($F177&gt;=3,$E177=5,$D177=5,$C177=5,$G177=5,$H177=5,$I177=5,$J177=5,Customers!$W177="Yes"),"Yes","No")</f>
        <v>No</v>
      </c>
      <c r="AA177" s="15" t="str">
        <f aca="false">IF($Z177="Yes","High",$Y177)</f>
        <v>Low</v>
      </c>
      <c r="AB177" s="18" t="n">
        <f aca="false">SUMPRODUCT($C177:$G177,Weights!$C$28:$G$28)</f>
        <v>1</v>
      </c>
      <c r="AC177" s="18" t="n">
        <f aca="false">SUMPRODUCT($H177:$J177,Weights!$H$28:$J$28)</f>
        <v>1</v>
      </c>
      <c r="AD177" s="18" t="n">
        <f aca="false">SUMPRODUCT($K177:$N177,Weights!$K$28:$N$28)</f>
        <v>2.45</v>
      </c>
      <c r="AE177" s="18" t="n">
        <f aca="false">SUMPRODUCT($O177:$Q177,Weights!$O$28:$Q$28)</f>
        <v>1.85</v>
      </c>
      <c r="AF177" s="18" t="n">
        <f aca="false">SUMPRODUCT($R177:$V177,Weights!$R$28:$V$28)</f>
        <v>1.95</v>
      </c>
      <c r="AH177" s="18" t="n">
        <f aca="false">SUMPRODUCT($AB177:$AF177,Validation!$D$7:$H$7)</f>
        <v>1.5914285714286</v>
      </c>
      <c r="AI177" s="18" t="n">
        <f aca="false">SUMPRODUCT($AB177:$AF177,Validation!$D$8:$H$8)</f>
        <v>1.4435714285714</v>
      </c>
      <c r="AJ177" s="18" t="n">
        <f aca="false">SUMPRODUCT($AB177:$AF177,Validation!$D$9:$H$9)</f>
        <v>1.5865000000002</v>
      </c>
      <c r="AK177" s="18" t="n">
        <f aca="false">SUMPRODUCT($AB177:$AF177,Validation!$D$10:$H$10)</f>
        <v>1.4484999999998</v>
      </c>
      <c r="AL177" s="18" t="n">
        <f aca="false">SUMPRODUCT($AB177:$AF177,Validation!$D$11:$H$11)</f>
        <v>1.4009375</v>
      </c>
      <c r="AM177" s="18" t="n">
        <f aca="false">SUMPRODUCT($AB177:$AF177,Validation!$D$12:$H$12)</f>
        <v>1.6340625</v>
      </c>
      <c r="AN177" s="18" t="n">
        <f aca="false">SUMPRODUCT($AB177:$AF177,Validation!$D$13:$H$13)</f>
        <v>1.48055555555555</v>
      </c>
      <c r="AO177" s="18" t="n">
        <f aca="false">SUMPRODUCT($AB177:$AF177,Validation!$D$14:$H$14)</f>
        <v>1.55444444444445</v>
      </c>
      <c r="AP177" s="18" t="n">
        <f aca="false">SUMPRODUCT($AB177:$AF177,Validation!$D$15:$H$15)</f>
        <v>1.46661764705895</v>
      </c>
      <c r="AQ177" s="18" t="n">
        <f aca="false">SUMPRODUCT($AB177:$AF177,Validation!$D$16:$H$16)</f>
        <v>1.56838235294105</v>
      </c>
      <c r="AR177" s="8" t="n">
        <f aca="false">COUNTIF($C177:$V177,"&gt;=4")</f>
        <v>1</v>
      </c>
      <c r="AS177" s="8" t="str">
        <f aca="false">IF($X177&lt;=1.6,"Low",IF($X177&lt;=2.2,"Medium","High"))</f>
        <v>Low</v>
      </c>
      <c r="AT177" s="8" t="str">
        <f aca="false">IF($AR177=0,"Low",IF($AR177&lt;3,"Medium","High"))</f>
        <v>Medium</v>
      </c>
      <c r="AU177" s="8" t="str">
        <f aca="false">IF(OR($AS177="High",$AT177="High"),"High",IF(OR($AS177="Medium",$AT177="Medium"),"Medium","Low"))</f>
        <v>Medium</v>
      </c>
      <c r="AV177" s="15" t="str">
        <f aca="false">IF($Z177="Yes","High",$AU177)</f>
        <v>Medium</v>
      </c>
    </row>
    <row r="178" customFormat="false" ht="15" hidden="false" customHeight="false" outlineLevel="0" collapsed="false">
      <c r="A178" s="7" t="str">
        <f aca="false">Customers!$A178</f>
        <v>NG-10073</v>
      </c>
      <c r="B178" s="7" t="str">
        <f aca="false">Customers!$B178</f>
        <v>Personal</v>
      </c>
      <c r="C178" s="8" t="n">
        <f aca="false">INDEX(Mapping!$C$2:$C$99,MATCH(C$1&amp;"|"&amp;Customers!C178,Mapping!$D$2:$D$99,0))</f>
        <v>1</v>
      </c>
      <c r="D178" s="8" t="n">
        <f aca="false">INDEX(Mapping!$C$2:$C$99,MATCH(D$1&amp;"|"&amp;Customers!D178,Mapping!$D$2:$D$99,0))</f>
        <v>1</v>
      </c>
      <c r="E178" s="8" t="n">
        <f aca="false">INDEX(Mapping!$C$2:$C$99,MATCH(E$1&amp;"|"&amp;Customers!E178,Mapping!$D$2:$D$99,0))</f>
        <v>1</v>
      </c>
      <c r="F178" s="8" t="n">
        <f aca="false">INDEX(Mapping!$C$2:$C$99,MATCH(F$1&amp;"|"&amp;Customers!F178,Mapping!$D$2:$D$99,0))</f>
        <v>1</v>
      </c>
      <c r="G178" s="8" t="n">
        <f aca="false">INDEX(Mapping!$C$2:$C$99,MATCH(G$1&amp;"|"&amp;Customers!G178,Mapping!$D$2:$D$99,0))</f>
        <v>1</v>
      </c>
      <c r="H178" s="8" t="n">
        <f aca="false">INDEX(Mapping!$C$2:$C$99,MATCH(H$1&amp;"|"&amp;Customers!H178,Mapping!$D$2:$D$99,0))</f>
        <v>1</v>
      </c>
      <c r="I178" s="8" t="n">
        <f aca="false">INDEX(Mapping!$C$2:$C$99,MATCH(I$1&amp;"|"&amp;Customers!I178,Mapping!$D$2:$D$99,0))</f>
        <v>1</v>
      </c>
      <c r="J178" s="8" t="n">
        <f aca="false">INDEX(Mapping!$C$2:$C$99,MATCH(J$1&amp;"|"&amp;Customers!J178,Mapping!$D$2:$D$99,0))</f>
        <v>1</v>
      </c>
      <c r="K178" s="8" t="n">
        <f aca="false">INDEX(Mapping!$C$2:$C$99,MATCH(K$1&amp;"|"&amp;Customers!K178,Mapping!$D$2:$D$99,0))</f>
        <v>1</v>
      </c>
      <c r="L178" s="8" t="n">
        <f aca="false">INDEX(Mapping!$C$2:$C$99,MATCH(L$1&amp;"|"&amp;Customers!L178,Mapping!$D$2:$D$99,0))</f>
        <v>2</v>
      </c>
      <c r="M178" s="8" t="n">
        <f aca="false">INDEX(Mapping!$C$2:$C$99,MATCH(M$1&amp;"|"&amp;Customers!M178,Mapping!$D$2:$D$99,0))</f>
        <v>4</v>
      </c>
      <c r="N178" s="8" t="n">
        <f aca="false">INDEX(Mapping!$C$2:$C$99,MATCH(N$1&amp;"|"&amp;Customers!N178,Mapping!$D$2:$D$99,0))</f>
        <v>5</v>
      </c>
      <c r="O178" s="8" t="n">
        <f aca="false">INDEX(Mapping!$C$2:$C$99,MATCH(O$1&amp;"|"&amp;Customers!O178,Mapping!$D$2:$D$99,0))</f>
        <v>3</v>
      </c>
      <c r="P178" s="8" t="n">
        <f aca="false">INDEX(Mapping!$C$2:$C$99,MATCH(P$1&amp;"|"&amp;Customers!P178,Mapping!$D$2:$D$99,0))</f>
        <v>3</v>
      </c>
      <c r="Q178" s="8" t="n">
        <f aca="false">INDEX(Mapping!$C$2:$C$99,MATCH(Q$1&amp;"|"&amp;Customers!Q178,Mapping!$D$2:$D$99,0))</f>
        <v>1</v>
      </c>
      <c r="R178" s="8" t="n">
        <f aca="false">INDEX(Mapping!$C$2:$C$99,MATCH(R$1&amp;"|"&amp;Customers!R178,Mapping!$D$2:$D$99,0))</f>
        <v>1</v>
      </c>
      <c r="S178" s="8" t="n">
        <f aca="false">INDEX(Mapping!$C$2:$C$99,MATCH(S$1&amp;"|"&amp;Customers!S178,Mapping!$D$2:$D$99,0))</f>
        <v>3</v>
      </c>
      <c r="T178" s="8" t="n">
        <f aca="false">INDEX(Mapping!$C$2:$C$99,MATCH(T$1&amp;"|"&amp;Customers!T178,Mapping!$D$2:$D$99,0))</f>
        <v>1</v>
      </c>
      <c r="U178" s="8" t="n">
        <f aca="false">INDEX(Mapping!$C$2:$C$99,MATCH(U$1&amp;"|"&amp;Customers!U178,Mapping!$D$2:$D$99,0))</f>
        <v>1</v>
      </c>
      <c r="V178" s="8" t="n">
        <f aca="false">INDEX(Mapping!$C$2:$C$99,MATCH(V$1&amp;"|"&amp;Customers!V178,Mapping!$D$2:$D$99,0))</f>
        <v>1</v>
      </c>
      <c r="W178" s="17" t="n">
        <f aca="false">SUMPRODUCT($C178:$V178,Weights!$C$27:$V$27)</f>
        <v>1.57</v>
      </c>
      <c r="X178" s="18" t="n">
        <f aca="false">ROUND($W178,2)</f>
        <v>1.57</v>
      </c>
      <c r="Y178" s="8" t="str">
        <f aca="false">IF($X178&lt;=2,"Low",IF($X178&lt;=3.49,"Medium","High"))</f>
        <v>Low</v>
      </c>
      <c r="Z178" s="8" t="str">
        <f aca="false">IF(OR($F178&gt;=3,$E178=5,$D178=5,$C178=5,$G178=5,$H178=5,$I178=5,$J178=5,Customers!$W178="Yes"),"Yes","No")</f>
        <v>No</v>
      </c>
      <c r="AA178" s="15" t="str">
        <f aca="false">IF($Z178="Yes","High",$Y178)</f>
        <v>Low</v>
      </c>
      <c r="AB178" s="18" t="n">
        <f aca="false">SUMPRODUCT($C178:$G178,Weights!$C$28:$G$28)</f>
        <v>1</v>
      </c>
      <c r="AC178" s="18" t="n">
        <f aca="false">SUMPRODUCT($H178:$J178,Weights!$H$28:$J$28)</f>
        <v>1</v>
      </c>
      <c r="AD178" s="18" t="n">
        <f aca="false">SUMPRODUCT($K178:$N178,Weights!$K$28:$N$28)</f>
        <v>2.6</v>
      </c>
      <c r="AE178" s="18" t="n">
        <f aca="false">SUMPRODUCT($O178:$Q178,Weights!$O$28:$Q$28)</f>
        <v>2.6</v>
      </c>
      <c r="AF178" s="18" t="n">
        <f aca="false">SUMPRODUCT($R178:$V178,Weights!$R$28:$V$28)</f>
        <v>1.6</v>
      </c>
      <c r="AH178" s="18" t="n">
        <f aca="false">SUMPRODUCT($AB178:$AF178,Validation!$D$7:$H$7)</f>
        <v>1.6514285714286</v>
      </c>
      <c r="AI178" s="18" t="n">
        <f aca="false">SUMPRODUCT($AB178:$AF178,Validation!$D$8:$H$8)</f>
        <v>1.4885714285714</v>
      </c>
      <c r="AJ178" s="18" t="n">
        <f aca="false">SUMPRODUCT($AB178:$AF178,Validation!$D$9:$H$9)</f>
        <v>1.646</v>
      </c>
      <c r="AK178" s="18" t="n">
        <f aca="false">SUMPRODUCT($AB178:$AF178,Validation!$D$10:$H$10)</f>
        <v>1.494</v>
      </c>
      <c r="AL178" s="18" t="n">
        <f aca="false">SUMPRODUCT($AB178:$AF178,Validation!$D$11:$H$11)</f>
        <v>1.44125</v>
      </c>
      <c r="AM178" s="18" t="n">
        <f aca="false">SUMPRODUCT($AB178:$AF178,Validation!$D$12:$H$12)</f>
        <v>1.69875</v>
      </c>
      <c r="AN178" s="18" t="n">
        <f aca="false">SUMPRODUCT($AB178:$AF178,Validation!$D$13:$H$13)</f>
        <v>1.4555555555554</v>
      </c>
      <c r="AO178" s="18" t="n">
        <f aca="false">SUMPRODUCT($AB178:$AF178,Validation!$D$14:$H$14)</f>
        <v>1.6844444444446</v>
      </c>
      <c r="AP178" s="18" t="n">
        <f aca="false">SUMPRODUCT($AB178:$AF178,Validation!$D$15:$H$15)</f>
        <v>1.5664705882352</v>
      </c>
      <c r="AQ178" s="18" t="n">
        <f aca="false">SUMPRODUCT($AB178:$AF178,Validation!$D$16:$H$16)</f>
        <v>1.5735294117648</v>
      </c>
      <c r="AR178" s="8" t="n">
        <f aca="false">COUNTIF($C178:$V178,"&gt;=4")</f>
        <v>2</v>
      </c>
      <c r="AS178" s="8" t="str">
        <f aca="false">IF($X178&lt;=1.6,"Low",IF($X178&lt;=2.2,"Medium","High"))</f>
        <v>Low</v>
      </c>
      <c r="AT178" s="8" t="str">
        <f aca="false">IF($AR178=0,"Low",IF($AR178&lt;3,"Medium","High"))</f>
        <v>Medium</v>
      </c>
      <c r="AU178" s="8" t="str">
        <f aca="false">IF(OR($AS178="High",$AT178="High"),"High",IF(OR($AS178="Medium",$AT178="Medium"),"Medium","Low"))</f>
        <v>Medium</v>
      </c>
      <c r="AV178" s="15" t="str">
        <f aca="false">IF($Z178="Yes","High",$AU178)</f>
        <v>Medium</v>
      </c>
    </row>
    <row r="179" customFormat="false" ht="15" hidden="false" customHeight="false" outlineLevel="0" collapsed="false">
      <c r="A179" s="7" t="str">
        <f aca="false">Customers!$A179</f>
        <v>NG-10175</v>
      </c>
      <c r="B179" s="7" t="str">
        <f aca="false">Customers!$B179</f>
        <v>Personal</v>
      </c>
      <c r="C179" s="8" t="n">
        <f aca="false">INDEX(Mapping!$C$2:$C$99,MATCH(C$1&amp;"|"&amp;Customers!C179,Mapping!$D$2:$D$99,0))</f>
        <v>1</v>
      </c>
      <c r="D179" s="8" t="n">
        <f aca="false">INDEX(Mapping!$C$2:$C$99,MATCH(D$1&amp;"|"&amp;Customers!D179,Mapping!$D$2:$D$99,0))</f>
        <v>1</v>
      </c>
      <c r="E179" s="8" t="n">
        <f aca="false">INDEX(Mapping!$C$2:$C$99,MATCH(E$1&amp;"|"&amp;Customers!E179,Mapping!$D$2:$D$99,0))</f>
        <v>1</v>
      </c>
      <c r="F179" s="8" t="n">
        <f aca="false">INDEX(Mapping!$C$2:$C$99,MATCH(F$1&amp;"|"&amp;Customers!F179,Mapping!$D$2:$D$99,0))</f>
        <v>1</v>
      </c>
      <c r="G179" s="8" t="n">
        <f aca="false">INDEX(Mapping!$C$2:$C$99,MATCH(G$1&amp;"|"&amp;Customers!G179,Mapping!$D$2:$D$99,0))</f>
        <v>1</v>
      </c>
      <c r="H179" s="8" t="n">
        <f aca="false">INDEX(Mapping!$C$2:$C$99,MATCH(H$1&amp;"|"&amp;Customers!H179,Mapping!$D$2:$D$99,0))</f>
        <v>1</v>
      </c>
      <c r="I179" s="8" t="n">
        <f aca="false">INDEX(Mapping!$C$2:$C$99,MATCH(I$1&amp;"|"&amp;Customers!I179,Mapping!$D$2:$D$99,0))</f>
        <v>1</v>
      </c>
      <c r="J179" s="8" t="n">
        <f aca="false">INDEX(Mapping!$C$2:$C$99,MATCH(J$1&amp;"|"&amp;Customers!J179,Mapping!$D$2:$D$99,0))</f>
        <v>1</v>
      </c>
      <c r="K179" s="8" t="n">
        <f aca="false">INDEX(Mapping!$C$2:$C$99,MATCH(K$1&amp;"|"&amp;Customers!K179,Mapping!$D$2:$D$99,0))</f>
        <v>2</v>
      </c>
      <c r="L179" s="8" t="n">
        <f aca="false">INDEX(Mapping!$C$2:$C$99,MATCH(L$1&amp;"|"&amp;Customers!L179,Mapping!$D$2:$D$99,0))</f>
        <v>2</v>
      </c>
      <c r="M179" s="8" t="n">
        <f aca="false">INDEX(Mapping!$C$2:$C$99,MATCH(M$1&amp;"|"&amp;Customers!M179,Mapping!$D$2:$D$99,0))</f>
        <v>1</v>
      </c>
      <c r="N179" s="8" t="n">
        <f aca="false">INDEX(Mapping!$C$2:$C$99,MATCH(N$1&amp;"|"&amp;Customers!N179,Mapping!$D$2:$D$99,0))</f>
        <v>1</v>
      </c>
      <c r="O179" s="8" t="n">
        <f aca="false">INDEX(Mapping!$C$2:$C$99,MATCH(O$1&amp;"|"&amp;Customers!O179,Mapping!$D$2:$D$99,0))</f>
        <v>3</v>
      </c>
      <c r="P179" s="8" t="n">
        <f aca="false">INDEX(Mapping!$C$2:$C$99,MATCH(P$1&amp;"|"&amp;Customers!P179,Mapping!$D$2:$D$99,0))</f>
        <v>3</v>
      </c>
      <c r="Q179" s="8" t="n">
        <f aca="false">INDEX(Mapping!$C$2:$C$99,MATCH(Q$1&amp;"|"&amp;Customers!Q179,Mapping!$D$2:$D$99,0))</f>
        <v>2</v>
      </c>
      <c r="R179" s="8" t="n">
        <f aca="false">INDEX(Mapping!$C$2:$C$99,MATCH(R$1&amp;"|"&amp;Customers!R179,Mapping!$D$2:$D$99,0))</f>
        <v>4</v>
      </c>
      <c r="S179" s="8" t="n">
        <f aca="false">INDEX(Mapping!$C$2:$C$99,MATCH(S$1&amp;"|"&amp;Customers!S179,Mapping!$D$2:$D$99,0))</f>
        <v>2</v>
      </c>
      <c r="T179" s="8" t="n">
        <f aca="false">INDEX(Mapping!$C$2:$C$99,MATCH(T$1&amp;"|"&amp;Customers!T179,Mapping!$D$2:$D$99,0))</f>
        <v>1</v>
      </c>
      <c r="U179" s="8" t="n">
        <f aca="false">INDEX(Mapping!$C$2:$C$99,MATCH(U$1&amp;"|"&amp;Customers!U179,Mapping!$D$2:$D$99,0))</f>
        <v>1</v>
      </c>
      <c r="V179" s="8" t="n">
        <f aca="false">INDEX(Mapping!$C$2:$C$99,MATCH(V$1&amp;"|"&amp;Customers!V179,Mapping!$D$2:$D$99,0))</f>
        <v>1</v>
      </c>
      <c r="W179" s="17" t="n">
        <f aca="false">SUMPRODUCT($C179:$V179,Weights!$C$27:$V$27)</f>
        <v>1.4575</v>
      </c>
      <c r="X179" s="18" t="n">
        <f aca="false">ROUND($W179,2)</f>
        <v>1.46</v>
      </c>
      <c r="Y179" s="8" t="str">
        <f aca="false">IF($X179&lt;=2,"Low",IF($X179&lt;=3.49,"Medium","High"))</f>
        <v>Low</v>
      </c>
      <c r="Z179" s="8" t="str">
        <f aca="false">IF(OR($F179&gt;=3,$E179=5,$D179=5,$C179=5,$G179=5,$H179=5,$I179=5,$J179=5,Customers!$W179="Yes"),"Yes","No")</f>
        <v>No</v>
      </c>
      <c r="AA179" s="15" t="str">
        <f aca="false">IF($Z179="Yes","High",$Y179)</f>
        <v>Low</v>
      </c>
      <c r="AB179" s="18" t="n">
        <f aca="false">SUMPRODUCT($C179:$G179,Weights!$C$28:$G$28)</f>
        <v>1</v>
      </c>
      <c r="AC179" s="18" t="n">
        <f aca="false">SUMPRODUCT($H179:$J179,Weights!$H$28:$J$28)</f>
        <v>1</v>
      </c>
      <c r="AD179" s="18" t="n">
        <f aca="false">SUMPRODUCT($K179:$N179,Weights!$K$28:$N$28)</f>
        <v>1.6</v>
      </c>
      <c r="AE179" s="18" t="n">
        <f aca="false">SUMPRODUCT($O179:$Q179,Weights!$O$28:$Q$28)</f>
        <v>2.8</v>
      </c>
      <c r="AF179" s="18" t="n">
        <f aca="false">SUMPRODUCT($R179:$V179,Weights!$R$28:$V$28)</f>
        <v>2.05</v>
      </c>
      <c r="AH179" s="18" t="n">
        <f aca="false">SUMPRODUCT($AB179:$AF179,Validation!$D$7:$H$7)</f>
        <v>1.52285714285785</v>
      </c>
      <c r="AI179" s="18" t="n">
        <f aca="false">SUMPRODUCT($AB179:$AF179,Validation!$D$8:$H$8)</f>
        <v>1.39214285714215</v>
      </c>
      <c r="AJ179" s="18" t="n">
        <f aca="false">SUMPRODUCT($AB179:$AF179,Validation!$D$9:$H$9)</f>
        <v>1.5184999999996</v>
      </c>
      <c r="AK179" s="18" t="n">
        <f aca="false">SUMPRODUCT($AB179:$AF179,Validation!$D$10:$H$10)</f>
        <v>1.3965000000004</v>
      </c>
      <c r="AL179" s="18" t="n">
        <f aca="false">SUMPRODUCT($AB179:$AF179,Validation!$D$11:$H$11)</f>
        <v>1.4396875</v>
      </c>
      <c r="AM179" s="18" t="n">
        <f aca="false">SUMPRODUCT($AB179:$AF179,Validation!$D$12:$H$12)</f>
        <v>1.4753125</v>
      </c>
      <c r="AN179" s="18" t="n">
        <f aca="false">SUMPRODUCT($AB179:$AF179,Validation!$D$13:$H$13)</f>
        <v>1.30833333333355</v>
      </c>
      <c r="AO179" s="18" t="n">
        <f aca="false">SUMPRODUCT($AB179:$AF179,Validation!$D$14:$H$14)</f>
        <v>1.60666666666645</v>
      </c>
      <c r="AP179" s="18" t="n">
        <f aca="false">SUMPRODUCT($AB179:$AF179,Validation!$D$15:$H$15)</f>
        <v>1.3877941176466</v>
      </c>
      <c r="AQ179" s="18" t="n">
        <f aca="false">SUMPRODUCT($AB179:$AF179,Validation!$D$16:$H$16)</f>
        <v>1.5272058823534</v>
      </c>
      <c r="AR179" s="8" t="n">
        <f aca="false">COUNTIF($C179:$V179,"&gt;=4")</f>
        <v>1</v>
      </c>
      <c r="AS179" s="8" t="str">
        <f aca="false">IF($X179&lt;=1.6,"Low",IF($X179&lt;=2.2,"Medium","High"))</f>
        <v>Low</v>
      </c>
      <c r="AT179" s="8" t="str">
        <f aca="false">IF($AR179=0,"Low",IF($AR179&lt;3,"Medium","High"))</f>
        <v>Medium</v>
      </c>
      <c r="AU179" s="8" t="str">
        <f aca="false">IF(OR($AS179="High",$AT179="High"),"High",IF(OR($AS179="Medium",$AT179="Medium"),"Medium","Low"))</f>
        <v>Medium</v>
      </c>
      <c r="AV179" s="15" t="str">
        <f aca="false">IF($Z179="Yes","High",$AU179)</f>
        <v>Medium</v>
      </c>
    </row>
    <row r="180" customFormat="false" ht="15" hidden="false" customHeight="false" outlineLevel="0" collapsed="false">
      <c r="A180" s="7" t="str">
        <f aca="false">Customers!$A180</f>
        <v>NG-10064</v>
      </c>
      <c r="B180" s="7" t="str">
        <f aca="false">Customers!$B180</f>
        <v>Personal</v>
      </c>
      <c r="C180" s="8" t="n">
        <f aca="false">INDEX(Mapping!$C$2:$C$99,MATCH(C$1&amp;"|"&amp;Customers!C180,Mapping!$D$2:$D$99,0))</f>
        <v>1</v>
      </c>
      <c r="D180" s="8" t="n">
        <f aca="false">INDEX(Mapping!$C$2:$C$99,MATCH(D$1&amp;"|"&amp;Customers!D180,Mapping!$D$2:$D$99,0))</f>
        <v>1</v>
      </c>
      <c r="E180" s="8" t="n">
        <f aca="false">INDEX(Mapping!$C$2:$C$99,MATCH(E$1&amp;"|"&amp;Customers!E180,Mapping!$D$2:$D$99,0))</f>
        <v>1</v>
      </c>
      <c r="F180" s="8" t="n">
        <f aca="false">INDEX(Mapping!$C$2:$C$99,MATCH(F$1&amp;"|"&amp;Customers!F180,Mapping!$D$2:$D$99,0))</f>
        <v>1</v>
      </c>
      <c r="G180" s="8" t="n">
        <f aca="false">INDEX(Mapping!$C$2:$C$99,MATCH(G$1&amp;"|"&amp;Customers!G180,Mapping!$D$2:$D$99,0))</f>
        <v>1</v>
      </c>
      <c r="H180" s="8" t="n">
        <f aca="false">INDEX(Mapping!$C$2:$C$99,MATCH(H$1&amp;"|"&amp;Customers!H180,Mapping!$D$2:$D$99,0))</f>
        <v>1</v>
      </c>
      <c r="I180" s="8" t="n">
        <f aca="false">INDEX(Mapping!$C$2:$C$99,MATCH(I$1&amp;"|"&amp;Customers!I180,Mapping!$D$2:$D$99,0))</f>
        <v>2</v>
      </c>
      <c r="J180" s="8" t="n">
        <f aca="false">INDEX(Mapping!$C$2:$C$99,MATCH(J$1&amp;"|"&amp;Customers!J180,Mapping!$D$2:$D$99,0))</f>
        <v>2</v>
      </c>
      <c r="K180" s="8" t="n">
        <f aca="false">INDEX(Mapping!$C$2:$C$99,MATCH(K$1&amp;"|"&amp;Customers!K180,Mapping!$D$2:$D$99,0))</f>
        <v>2</v>
      </c>
      <c r="L180" s="8" t="n">
        <f aca="false">INDEX(Mapping!$C$2:$C$99,MATCH(L$1&amp;"|"&amp;Customers!L180,Mapping!$D$2:$D$99,0))</f>
        <v>2</v>
      </c>
      <c r="M180" s="8" t="n">
        <f aca="false">INDEX(Mapping!$C$2:$C$99,MATCH(M$1&amp;"|"&amp;Customers!M180,Mapping!$D$2:$D$99,0))</f>
        <v>4</v>
      </c>
      <c r="N180" s="8" t="n">
        <f aca="false">INDEX(Mapping!$C$2:$C$99,MATCH(N$1&amp;"|"&amp;Customers!N180,Mapping!$D$2:$D$99,0))</f>
        <v>1</v>
      </c>
      <c r="O180" s="8" t="n">
        <f aca="false">INDEX(Mapping!$C$2:$C$99,MATCH(O$1&amp;"|"&amp;Customers!O180,Mapping!$D$2:$D$99,0))</f>
        <v>3</v>
      </c>
      <c r="P180" s="8" t="n">
        <f aca="false">INDEX(Mapping!$C$2:$C$99,MATCH(P$1&amp;"|"&amp;Customers!P180,Mapping!$D$2:$D$99,0))</f>
        <v>3</v>
      </c>
      <c r="Q180" s="8" t="n">
        <f aca="false">INDEX(Mapping!$C$2:$C$99,MATCH(Q$1&amp;"|"&amp;Customers!Q180,Mapping!$D$2:$D$99,0))</f>
        <v>1</v>
      </c>
      <c r="R180" s="8" t="n">
        <f aca="false">INDEX(Mapping!$C$2:$C$99,MATCH(R$1&amp;"|"&amp;Customers!R180,Mapping!$D$2:$D$99,0))</f>
        <v>1</v>
      </c>
      <c r="S180" s="8" t="n">
        <f aca="false">INDEX(Mapping!$C$2:$C$99,MATCH(S$1&amp;"|"&amp;Customers!S180,Mapping!$D$2:$D$99,0))</f>
        <v>3</v>
      </c>
      <c r="T180" s="8" t="n">
        <f aca="false">INDEX(Mapping!$C$2:$C$99,MATCH(T$1&amp;"|"&amp;Customers!T180,Mapping!$D$2:$D$99,0))</f>
        <v>1</v>
      </c>
      <c r="U180" s="8" t="n">
        <f aca="false">INDEX(Mapping!$C$2:$C$99,MATCH(U$1&amp;"|"&amp;Customers!U180,Mapping!$D$2:$D$99,0))</f>
        <v>1</v>
      </c>
      <c r="V180" s="8" t="n">
        <f aca="false">INDEX(Mapping!$C$2:$C$99,MATCH(V$1&amp;"|"&amp;Customers!V180,Mapping!$D$2:$D$99,0))</f>
        <v>1</v>
      </c>
      <c r="W180" s="17" t="n">
        <f aca="false">SUMPRODUCT($C180:$V180,Weights!$C$27:$V$27)</f>
        <v>1.67</v>
      </c>
      <c r="X180" s="18" t="n">
        <f aca="false">ROUND($W180,2)</f>
        <v>1.67</v>
      </c>
      <c r="Y180" s="8" t="str">
        <f aca="false">IF($X180&lt;=2,"Low",IF($X180&lt;=3.49,"Medium","High"))</f>
        <v>Low</v>
      </c>
      <c r="Z180" s="8" t="str">
        <f aca="false">IF(OR($F180&gt;=3,$E180=5,$D180=5,$C180=5,$G180=5,$H180=5,$I180=5,$J180=5,Customers!$W180="Yes"),"Yes","No")</f>
        <v>No</v>
      </c>
      <c r="AA180" s="15" t="str">
        <f aca="false">IF($Z180="Yes","High",$Y180)</f>
        <v>Low</v>
      </c>
      <c r="AB180" s="18" t="n">
        <f aca="false">SUMPRODUCT($C180:$G180,Weights!$C$28:$G$28)</f>
        <v>1</v>
      </c>
      <c r="AC180" s="18" t="n">
        <f aca="false">SUMPRODUCT($H180:$J180,Weights!$H$28:$J$28)</f>
        <v>1.6</v>
      </c>
      <c r="AD180" s="18" t="n">
        <f aca="false">SUMPRODUCT($K180:$N180,Weights!$K$28:$N$28)</f>
        <v>2.35</v>
      </c>
      <c r="AE180" s="18" t="n">
        <f aca="false">SUMPRODUCT($O180:$Q180,Weights!$O$28:$Q$28)</f>
        <v>2.6</v>
      </c>
      <c r="AF180" s="18" t="n">
        <f aca="false">SUMPRODUCT($R180:$V180,Weights!$R$28:$V$28)</f>
        <v>1.6</v>
      </c>
      <c r="AH180" s="18" t="n">
        <f aca="false">SUMPRODUCT($AB180:$AF180,Validation!$D$7:$H$7)</f>
        <v>1.76571428571425</v>
      </c>
      <c r="AI180" s="18" t="n">
        <f aca="false">SUMPRODUCT($AB180:$AF180,Validation!$D$8:$H$8)</f>
        <v>1.57428571428575</v>
      </c>
      <c r="AJ180" s="18" t="n">
        <f aca="false">SUMPRODUCT($AB180:$AF180,Validation!$D$9:$H$9)</f>
        <v>1.67933333333325</v>
      </c>
      <c r="AK180" s="18" t="n">
        <f aca="false">SUMPRODUCT($AB180:$AF180,Validation!$D$10:$H$10)</f>
        <v>1.66066666666675</v>
      </c>
      <c r="AL180" s="18" t="n">
        <f aca="false">SUMPRODUCT($AB180:$AF180,Validation!$D$11:$H$11)</f>
        <v>1.585</v>
      </c>
      <c r="AM180" s="18" t="n">
        <f aca="false">SUMPRODUCT($AB180:$AF180,Validation!$D$12:$H$12)</f>
        <v>1.755</v>
      </c>
      <c r="AN180" s="18" t="n">
        <f aca="false">SUMPRODUCT($AB180:$AF180,Validation!$D$13:$H$13)</f>
        <v>1.5666666666667</v>
      </c>
      <c r="AO180" s="18" t="n">
        <f aca="false">SUMPRODUCT($AB180:$AF180,Validation!$D$14:$H$14)</f>
        <v>1.7733333333333</v>
      </c>
      <c r="AP180" s="18" t="n">
        <f aca="false">SUMPRODUCT($AB180:$AF180,Validation!$D$15:$H$15)</f>
        <v>1.67823529411755</v>
      </c>
      <c r="AQ180" s="18" t="n">
        <f aca="false">SUMPRODUCT($AB180:$AF180,Validation!$D$16:$H$16)</f>
        <v>1.66176470588245</v>
      </c>
      <c r="AR180" s="8" t="n">
        <f aca="false">COUNTIF($C180:$V180,"&gt;=4")</f>
        <v>1</v>
      </c>
      <c r="AS180" s="8" t="str">
        <f aca="false">IF($X180&lt;=1.6,"Low",IF($X180&lt;=2.2,"Medium","High"))</f>
        <v>Medium</v>
      </c>
      <c r="AT180" s="8" t="str">
        <f aca="false">IF($AR180=0,"Low",IF($AR180&lt;3,"Medium","High"))</f>
        <v>Medium</v>
      </c>
      <c r="AU180" s="8" t="str">
        <f aca="false">IF(OR($AS180="High",$AT180="High"),"High",IF(OR($AS180="Medium",$AT180="Medium"),"Medium","Low"))</f>
        <v>Medium</v>
      </c>
      <c r="AV180" s="15" t="str">
        <f aca="false">IF($Z180="Yes","High",$AU180)</f>
        <v>Medium</v>
      </c>
    </row>
    <row r="181" customFormat="false" ht="15" hidden="false" customHeight="false" outlineLevel="0" collapsed="false">
      <c r="A181" s="7" t="str">
        <f aca="false">Customers!$A181</f>
        <v>NG-10120</v>
      </c>
      <c r="B181" s="7" t="str">
        <f aca="false">Customers!$B181</f>
        <v>Personal</v>
      </c>
      <c r="C181" s="8" t="n">
        <f aca="false">INDEX(Mapping!$C$2:$C$99,MATCH(C$1&amp;"|"&amp;Customers!C181,Mapping!$D$2:$D$99,0))</f>
        <v>1</v>
      </c>
      <c r="D181" s="8" t="n">
        <f aca="false">INDEX(Mapping!$C$2:$C$99,MATCH(D$1&amp;"|"&amp;Customers!D181,Mapping!$D$2:$D$99,0))</f>
        <v>1</v>
      </c>
      <c r="E181" s="8" t="n">
        <f aca="false">INDEX(Mapping!$C$2:$C$99,MATCH(E$1&amp;"|"&amp;Customers!E181,Mapping!$D$2:$D$99,0))</f>
        <v>1</v>
      </c>
      <c r="F181" s="8" t="n">
        <f aca="false">INDEX(Mapping!$C$2:$C$99,MATCH(F$1&amp;"|"&amp;Customers!F181,Mapping!$D$2:$D$99,0))</f>
        <v>1</v>
      </c>
      <c r="G181" s="8" t="n">
        <f aca="false">INDEX(Mapping!$C$2:$C$99,MATCH(G$1&amp;"|"&amp;Customers!G181,Mapping!$D$2:$D$99,0))</f>
        <v>1</v>
      </c>
      <c r="H181" s="8" t="n">
        <f aca="false">INDEX(Mapping!$C$2:$C$99,MATCH(H$1&amp;"|"&amp;Customers!H181,Mapping!$D$2:$D$99,0))</f>
        <v>1</v>
      </c>
      <c r="I181" s="8" t="n">
        <f aca="false">INDEX(Mapping!$C$2:$C$99,MATCH(I$1&amp;"|"&amp;Customers!I181,Mapping!$D$2:$D$99,0))</f>
        <v>1</v>
      </c>
      <c r="J181" s="8" t="n">
        <f aca="false">INDEX(Mapping!$C$2:$C$99,MATCH(J$1&amp;"|"&amp;Customers!J181,Mapping!$D$2:$D$99,0))</f>
        <v>1</v>
      </c>
      <c r="K181" s="8" t="n">
        <f aca="false">INDEX(Mapping!$C$2:$C$99,MATCH(K$1&amp;"|"&amp;Customers!K181,Mapping!$D$2:$D$99,0))</f>
        <v>2</v>
      </c>
      <c r="L181" s="8" t="n">
        <f aca="false">INDEX(Mapping!$C$2:$C$99,MATCH(L$1&amp;"|"&amp;Customers!L181,Mapping!$D$2:$D$99,0))</f>
        <v>2</v>
      </c>
      <c r="M181" s="8" t="n">
        <f aca="false">INDEX(Mapping!$C$2:$C$99,MATCH(M$1&amp;"|"&amp;Customers!M181,Mapping!$D$2:$D$99,0))</f>
        <v>2</v>
      </c>
      <c r="N181" s="8" t="n">
        <f aca="false">INDEX(Mapping!$C$2:$C$99,MATCH(N$1&amp;"|"&amp;Customers!N181,Mapping!$D$2:$D$99,0))</f>
        <v>1</v>
      </c>
      <c r="O181" s="8" t="n">
        <f aca="false">INDEX(Mapping!$C$2:$C$99,MATCH(O$1&amp;"|"&amp;Customers!O181,Mapping!$D$2:$D$99,0))</f>
        <v>3</v>
      </c>
      <c r="P181" s="8" t="n">
        <f aca="false">INDEX(Mapping!$C$2:$C$99,MATCH(P$1&amp;"|"&amp;Customers!P181,Mapping!$D$2:$D$99,0))</f>
        <v>3</v>
      </c>
      <c r="Q181" s="8" t="n">
        <f aca="false">INDEX(Mapping!$C$2:$C$99,MATCH(Q$1&amp;"|"&amp;Customers!Q181,Mapping!$D$2:$D$99,0))</f>
        <v>1</v>
      </c>
      <c r="R181" s="8" t="n">
        <f aca="false">INDEX(Mapping!$C$2:$C$99,MATCH(R$1&amp;"|"&amp;Customers!R181,Mapping!$D$2:$D$99,0))</f>
        <v>2</v>
      </c>
      <c r="S181" s="8" t="n">
        <f aca="false">INDEX(Mapping!$C$2:$C$99,MATCH(S$1&amp;"|"&amp;Customers!S181,Mapping!$D$2:$D$99,0))</f>
        <v>1</v>
      </c>
      <c r="T181" s="8" t="n">
        <f aca="false">INDEX(Mapping!$C$2:$C$99,MATCH(T$1&amp;"|"&amp;Customers!T181,Mapping!$D$2:$D$99,0))</f>
        <v>1</v>
      </c>
      <c r="U181" s="8" t="n">
        <f aca="false">INDEX(Mapping!$C$2:$C$99,MATCH(U$1&amp;"|"&amp;Customers!U181,Mapping!$D$2:$D$99,0))</f>
        <v>1</v>
      </c>
      <c r="V181" s="8" t="n">
        <f aca="false">INDEX(Mapping!$C$2:$C$99,MATCH(V$1&amp;"|"&amp;Customers!V181,Mapping!$D$2:$D$99,0))</f>
        <v>1</v>
      </c>
      <c r="W181" s="17" t="n">
        <f aca="false">SUMPRODUCT($C181:$V181,Weights!$C$27:$V$27)</f>
        <v>1.3675</v>
      </c>
      <c r="X181" s="18" t="n">
        <f aca="false">ROUND($W181,2)</f>
        <v>1.37</v>
      </c>
      <c r="Y181" s="8" t="str">
        <f aca="false">IF($X181&lt;=2,"Low",IF($X181&lt;=3.49,"Medium","High"))</f>
        <v>Low</v>
      </c>
      <c r="Z181" s="8" t="str">
        <f aca="false">IF(OR($F181&gt;=3,$E181=5,$D181=5,$C181=5,$G181=5,$H181=5,$I181=5,$J181=5,Customers!$W181="Yes"),"Yes","No")</f>
        <v>No</v>
      </c>
      <c r="AA181" s="15" t="str">
        <f aca="false">IF($Z181="Yes","High",$Y181)</f>
        <v>Low</v>
      </c>
      <c r="AB181" s="18" t="n">
        <f aca="false">SUMPRODUCT($C181:$G181,Weights!$C$28:$G$28)</f>
        <v>1</v>
      </c>
      <c r="AC181" s="18" t="n">
        <f aca="false">SUMPRODUCT($H181:$J181,Weights!$H$28:$J$28)</f>
        <v>1</v>
      </c>
      <c r="AD181" s="18" t="n">
        <f aca="false">SUMPRODUCT($K181:$N181,Weights!$K$28:$N$28)</f>
        <v>1.85</v>
      </c>
      <c r="AE181" s="18" t="n">
        <f aca="false">SUMPRODUCT($O181:$Q181,Weights!$O$28:$Q$28)</f>
        <v>2.6</v>
      </c>
      <c r="AF181" s="18" t="n">
        <f aca="false">SUMPRODUCT($R181:$V181,Weights!$R$28:$V$28)</f>
        <v>1.25</v>
      </c>
      <c r="AH181" s="18" t="n">
        <f aca="false">SUMPRODUCT($AB181:$AF181,Validation!$D$7:$H$7)</f>
        <v>1.4200000000002</v>
      </c>
      <c r="AI181" s="18" t="n">
        <f aca="false">SUMPRODUCT($AB181:$AF181,Validation!$D$8:$H$8)</f>
        <v>1.3149999999998</v>
      </c>
      <c r="AJ181" s="18" t="n">
        <f aca="false">SUMPRODUCT($AB181:$AF181,Validation!$D$9:$H$9)</f>
        <v>1.41649999999975</v>
      </c>
      <c r="AK181" s="18" t="n">
        <f aca="false">SUMPRODUCT($AB181:$AF181,Validation!$D$10:$H$10)</f>
        <v>1.31850000000025</v>
      </c>
      <c r="AL181" s="18" t="n">
        <f aca="false">SUMPRODUCT($AB181:$AF181,Validation!$D$11:$H$11)</f>
        <v>1.3071875</v>
      </c>
      <c r="AM181" s="18" t="n">
        <f aca="false">SUMPRODUCT($AB181:$AF181,Validation!$D$12:$H$12)</f>
        <v>1.4278125</v>
      </c>
      <c r="AN181" s="18" t="n">
        <f aca="false">SUMPRODUCT($AB181:$AF181,Validation!$D$13:$H$13)</f>
        <v>1.23055555555545</v>
      </c>
      <c r="AO181" s="18" t="n">
        <f aca="false">SUMPRODUCT($AB181:$AF181,Validation!$D$14:$H$14)</f>
        <v>1.50444444444455</v>
      </c>
      <c r="AP181" s="18" t="n">
        <f aca="false">SUMPRODUCT($AB181:$AF181,Validation!$D$15:$H$15)</f>
        <v>1.38132352941145</v>
      </c>
      <c r="AQ181" s="18" t="n">
        <f aca="false">SUMPRODUCT($AB181:$AF181,Validation!$D$16:$H$16)</f>
        <v>1.35367647058855</v>
      </c>
      <c r="AR181" s="8" t="n">
        <f aca="false">COUNTIF($C181:$V181,"&gt;=4")</f>
        <v>0</v>
      </c>
      <c r="AS181" s="8" t="str">
        <f aca="false">IF($X181&lt;=1.6,"Low",IF($X181&lt;=2.2,"Medium","High"))</f>
        <v>Low</v>
      </c>
      <c r="AT181" s="8" t="str">
        <f aca="false">IF($AR181=0,"Low",IF($AR181&lt;3,"Medium","High"))</f>
        <v>Low</v>
      </c>
      <c r="AU181" s="8" t="str">
        <f aca="false">IF(OR($AS181="High",$AT181="High"),"High",IF(OR($AS181="Medium",$AT181="Medium"),"Medium","Low"))</f>
        <v>Low</v>
      </c>
      <c r="AV181" s="15" t="str">
        <f aca="false">IF($Z181="Yes","High",$AU181)</f>
        <v>Low</v>
      </c>
    </row>
    <row r="182" customFormat="false" ht="15" hidden="false" customHeight="false" outlineLevel="0" collapsed="false">
      <c r="A182" s="7" t="str">
        <f aca="false">Customers!$A182</f>
        <v>NG-10330</v>
      </c>
      <c r="B182" s="7" t="str">
        <f aca="false">Customers!$B182</f>
        <v>Sole trader</v>
      </c>
      <c r="C182" s="8" t="n">
        <f aca="false">INDEX(Mapping!$C$2:$C$99,MATCH(C$1&amp;"|"&amp;Customers!C182,Mapping!$D$2:$D$99,0))</f>
        <v>2</v>
      </c>
      <c r="D182" s="8" t="n">
        <f aca="false">INDEX(Mapping!$C$2:$C$99,MATCH(D$1&amp;"|"&amp;Customers!D182,Mapping!$D$2:$D$99,0))</f>
        <v>1</v>
      </c>
      <c r="E182" s="8" t="n">
        <f aca="false">INDEX(Mapping!$C$2:$C$99,MATCH(E$1&amp;"|"&amp;Customers!E182,Mapping!$D$2:$D$99,0))</f>
        <v>4</v>
      </c>
      <c r="F182" s="8" t="n">
        <f aca="false">INDEX(Mapping!$C$2:$C$99,MATCH(F$1&amp;"|"&amp;Customers!F182,Mapping!$D$2:$D$99,0))</f>
        <v>1</v>
      </c>
      <c r="G182" s="8" t="n">
        <f aca="false">INDEX(Mapping!$C$2:$C$99,MATCH(G$1&amp;"|"&amp;Customers!G182,Mapping!$D$2:$D$99,0))</f>
        <v>1</v>
      </c>
      <c r="H182" s="8" t="n">
        <f aca="false">INDEX(Mapping!$C$2:$C$99,MATCH(H$1&amp;"|"&amp;Customers!H182,Mapping!$D$2:$D$99,0))</f>
        <v>1</v>
      </c>
      <c r="I182" s="8" t="n">
        <f aca="false">INDEX(Mapping!$C$2:$C$99,MATCH(I$1&amp;"|"&amp;Customers!I182,Mapping!$D$2:$D$99,0))</f>
        <v>1</v>
      </c>
      <c r="J182" s="8" t="n">
        <f aca="false">INDEX(Mapping!$C$2:$C$99,MATCH(J$1&amp;"|"&amp;Customers!J182,Mapping!$D$2:$D$99,0))</f>
        <v>1</v>
      </c>
      <c r="K182" s="8" t="n">
        <f aca="false">INDEX(Mapping!$C$2:$C$99,MATCH(K$1&amp;"|"&amp;Customers!K182,Mapping!$D$2:$D$99,0))</f>
        <v>4</v>
      </c>
      <c r="L182" s="8" t="n">
        <f aca="false">INDEX(Mapping!$C$2:$C$99,MATCH(L$1&amp;"|"&amp;Customers!L182,Mapping!$D$2:$D$99,0))</f>
        <v>3</v>
      </c>
      <c r="M182" s="8" t="n">
        <f aca="false">INDEX(Mapping!$C$2:$C$99,MATCH(M$1&amp;"|"&amp;Customers!M182,Mapping!$D$2:$D$99,0))</f>
        <v>1</v>
      </c>
      <c r="N182" s="8" t="n">
        <f aca="false">INDEX(Mapping!$C$2:$C$99,MATCH(N$1&amp;"|"&amp;Customers!N182,Mapping!$D$2:$D$99,0))</f>
        <v>1</v>
      </c>
      <c r="O182" s="8" t="n">
        <f aca="false">INDEX(Mapping!$C$2:$C$99,MATCH(O$1&amp;"|"&amp;Customers!O182,Mapping!$D$2:$D$99,0))</f>
        <v>3</v>
      </c>
      <c r="P182" s="8" t="n">
        <f aca="false">INDEX(Mapping!$C$2:$C$99,MATCH(P$1&amp;"|"&amp;Customers!P182,Mapping!$D$2:$D$99,0))</f>
        <v>1</v>
      </c>
      <c r="Q182" s="8" t="n">
        <f aca="false">INDEX(Mapping!$C$2:$C$99,MATCH(Q$1&amp;"|"&amp;Customers!Q182,Mapping!$D$2:$D$99,0))</f>
        <v>4</v>
      </c>
      <c r="R182" s="8" t="n">
        <f aca="false">INDEX(Mapping!$C$2:$C$99,MATCH(R$1&amp;"|"&amp;Customers!R182,Mapping!$D$2:$D$99,0))</f>
        <v>3</v>
      </c>
      <c r="S182" s="8" t="n">
        <f aca="false">INDEX(Mapping!$C$2:$C$99,MATCH(S$1&amp;"|"&amp;Customers!S182,Mapping!$D$2:$D$99,0))</f>
        <v>3</v>
      </c>
      <c r="T182" s="8" t="n">
        <f aca="false">INDEX(Mapping!$C$2:$C$99,MATCH(T$1&amp;"|"&amp;Customers!T182,Mapping!$D$2:$D$99,0))</f>
        <v>5</v>
      </c>
      <c r="U182" s="8" t="n">
        <f aca="false">INDEX(Mapping!$C$2:$C$99,MATCH(U$1&amp;"|"&amp;Customers!U182,Mapping!$D$2:$D$99,0))</f>
        <v>2</v>
      </c>
      <c r="V182" s="8" t="n">
        <f aca="false">INDEX(Mapping!$C$2:$C$99,MATCH(V$1&amp;"|"&amp;Customers!V182,Mapping!$D$2:$D$99,0))</f>
        <v>1</v>
      </c>
      <c r="W182" s="17" t="n">
        <f aca="false">SUMPRODUCT($C182:$V182,Weights!$C$27:$V$27)</f>
        <v>2.0525</v>
      </c>
      <c r="X182" s="18" t="n">
        <f aca="false">ROUND($W182,2)</f>
        <v>2.05</v>
      </c>
      <c r="Y182" s="8" t="str">
        <f aca="false">IF($X182&lt;=2,"Low",IF($X182&lt;=3.49,"Medium","High"))</f>
        <v>Medium</v>
      </c>
      <c r="Z182" s="8" t="str">
        <f aca="false">IF(OR($F182&gt;=3,$E182=5,$D182=5,$C182=5,$G182=5,$H182=5,$I182=5,$J182=5,Customers!$W182="Yes"),"Yes","No")</f>
        <v>No</v>
      </c>
      <c r="AA182" s="15" t="str">
        <f aca="false">IF($Z182="Yes","High",$Y182)</f>
        <v>Medium</v>
      </c>
      <c r="AB182" s="18" t="n">
        <f aca="false">SUMPRODUCT($C182:$G182,Weights!$C$28:$G$28)</f>
        <v>1.95</v>
      </c>
      <c r="AC182" s="18" t="n">
        <f aca="false">SUMPRODUCT($H182:$J182,Weights!$H$28:$J$28)</f>
        <v>1</v>
      </c>
      <c r="AD182" s="18" t="n">
        <f aca="false">SUMPRODUCT($K182:$N182,Weights!$K$28:$N$28)</f>
        <v>2.55</v>
      </c>
      <c r="AE182" s="18" t="n">
        <f aca="false">SUMPRODUCT($O182:$Q182,Weights!$O$28:$Q$28)</f>
        <v>2.5</v>
      </c>
      <c r="AF182" s="18" t="n">
        <f aca="false">SUMPRODUCT($R182:$V182,Weights!$R$28:$V$28)</f>
        <v>3.05</v>
      </c>
      <c r="AH182" s="18" t="n">
        <f aca="false">SUMPRODUCT($AB182:$AF182,Validation!$D$7:$H$7)</f>
        <v>2.0671428571435</v>
      </c>
      <c r="AI182" s="18" t="n">
        <f aca="false">SUMPRODUCT($AB182:$AF182,Validation!$D$8:$H$8)</f>
        <v>2.0378571428565</v>
      </c>
      <c r="AJ182" s="18" t="n">
        <f aca="false">SUMPRODUCT($AB182:$AF182,Validation!$D$9:$H$9)</f>
        <v>2.19283333333335</v>
      </c>
      <c r="AK182" s="18" t="n">
        <f aca="false">SUMPRODUCT($AB182:$AF182,Validation!$D$10:$H$10)</f>
        <v>1.91216666666665</v>
      </c>
      <c r="AL182" s="18" t="n">
        <f aca="false">SUMPRODUCT($AB182:$AF182,Validation!$D$11:$H$11)</f>
        <v>1.9903125</v>
      </c>
      <c r="AM182" s="18" t="n">
        <f aca="false">SUMPRODUCT($AB182:$AF182,Validation!$D$12:$H$12)</f>
        <v>2.1146875</v>
      </c>
      <c r="AN182" s="18" t="n">
        <f aca="false">SUMPRODUCT($AB182:$AF182,Validation!$D$13:$H$13)</f>
        <v>2.0027777777778</v>
      </c>
      <c r="AO182" s="18" t="n">
        <f aca="false">SUMPRODUCT($AB182:$AF182,Validation!$D$14:$H$14)</f>
        <v>2.1022222222222</v>
      </c>
      <c r="AP182" s="18" t="n">
        <f aca="false">SUMPRODUCT($AB182:$AF182,Validation!$D$15:$H$15)</f>
        <v>1.9351470588234</v>
      </c>
      <c r="AQ182" s="18" t="n">
        <f aca="false">SUMPRODUCT($AB182:$AF182,Validation!$D$16:$H$16)</f>
        <v>2.1698529411766</v>
      </c>
      <c r="AR182" s="8" t="n">
        <f aca="false">COUNTIF($C182:$V182,"&gt;=4")</f>
        <v>4</v>
      </c>
      <c r="AS182" s="8" t="str">
        <f aca="false">IF($X182&lt;=1.6,"Low",IF($X182&lt;=2.2,"Medium","High"))</f>
        <v>Medium</v>
      </c>
      <c r="AT182" s="8" t="str">
        <f aca="false">IF($AR182=0,"Low",IF($AR182&lt;3,"Medium","High"))</f>
        <v>High</v>
      </c>
      <c r="AU182" s="8" t="str">
        <f aca="false">IF(OR($AS182="High",$AT182="High"),"High",IF(OR($AS182="Medium",$AT182="Medium"),"Medium","Low"))</f>
        <v>High</v>
      </c>
      <c r="AV182" s="15" t="str">
        <f aca="false">IF($Z182="Yes","High",$AU182)</f>
        <v>High</v>
      </c>
    </row>
    <row r="183" customFormat="false" ht="15" hidden="false" customHeight="false" outlineLevel="0" collapsed="false">
      <c r="A183" s="7" t="str">
        <f aca="false">Customers!$A183</f>
        <v>NG-10360</v>
      </c>
      <c r="B183" s="7" t="str">
        <f aca="false">Customers!$B183</f>
        <v>Sole trader</v>
      </c>
      <c r="C183" s="8" t="n">
        <f aca="false">INDEX(Mapping!$C$2:$C$99,MATCH(C$1&amp;"|"&amp;Customers!C183,Mapping!$D$2:$D$99,0))</f>
        <v>2</v>
      </c>
      <c r="D183" s="8" t="n">
        <f aca="false">INDEX(Mapping!$C$2:$C$99,MATCH(D$1&amp;"|"&amp;Customers!D183,Mapping!$D$2:$D$99,0))</f>
        <v>1</v>
      </c>
      <c r="E183" s="8" t="n">
        <f aca="false">INDEX(Mapping!$C$2:$C$99,MATCH(E$1&amp;"|"&amp;Customers!E183,Mapping!$D$2:$D$99,0))</f>
        <v>3</v>
      </c>
      <c r="F183" s="8" t="n">
        <f aca="false">INDEX(Mapping!$C$2:$C$99,MATCH(F$1&amp;"|"&amp;Customers!F183,Mapping!$D$2:$D$99,0))</f>
        <v>1</v>
      </c>
      <c r="G183" s="8" t="n">
        <f aca="false">INDEX(Mapping!$C$2:$C$99,MATCH(G$1&amp;"|"&amp;Customers!G183,Mapping!$D$2:$D$99,0))</f>
        <v>1</v>
      </c>
      <c r="H183" s="8" t="n">
        <f aca="false">INDEX(Mapping!$C$2:$C$99,MATCH(H$1&amp;"|"&amp;Customers!H183,Mapping!$D$2:$D$99,0))</f>
        <v>1</v>
      </c>
      <c r="I183" s="8" t="n">
        <f aca="false">INDEX(Mapping!$C$2:$C$99,MATCH(I$1&amp;"|"&amp;Customers!I183,Mapping!$D$2:$D$99,0))</f>
        <v>1</v>
      </c>
      <c r="J183" s="8" t="n">
        <f aca="false">INDEX(Mapping!$C$2:$C$99,MATCH(J$1&amp;"|"&amp;Customers!J183,Mapping!$D$2:$D$99,0))</f>
        <v>1</v>
      </c>
      <c r="K183" s="8" t="n">
        <f aca="false">INDEX(Mapping!$C$2:$C$99,MATCH(K$1&amp;"|"&amp;Customers!K183,Mapping!$D$2:$D$99,0))</f>
        <v>5</v>
      </c>
      <c r="L183" s="8" t="n">
        <f aca="false">INDEX(Mapping!$C$2:$C$99,MATCH(L$1&amp;"|"&amp;Customers!L183,Mapping!$D$2:$D$99,0))</f>
        <v>3</v>
      </c>
      <c r="M183" s="8" t="n">
        <f aca="false">INDEX(Mapping!$C$2:$C$99,MATCH(M$1&amp;"|"&amp;Customers!M183,Mapping!$D$2:$D$99,0))</f>
        <v>2</v>
      </c>
      <c r="N183" s="8" t="n">
        <f aca="false">INDEX(Mapping!$C$2:$C$99,MATCH(N$1&amp;"|"&amp;Customers!N183,Mapping!$D$2:$D$99,0))</f>
        <v>3</v>
      </c>
      <c r="O183" s="8" t="n">
        <f aca="false">INDEX(Mapping!$C$2:$C$99,MATCH(O$1&amp;"|"&amp;Customers!O183,Mapping!$D$2:$D$99,0))</f>
        <v>3</v>
      </c>
      <c r="P183" s="8" t="n">
        <f aca="false">INDEX(Mapping!$C$2:$C$99,MATCH(P$1&amp;"|"&amp;Customers!P183,Mapping!$D$2:$D$99,0))</f>
        <v>1</v>
      </c>
      <c r="Q183" s="8" t="n">
        <f aca="false">INDEX(Mapping!$C$2:$C$99,MATCH(Q$1&amp;"|"&amp;Customers!Q183,Mapping!$D$2:$D$99,0))</f>
        <v>3</v>
      </c>
      <c r="R183" s="8" t="n">
        <f aca="false">INDEX(Mapping!$C$2:$C$99,MATCH(R$1&amp;"|"&amp;Customers!R183,Mapping!$D$2:$D$99,0))</f>
        <v>2</v>
      </c>
      <c r="S183" s="8" t="n">
        <f aca="false">INDEX(Mapping!$C$2:$C$99,MATCH(S$1&amp;"|"&amp;Customers!S183,Mapping!$D$2:$D$99,0))</f>
        <v>3</v>
      </c>
      <c r="T183" s="8" t="n">
        <f aca="false">INDEX(Mapping!$C$2:$C$99,MATCH(T$1&amp;"|"&amp;Customers!T183,Mapping!$D$2:$D$99,0))</f>
        <v>1</v>
      </c>
      <c r="U183" s="8" t="n">
        <f aca="false">INDEX(Mapping!$C$2:$C$99,MATCH(U$1&amp;"|"&amp;Customers!U183,Mapping!$D$2:$D$99,0))</f>
        <v>2</v>
      </c>
      <c r="V183" s="8" t="n">
        <f aca="false">INDEX(Mapping!$C$2:$C$99,MATCH(V$1&amp;"|"&amp;Customers!V183,Mapping!$D$2:$D$99,0))</f>
        <v>1</v>
      </c>
      <c r="W183" s="17" t="n">
        <f aca="false">SUMPRODUCT($C183:$V183,Weights!$C$27:$V$27)</f>
        <v>1.98</v>
      </c>
      <c r="X183" s="18" t="n">
        <f aca="false">ROUND($W183,2)</f>
        <v>1.98</v>
      </c>
      <c r="Y183" s="8" t="str">
        <f aca="false">IF($X183&lt;=2,"Low",IF($X183&lt;=3.49,"Medium","High"))</f>
        <v>Low</v>
      </c>
      <c r="Z183" s="8" t="str">
        <f aca="false">IF(OR($F183&gt;=3,$E183=5,$D183=5,$C183=5,$G183=5,$H183=5,$I183=5,$J183=5,Customers!$W183="Yes"),"Yes","No")</f>
        <v>No</v>
      </c>
      <c r="AA183" s="15" t="str">
        <f aca="false">IF($Z183="Yes","High",$Y183)</f>
        <v>Low</v>
      </c>
      <c r="AB183" s="18" t="n">
        <f aca="false">SUMPRODUCT($C183:$G183,Weights!$C$28:$G$28)</f>
        <v>1.7</v>
      </c>
      <c r="AC183" s="18" t="n">
        <f aca="false">SUMPRODUCT($H183:$J183,Weights!$H$28:$J$28)</f>
        <v>1</v>
      </c>
      <c r="AD183" s="18" t="n">
        <f aca="false">SUMPRODUCT($K183:$N183,Weights!$K$28:$N$28)</f>
        <v>3.45</v>
      </c>
      <c r="AE183" s="18" t="n">
        <f aca="false">SUMPRODUCT($O183:$Q183,Weights!$O$28:$Q$28)</f>
        <v>2.3</v>
      </c>
      <c r="AF183" s="18" t="n">
        <f aca="false">SUMPRODUCT($R183:$V183,Weights!$R$28:$V$28)</f>
        <v>2</v>
      </c>
      <c r="AH183" s="18" t="n">
        <f aca="false">SUMPRODUCT($AB183:$AF183,Validation!$D$7:$H$7)</f>
        <v>2.01999999999975</v>
      </c>
      <c r="AI183" s="18" t="n">
        <f aca="false">SUMPRODUCT($AB183:$AF183,Validation!$D$8:$H$8)</f>
        <v>1.94000000000025</v>
      </c>
      <c r="AJ183" s="18" t="n">
        <f aca="false">SUMPRODUCT($AB183:$AF183,Validation!$D$9:$H$9)</f>
        <v>2.11066666666705</v>
      </c>
      <c r="AK183" s="18" t="n">
        <f aca="false">SUMPRODUCT($AB183:$AF183,Validation!$D$10:$H$10)</f>
        <v>1.84933333333295</v>
      </c>
      <c r="AL183" s="18" t="n">
        <f aca="false">SUMPRODUCT($AB183:$AF183,Validation!$D$11:$H$11)</f>
        <v>1.79625</v>
      </c>
      <c r="AM183" s="18" t="n">
        <f aca="false">SUMPRODUCT($AB183:$AF183,Validation!$D$12:$H$12)</f>
        <v>2.16375</v>
      </c>
      <c r="AN183" s="18" t="n">
        <f aca="false">SUMPRODUCT($AB183:$AF183,Validation!$D$13:$H$13)</f>
        <v>1.944444444444</v>
      </c>
      <c r="AO183" s="18" t="n">
        <f aca="false">SUMPRODUCT($AB183:$AF183,Validation!$D$14:$H$14)</f>
        <v>2.015555555556</v>
      </c>
      <c r="AP183" s="18" t="n">
        <f aca="false">SUMPRODUCT($AB183:$AF183,Validation!$D$15:$H$15)</f>
        <v>1.97764705882375</v>
      </c>
      <c r="AQ183" s="18" t="n">
        <f aca="false">SUMPRODUCT($AB183:$AF183,Validation!$D$16:$H$16)</f>
        <v>1.98235294117625</v>
      </c>
      <c r="AR183" s="8" t="n">
        <f aca="false">COUNTIF($C183:$V183,"&gt;=4")</f>
        <v>1</v>
      </c>
      <c r="AS183" s="8" t="str">
        <f aca="false">IF($X183&lt;=1.6,"Low",IF($X183&lt;=2.2,"Medium","High"))</f>
        <v>Medium</v>
      </c>
      <c r="AT183" s="8" t="str">
        <f aca="false">IF($AR183=0,"Low",IF($AR183&lt;3,"Medium","High"))</f>
        <v>Medium</v>
      </c>
      <c r="AU183" s="8" t="str">
        <f aca="false">IF(OR($AS183="High",$AT183="High"),"High",IF(OR($AS183="Medium",$AT183="Medium"),"Medium","Low"))</f>
        <v>Medium</v>
      </c>
      <c r="AV183" s="15" t="str">
        <f aca="false">IF($Z183="Yes","High",$AU183)</f>
        <v>Medium</v>
      </c>
    </row>
    <row r="184" customFormat="false" ht="15" hidden="false" customHeight="false" outlineLevel="0" collapsed="false">
      <c r="A184" s="7" t="str">
        <f aca="false">Customers!$A184</f>
        <v>NG-10197</v>
      </c>
      <c r="B184" s="7" t="str">
        <f aca="false">Customers!$B184</f>
        <v>Personal</v>
      </c>
      <c r="C184" s="8" t="n">
        <f aca="false">INDEX(Mapping!$C$2:$C$99,MATCH(C$1&amp;"|"&amp;Customers!C184,Mapping!$D$2:$D$99,0))</f>
        <v>1</v>
      </c>
      <c r="D184" s="8" t="n">
        <f aca="false">INDEX(Mapping!$C$2:$C$99,MATCH(D$1&amp;"|"&amp;Customers!D184,Mapping!$D$2:$D$99,0))</f>
        <v>1</v>
      </c>
      <c r="E184" s="8" t="n">
        <f aca="false">INDEX(Mapping!$C$2:$C$99,MATCH(E$1&amp;"|"&amp;Customers!E184,Mapping!$D$2:$D$99,0))</f>
        <v>2</v>
      </c>
      <c r="F184" s="8" t="n">
        <f aca="false">INDEX(Mapping!$C$2:$C$99,MATCH(F$1&amp;"|"&amp;Customers!F184,Mapping!$D$2:$D$99,0))</f>
        <v>1</v>
      </c>
      <c r="G184" s="8" t="n">
        <f aca="false">INDEX(Mapping!$C$2:$C$99,MATCH(G$1&amp;"|"&amp;Customers!G184,Mapping!$D$2:$D$99,0))</f>
        <v>1</v>
      </c>
      <c r="H184" s="8" t="n">
        <f aca="false">INDEX(Mapping!$C$2:$C$99,MATCH(H$1&amp;"|"&amp;Customers!H184,Mapping!$D$2:$D$99,0))</f>
        <v>1</v>
      </c>
      <c r="I184" s="8" t="n">
        <f aca="false">INDEX(Mapping!$C$2:$C$99,MATCH(I$1&amp;"|"&amp;Customers!I184,Mapping!$D$2:$D$99,0))</f>
        <v>1</v>
      </c>
      <c r="J184" s="8" t="n">
        <f aca="false">INDEX(Mapping!$C$2:$C$99,MATCH(J$1&amp;"|"&amp;Customers!J184,Mapping!$D$2:$D$99,0))</f>
        <v>2</v>
      </c>
      <c r="K184" s="8" t="n">
        <f aca="false">INDEX(Mapping!$C$2:$C$99,MATCH(K$1&amp;"|"&amp;Customers!K184,Mapping!$D$2:$D$99,0))</f>
        <v>1</v>
      </c>
      <c r="L184" s="8" t="n">
        <f aca="false">INDEX(Mapping!$C$2:$C$99,MATCH(L$1&amp;"|"&amp;Customers!L184,Mapping!$D$2:$D$99,0))</f>
        <v>3</v>
      </c>
      <c r="M184" s="8" t="n">
        <f aca="false">INDEX(Mapping!$C$2:$C$99,MATCH(M$1&amp;"|"&amp;Customers!M184,Mapping!$D$2:$D$99,0))</f>
        <v>1</v>
      </c>
      <c r="N184" s="8" t="n">
        <f aca="false">INDEX(Mapping!$C$2:$C$99,MATCH(N$1&amp;"|"&amp;Customers!N184,Mapping!$D$2:$D$99,0))</f>
        <v>1</v>
      </c>
      <c r="O184" s="8" t="n">
        <f aca="false">INDEX(Mapping!$C$2:$C$99,MATCH(O$1&amp;"|"&amp;Customers!O184,Mapping!$D$2:$D$99,0))</f>
        <v>1</v>
      </c>
      <c r="P184" s="8" t="n">
        <f aca="false">INDEX(Mapping!$C$2:$C$99,MATCH(P$1&amp;"|"&amp;Customers!P184,Mapping!$D$2:$D$99,0))</f>
        <v>4</v>
      </c>
      <c r="Q184" s="8" t="n">
        <f aca="false">INDEX(Mapping!$C$2:$C$99,MATCH(Q$1&amp;"|"&amp;Customers!Q184,Mapping!$D$2:$D$99,0))</f>
        <v>1</v>
      </c>
      <c r="R184" s="8" t="n">
        <f aca="false">INDEX(Mapping!$C$2:$C$99,MATCH(R$1&amp;"|"&amp;Customers!R184,Mapping!$D$2:$D$99,0))</f>
        <v>1</v>
      </c>
      <c r="S184" s="8" t="n">
        <f aca="false">INDEX(Mapping!$C$2:$C$99,MATCH(S$1&amp;"|"&amp;Customers!S184,Mapping!$D$2:$D$99,0))</f>
        <v>2</v>
      </c>
      <c r="T184" s="8" t="n">
        <f aca="false">INDEX(Mapping!$C$2:$C$99,MATCH(T$1&amp;"|"&amp;Customers!T184,Mapping!$D$2:$D$99,0))</f>
        <v>1</v>
      </c>
      <c r="U184" s="8" t="n">
        <f aca="false">INDEX(Mapping!$C$2:$C$99,MATCH(U$1&amp;"|"&amp;Customers!U184,Mapping!$D$2:$D$99,0))</f>
        <v>1</v>
      </c>
      <c r="V184" s="8" t="n">
        <f aca="false">INDEX(Mapping!$C$2:$C$99,MATCH(V$1&amp;"|"&amp;Customers!V184,Mapping!$D$2:$D$99,0))</f>
        <v>1</v>
      </c>
      <c r="W184" s="17" t="n">
        <f aca="false">SUMPRODUCT($C184:$V184,Weights!$C$27:$V$27)</f>
        <v>1.425</v>
      </c>
      <c r="X184" s="18" t="n">
        <f aca="false">ROUND($W184,2)</f>
        <v>1.43</v>
      </c>
      <c r="Y184" s="8" t="str">
        <f aca="false">IF($X184&lt;=2,"Low",IF($X184&lt;=3.49,"Medium","High"))</f>
        <v>Low</v>
      </c>
      <c r="Z184" s="8" t="str">
        <f aca="false">IF(OR($F184&gt;=3,$E184=5,$D184=5,$C184=5,$G184=5,$H184=5,$I184=5,$J184=5,Customers!$W184="Yes"),"Yes","No")</f>
        <v>No</v>
      </c>
      <c r="AA184" s="15" t="str">
        <f aca="false">IF($Z184="Yes","High",$Y184)</f>
        <v>Low</v>
      </c>
      <c r="AB184" s="18" t="n">
        <f aca="false">SUMPRODUCT($C184:$G184,Weights!$C$28:$G$28)</f>
        <v>1.25</v>
      </c>
      <c r="AC184" s="18" t="n">
        <f aca="false">SUMPRODUCT($H184:$J184,Weights!$H$28:$J$28)</f>
        <v>1.4</v>
      </c>
      <c r="AD184" s="18" t="n">
        <f aca="false">SUMPRODUCT($K184:$N184,Weights!$K$28:$N$28)</f>
        <v>1.5</v>
      </c>
      <c r="AE184" s="18" t="n">
        <f aca="false">SUMPRODUCT($O184:$Q184,Weights!$O$28:$Q$28)</f>
        <v>2.05</v>
      </c>
      <c r="AF184" s="18" t="n">
        <f aca="false">SUMPRODUCT($R184:$V184,Weights!$R$28:$V$28)</f>
        <v>1.3</v>
      </c>
      <c r="AH184" s="18" t="n">
        <f aca="false">SUMPRODUCT($AB184:$AF184,Validation!$D$7:$H$7)</f>
        <v>1.4500000000001</v>
      </c>
      <c r="AI184" s="18" t="n">
        <f aca="false">SUMPRODUCT($AB184:$AF184,Validation!$D$8:$H$8)</f>
        <v>1.3999999999999</v>
      </c>
      <c r="AJ184" s="18" t="n">
        <f aca="false">SUMPRODUCT($AB184:$AF184,Validation!$D$9:$H$9)</f>
        <v>1.42833333333315</v>
      </c>
      <c r="AK184" s="18" t="n">
        <f aca="false">SUMPRODUCT($AB184:$AF184,Validation!$D$10:$H$10)</f>
        <v>1.42166666666685</v>
      </c>
      <c r="AL184" s="18" t="n">
        <f aca="false">SUMPRODUCT($AB184:$AF184,Validation!$D$11:$H$11)</f>
        <v>1.415625</v>
      </c>
      <c r="AM184" s="18" t="n">
        <f aca="false">SUMPRODUCT($AB184:$AF184,Validation!$D$12:$H$12)</f>
        <v>1.434375</v>
      </c>
      <c r="AN184" s="18" t="n">
        <f aca="false">SUMPRODUCT($AB184:$AF184,Validation!$D$13:$H$13)</f>
        <v>1.35555555555555</v>
      </c>
      <c r="AO184" s="18" t="n">
        <f aca="false">SUMPRODUCT($AB184:$AF184,Validation!$D$14:$H$14)</f>
        <v>1.49444444444445</v>
      </c>
      <c r="AP184" s="18" t="n">
        <f aca="false">SUMPRODUCT($AB184:$AF184,Validation!$D$15:$H$15)</f>
        <v>1.43970588235275</v>
      </c>
      <c r="AQ184" s="18" t="n">
        <f aca="false">SUMPRODUCT($AB184:$AF184,Validation!$D$16:$H$16)</f>
        <v>1.41029411764725</v>
      </c>
      <c r="AR184" s="8" t="n">
        <f aca="false">COUNTIF($C184:$V184,"&gt;=4")</f>
        <v>1</v>
      </c>
      <c r="AS184" s="8" t="str">
        <f aca="false">IF($X184&lt;=1.6,"Low",IF($X184&lt;=2.2,"Medium","High"))</f>
        <v>Low</v>
      </c>
      <c r="AT184" s="8" t="str">
        <f aca="false">IF($AR184=0,"Low",IF($AR184&lt;3,"Medium","High"))</f>
        <v>Medium</v>
      </c>
      <c r="AU184" s="8" t="str">
        <f aca="false">IF(OR($AS184="High",$AT184="High"),"High",IF(OR($AS184="Medium",$AT184="Medium"),"Medium","Low"))</f>
        <v>Medium</v>
      </c>
      <c r="AV184" s="15" t="str">
        <f aca="false">IF($Z184="Yes","High",$AU184)</f>
        <v>Medium</v>
      </c>
    </row>
    <row r="185" customFormat="false" ht="15" hidden="false" customHeight="false" outlineLevel="0" collapsed="false">
      <c r="A185" s="7" t="str">
        <f aca="false">Customers!$A185</f>
        <v>NG-10220</v>
      </c>
      <c r="B185" s="7" t="str">
        <f aca="false">Customers!$B185</f>
        <v>Personal</v>
      </c>
      <c r="C185" s="8" t="n">
        <f aca="false">INDEX(Mapping!$C$2:$C$99,MATCH(C$1&amp;"|"&amp;Customers!C185,Mapping!$D$2:$D$99,0))</f>
        <v>1</v>
      </c>
      <c r="D185" s="8" t="n">
        <f aca="false">INDEX(Mapping!$C$2:$C$99,MATCH(D$1&amp;"|"&amp;Customers!D185,Mapping!$D$2:$D$99,0))</f>
        <v>1</v>
      </c>
      <c r="E185" s="8" t="n">
        <f aca="false">INDEX(Mapping!$C$2:$C$99,MATCH(E$1&amp;"|"&amp;Customers!E185,Mapping!$D$2:$D$99,0))</f>
        <v>1</v>
      </c>
      <c r="F185" s="8" t="n">
        <f aca="false">INDEX(Mapping!$C$2:$C$99,MATCH(F$1&amp;"|"&amp;Customers!F185,Mapping!$D$2:$D$99,0))</f>
        <v>1</v>
      </c>
      <c r="G185" s="8" t="n">
        <f aca="false">INDEX(Mapping!$C$2:$C$99,MATCH(G$1&amp;"|"&amp;Customers!G185,Mapping!$D$2:$D$99,0))</f>
        <v>4</v>
      </c>
      <c r="H185" s="8" t="n">
        <f aca="false">INDEX(Mapping!$C$2:$C$99,MATCH(H$1&amp;"|"&amp;Customers!H185,Mapping!$D$2:$D$99,0))</f>
        <v>1</v>
      </c>
      <c r="I185" s="8" t="n">
        <f aca="false">INDEX(Mapping!$C$2:$C$99,MATCH(I$1&amp;"|"&amp;Customers!I185,Mapping!$D$2:$D$99,0))</f>
        <v>1</v>
      </c>
      <c r="J185" s="8" t="n">
        <f aca="false">INDEX(Mapping!$C$2:$C$99,MATCH(J$1&amp;"|"&amp;Customers!J185,Mapping!$D$2:$D$99,0))</f>
        <v>1</v>
      </c>
      <c r="K185" s="8" t="n">
        <f aca="false">INDEX(Mapping!$C$2:$C$99,MATCH(K$1&amp;"|"&amp;Customers!K185,Mapping!$D$2:$D$99,0))</f>
        <v>2</v>
      </c>
      <c r="L185" s="8" t="n">
        <f aca="false">INDEX(Mapping!$C$2:$C$99,MATCH(L$1&amp;"|"&amp;Customers!L185,Mapping!$D$2:$D$99,0))</f>
        <v>3</v>
      </c>
      <c r="M185" s="8" t="n">
        <f aca="false">INDEX(Mapping!$C$2:$C$99,MATCH(M$1&amp;"|"&amp;Customers!M185,Mapping!$D$2:$D$99,0))</f>
        <v>1</v>
      </c>
      <c r="N185" s="8" t="n">
        <f aca="false">INDEX(Mapping!$C$2:$C$99,MATCH(N$1&amp;"|"&amp;Customers!N185,Mapping!$D$2:$D$99,0))</f>
        <v>1</v>
      </c>
      <c r="O185" s="8" t="n">
        <f aca="false">INDEX(Mapping!$C$2:$C$99,MATCH(O$1&amp;"|"&amp;Customers!O185,Mapping!$D$2:$D$99,0))</f>
        <v>4</v>
      </c>
      <c r="P185" s="8" t="n">
        <f aca="false">INDEX(Mapping!$C$2:$C$99,MATCH(P$1&amp;"|"&amp;Customers!P185,Mapping!$D$2:$D$99,0))</f>
        <v>3</v>
      </c>
      <c r="Q185" s="8" t="n">
        <f aca="false">INDEX(Mapping!$C$2:$C$99,MATCH(Q$1&amp;"|"&amp;Customers!Q185,Mapping!$D$2:$D$99,0))</f>
        <v>1</v>
      </c>
      <c r="R185" s="8" t="n">
        <f aca="false">INDEX(Mapping!$C$2:$C$99,MATCH(R$1&amp;"|"&amp;Customers!R185,Mapping!$D$2:$D$99,0))</f>
        <v>1</v>
      </c>
      <c r="S185" s="8" t="n">
        <f aca="false">INDEX(Mapping!$C$2:$C$99,MATCH(S$1&amp;"|"&amp;Customers!S185,Mapping!$D$2:$D$99,0))</f>
        <v>3</v>
      </c>
      <c r="T185" s="8" t="n">
        <f aca="false">INDEX(Mapping!$C$2:$C$99,MATCH(T$1&amp;"|"&amp;Customers!T185,Mapping!$D$2:$D$99,0))</f>
        <v>1</v>
      </c>
      <c r="U185" s="8" t="n">
        <f aca="false">INDEX(Mapping!$C$2:$C$99,MATCH(U$1&amp;"|"&amp;Customers!U185,Mapping!$D$2:$D$99,0))</f>
        <v>1</v>
      </c>
      <c r="V185" s="8" t="n">
        <f aca="false">INDEX(Mapping!$C$2:$C$99,MATCH(V$1&amp;"|"&amp;Customers!V185,Mapping!$D$2:$D$99,0))</f>
        <v>4</v>
      </c>
      <c r="W185" s="17" t="n">
        <f aca="false">SUMPRODUCT($C185:$V185,Weights!$C$27:$V$27)</f>
        <v>1.645</v>
      </c>
      <c r="X185" s="18" t="n">
        <f aca="false">ROUND($W185,2)</f>
        <v>1.65</v>
      </c>
      <c r="Y185" s="8" t="str">
        <f aca="false">IF($X185&lt;=2,"Low",IF($X185&lt;=3.49,"Medium","High"))</f>
        <v>Low</v>
      </c>
      <c r="Z185" s="8" t="str">
        <f aca="false">IF(OR($F185&gt;=3,$E185=5,$D185=5,$C185=5,$G185=5,$H185=5,$I185=5,$J185=5,Customers!$W185="Yes"),"Yes","No")</f>
        <v>No</v>
      </c>
      <c r="AA185" s="15" t="str">
        <f aca="false">IF($Z185="Yes","High",$Y185)</f>
        <v>Low</v>
      </c>
      <c r="AB185" s="18" t="n">
        <f aca="false">SUMPRODUCT($C185:$G185,Weights!$C$28:$G$28)</f>
        <v>1.45</v>
      </c>
      <c r="AC185" s="18" t="n">
        <f aca="false">SUMPRODUCT($H185:$J185,Weights!$H$28:$J$28)</f>
        <v>1</v>
      </c>
      <c r="AD185" s="18" t="n">
        <f aca="false">SUMPRODUCT($K185:$N185,Weights!$K$28:$N$28)</f>
        <v>1.85</v>
      </c>
      <c r="AE185" s="18" t="n">
        <f aca="false">SUMPRODUCT($O185:$Q185,Weights!$O$28:$Q$28)</f>
        <v>3.05</v>
      </c>
      <c r="AF185" s="18" t="n">
        <f aca="false">SUMPRODUCT($R185:$V185,Weights!$R$28:$V$28)</f>
        <v>1.9</v>
      </c>
      <c r="AH185" s="18" t="n">
        <f aca="false">SUMPRODUCT($AB185:$AF185,Validation!$D$7:$H$7)</f>
        <v>1.67285714285775</v>
      </c>
      <c r="AI185" s="18" t="n">
        <f aca="false">SUMPRODUCT($AB185:$AF185,Validation!$D$8:$H$8)</f>
        <v>1.61714285714225</v>
      </c>
      <c r="AJ185" s="18" t="n">
        <f aca="false">SUMPRODUCT($AB185:$AF185,Validation!$D$9:$H$9)</f>
        <v>1.7309999999996</v>
      </c>
      <c r="AK185" s="18" t="n">
        <f aca="false">SUMPRODUCT($AB185:$AF185,Validation!$D$10:$H$10)</f>
        <v>1.5590000000004</v>
      </c>
      <c r="AL185" s="18" t="n">
        <f aca="false">SUMPRODUCT($AB185:$AF185,Validation!$D$11:$H$11)</f>
        <v>1.619375</v>
      </c>
      <c r="AM185" s="18" t="n">
        <f aca="false">SUMPRODUCT($AB185:$AF185,Validation!$D$12:$H$12)</f>
        <v>1.670625</v>
      </c>
      <c r="AN185" s="18" t="n">
        <f aca="false">SUMPRODUCT($AB185:$AF185,Validation!$D$13:$H$13)</f>
        <v>1.48888888888885</v>
      </c>
      <c r="AO185" s="18" t="n">
        <f aca="false">SUMPRODUCT($AB185:$AF185,Validation!$D$14:$H$14)</f>
        <v>1.80111111111115</v>
      </c>
      <c r="AP185" s="18" t="n">
        <f aca="false">SUMPRODUCT($AB185:$AF185,Validation!$D$15:$H$15)</f>
        <v>1.6149999999995</v>
      </c>
      <c r="AQ185" s="18" t="n">
        <f aca="false">SUMPRODUCT($AB185:$AF185,Validation!$D$16:$H$16)</f>
        <v>1.6750000000005</v>
      </c>
      <c r="AR185" s="8" t="n">
        <f aca="false">COUNTIF($C185:$V185,"&gt;=4")</f>
        <v>3</v>
      </c>
      <c r="AS185" s="8" t="str">
        <f aca="false">IF($X185&lt;=1.6,"Low",IF($X185&lt;=2.2,"Medium","High"))</f>
        <v>Medium</v>
      </c>
      <c r="AT185" s="8" t="str">
        <f aca="false">IF($AR185=0,"Low",IF($AR185&lt;3,"Medium","High"))</f>
        <v>High</v>
      </c>
      <c r="AU185" s="8" t="str">
        <f aca="false">IF(OR($AS185="High",$AT185="High"),"High",IF(OR($AS185="Medium",$AT185="Medium"),"Medium","Low"))</f>
        <v>High</v>
      </c>
      <c r="AV185" s="15" t="str">
        <f aca="false">IF($Z185="Yes","High",$AU185)</f>
        <v>High</v>
      </c>
    </row>
    <row r="186" customFormat="false" ht="15" hidden="false" customHeight="false" outlineLevel="0" collapsed="false">
      <c r="A186" s="7" t="str">
        <f aca="false">Customers!$A186</f>
        <v>NG-10027</v>
      </c>
      <c r="B186" s="7" t="str">
        <f aca="false">Customers!$B186</f>
        <v>Personal</v>
      </c>
      <c r="C186" s="8" t="n">
        <f aca="false">INDEX(Mapping!$C$2:$C$99,MATCH(C$1&amp;"|"&amp;Customers!C186,Mapping!$D$2:$D$99,0))</f>
        <v>2</v>
      </c>
      <c r="D186" s="8" t="n">
        <f aca="false">INDEX(Mapping!$C$2:$C$99,MATCH(D$1&amp;"|"&amp;Customers!D186,Mapping!$D$2:$D$99,0))</f>
        <v>1</v>
      </c>
      <c r="E186" s="8" t="n">
        <f aca="false">INDEX(Mapping!$C$2:$C$99,MATCH(E$1&amp;"|"&amp;Customers!E186,Mapping!$D$2:$D$99,0))</f>
        <v>1</v>
      </c>
      <c r="F186" s="8" t="n">
        <f aca="false">INDEX(Mapping!$C$2:$C$99,MATCH(F$1&amp;"|"&amp;Customers!F186,Mapping!$D$2:$D$99,0))</f>
        <v>1</v>
      </c>
      <c r="G186" s="8" t="n">
        <f aca="false">INDEX(Mapping!$C$2:$C$99,MATCH(G$1&amp;"|"&amp;Customers!G186,Mapping!$D$2:$D$99,0))</f>
        <v>1</v>
      </c>
      <c r="H186" s="8" t="n">
        <f aca="false">INDEX(Mapping!$C$2:$C$99,MATCH(H$1&amp;"|"&amp;Customers!H186,Mapping!$D$2:$D$99,0))</f>
        <v>1</v>
      </c>
      <c r="I186" s="8" t="n">
        <f aca="false">INDEX(Mapping!$C$2:$C$99,MATCH(I$1&amp;"|"&amp;Customers!I186,Mapping!$D$2:$D$99,0))</f>
        <v>1</v>
      </c>
      <c r="J186" s="8" t="n">
        <f aca="false">INDEX(Mapping!$C$2:$C$99,MATCH(J$1&amp;"|"&amp;Customers!J186,Mapping!$D$2:$D$99,0))</f>
        <v>1</v>
      </c>
      <c r="K186" s="8" t="n">
        <f aca="false">INDEX(Mapping!$C$2:$C$99,MATCH(K$1&amp;"|"&amp;Customers!K186,Mapping!$D$2:$D$99,0))</f>
        <v>2</v>
      </c>
      <c r="L186" s="8" t="n">
        <f aca="false">INDEX(Mapping!$C$2:$C$99,MATCH(L$1&amp;"|"&amp;Customers!L186,Mapping!$D$2:$D$99,0))</f>
        <v>2</v>
      </c>
      <c r="M186" s="8" t="n">
        <f aca="false">INDEX(Mapping!$C$2:$C$99,MATCH(M$1&amp;"|"&amp;Customers!M186,Mapping!$D$2:$D$99,0))</f>
        <v>1</v>
      </c>
      <c r="N186" s="8" t="n">
        <f aca="false">INDEX(Mapping!$C$2:$C$99,MATCH(N$1&amp;"|"&amp;Customers!N186,Mapping!$D$2:$D$99,0))</f>
        <v>1</v>
      </c>
      <c r="O186" s="8" t="n">
        <f aca="false">INDEX(Mapping!$C$2:$C$99,MATCH(O$1&amp;"|"&amp;Customers!O186,Mapping!$D$2:$D$99,0))</f>
        <v>3</v>
      </c>
      <c r="P186" s="8" t="n">
        <f aca="false">INDEX(Mapping!$C$2:$C$99,MATCH(P$1&amp;"|"&amp;Customers!P186,Mapping!$D$2:$D$99,0))</f>
        <v>3</v>
      </c>
      <c r="Q186" s="8" t="n">
        <f aca="false">INDEX(Mapping!$C$2:$C$99,MATCH(Q$1&amp;"|"&amp;Customers!Q186,Mapping!$D$2:$D$99,0))</f>
        <v>1</v>
      </c>
      <c r="R186" s="8" t="n">
        <f aca="false">INDEX(Mapping!$C$2:$C$99,MATCH(R$1&amp;"|"&amp;Customers!R186,Mapping!$D$2:$D$99,0))</f>
        <v>1</v>
      </c>
      <c r="S186" s="8" t="n">
        <f aca="false">INDEX(Mapping!$C$2:$C$99,MATCH(S$1&amp;"|"&amp;Customers!S186,Mapping!$D$2:$D$99,0))</f>
        <v>2</v>
      </c>
      <c r="T186" s="8" t="n">
        <f aca="false">INDEX(Mapping!$C$2:$C$99,MATCH(T$1&amp;"|"&amp;Customers!T186,Mapping!$D$2:$D$99,0))</f>
        <v>1</v>
      </c>
      <c r="U186" s="8" t="n">
        <f aca="false">INDEX(Mapping!$C$2:$C$99,MATCH(U$1&amp;"|"&amp;Customers!U186,Mapping!$D$2:$D$99,0))</f>
        <v>2</v>
      </c>
      <c r="V186" s="8" t="n">
        <f aca="false">INDEX(Mapping!$C$2:$C$99,MATCH(V$1&amp;"|"&amp;Customers!V186,Mapping!$D$2:$D$99,0))</f>
        <v>2</v>
      </c>
      <c r="W186" s="17" t="n">
        <f aca="false">SUMPRODUCT($C186:$V186,Weights!$C$27:$V$27)</f>
        <v>1.4225</v>
      </c>
      <c r="X186" s="18" t="n">
        <f aca="false">ROUND($W186,2)</f>
        <v>1.42</v>
      </c>
      <c r="Y186" s="8" t="str">
        <f aca="false">IF($X186&lt;=2,"Low",IF($X186&lt;=3.49,"Medium","High"))</f>
        <v>Low</v>
      </c>
      <c r="Z186" s="8" t="str">
        <f aca="false">IF(OR($F186&gt;=3,$E186=5,$D186=5,$C186=5,$G186=5,$H186=5,$I186=5,$J186=5,Customers!$W186="Yes"),"Yes","No")</f>
        <v>No</v>
      </c>
      <c r="AA186" s="15" t="str">
        <f aca="false">IF($Z186="Yes","High",$Y186)</f>
        <v>Low</v>
      </c>
      <c r="AB186" s="18" t="n">
        <f aca="false">SUMPRODUCT($C186:$G186,Weights!$C$28:$G$28)</f>
        <v>1.2</v>
      </c>
      <c r="AC186" s="18" t="n">
        <f aca="false">SUMPRODUCT($H186:$J186,Weights!$H$28:$J$28)</f>
        <v>1</v>
      </c>
      <c r="AD186" s="18" t="n">
        <f aca="false">SUMPRODUCT($K186:$N186,Weights!$K$28:$N$28)</f>
        <v>1.6</v>
      </c>
      <c r="AE186" s="18" t="n">
        <f aca="false">SUMPRODUCT($O186:$Q186,Weights!$O$28:$Q$28)</f>
        <v>2.6</v>
      </c>
      <c r="AF186" s="18" t="n">
        <f aca="false">SUMPRODUCT($R186:$V186,Weights!$R$28:$V$28)</f>
        <v>1.55</v>
      </c>
      <c r="AH186" s="18" t="n">
        <f aca="false">SUMPRODUCT($AB186:$AF186,Validation!$D$7:$H$7)</f>
        <v>1.45428571428615</v>
      </c>
      <c r="AI186" s="18" t="n">
        <f aca="false">SUMPRODUCT($AB186:$AF186,Validation!$D$8:$H$8)</f>
        <v>1.39071428571385</v>
      </c>
      <c r="AJ186" s="18" t="n">
        <f aca="false">SUMPRODUCT($AB186:$AF186,Validation!$D$9:$H$9)</f>
        <v>1.478833333333</v>
      </c>
      <c r="AK186" s="18" t="n">
        <f aca="false">SUMPRODUCT($AB186:$AF186,Validation!$D$10:$H$10)</f>
        <v>1.366166666667</v>
      </c>
      <c r="AL186" s="18" t="n">
        <f aca="false">SUMPRODUCT($AB186:$AF186,Validation!$D$11:$H$11)</f>
        <v>1.4003125</v>
      </c>
      <c r="AM186" s="18" t="n">
        <f aca="false">SUMPRODUCT($AB186:$AF186,Validation!$D$12:$H$12)</f>
        <v>1.4446875</v>
      </c>
      <c r="AN186" s="18" t="n">
        <f aca="false">SUMPRODUCT($AB186:$AF186,Validation!$D$13:$H$13)</f>
        <v>1.29166666666665</v>
      </c>
      <c r="AO186" s="18" t="n">
        <f aca="false">SUMPRODUCT($AB186:$AF186,Validation!$D$14:$H$14)</f>
        <v>1.55333333333335</v>
      </c>
      <c r="AP186" s="18" t="n">
        <f aca="false">SUMPRODUCT($AB186:$AF186,Validation!$D$15:$H$15)</f>
        <v>1.4074999999996</v>
      </c>
      <c r="AQ186" s="18" t="n">
        <f aca="false">SUMPRODUCT($AB186:$AF186,Validation!$D$16:$H$16)</f>
        <v>1.4375000000004</v>
      </c>
      <c r="AR186" s="8" t="n">
        <f aca="false">COUNTIF($C186:$V186,"&gt;=4")</f>
        <v>0</v>
      </c>
      <c r="AS186" s="8" t="str">
        <f aca="false">IF($X186&lt;=1.6,"Low",IF($X186&lt;=2.2,"Medium","High"))</f>
        <v>Low</v>
      </c>
      <c r="AT186" s="8" t="str">
        <f aca="false">IF($AR186=0,"Low",IF($AR186&lt;3,"Medium","High"))</f>
        <v>Low</v>
      </c>
      <c r="AU186" s="8" t="str">
        <f aca="false">IF(OR($AS186="High",$AT186="High"),"High",IF(OR($AS186="Medium",$AT186="Medium"),"Medium","Low"))</f>
        <v>Low</v>
      </c>
      <c r="AV186" s="15" t="str">
        <f aca="false">IF($Z186="Yes","High",$AU186)</f>
        <v>Low</v>
      </c>
    </row>
    <row r="187" customFormat="false" ht="15" hidden="false" customHeight="false" outlineLevel="0" collapsed="false">
      <c r="A187" s="7" t="str">
        <f aca="false">Customers!$A187</f>
        <v>NG-10357</v>
      </c>
      <c r="B187" s="7" t="str">
        <f aca="false">Customers!$B187</f>
        <v>Sole trader</v>
      </c>
      <c r="C187" s="8" t="n">
        <f aca="false">INDEX(Mapping!$C$2:$C$99,MATCH(C$1&amp;"|"&amp;Customers!C187,Mapping!$D$2:$D$99,0))</f>
        <v>2</v>
      </c>
      <c r="D187" s="8" t="n">
        <f aca="false">INDEX(Mapping!$C$2:$C$99,MATCH(D$1&amp;"|"&amp;Customers!D187,Mapping!$D$2:$D$99,0))</f>
        <v>1</v>
      </c>
      <c r="E187" s="8" t="n">
        <f aca="false">INDEX(Mapping!$C$2:$C$99,MATCH(E$1&amp;"|"&amp;Customers!E187,Mapping!$D$2:$D$99,0))</f>
        <v>4</v>
      </c>
      <c r="F187" s="8" t="n">
        <f aca="false">INDEX(Mapping!$C$2:$C$99,MATCH(F$1&amp;"|"&amp;Customers!F187,Mapping!$D$2:$D$99,0))</f>
        <v>1</v>
      </c>
      <c r="G187" s="8" t="n">
        <f aca="false">INDEX(Mapping!$C$2:$C$99,MATCH(G$1&amp;"|"&amp;Customers!G187,Mapping!$D$2:$D$99,0))</f>
        <v>2</v>
      </c>
      <c r="H187" s="8" t="n">
        <f aca="false">INDEX(Mapping!$C$2:$C$99,MATCH(H$1&amp;"|"&amp;Customers!H187,Mapping!$D$2:$D$99,0))</f>
        <v>1</v>
      </c>
      <c r="I187" s="8" t="n">
        <f aca="false">INDEX(Mapping!$C$2:$C$99,MATCH(I$1&amp;"|"&amp;Customers!I187,Mapping!$D$2:$D$99,0))</f>
        <v>1</v>
      </c>
      <c r="J187" s="8" t="n">
        <f aca="false">INDEX(Mapping!$C$2:$C$99,MATCH(J$1&amp;"|"&amp;Customers!J187,Mapping!$D$2:$D$99,0))</f>
        <v>2</v>
      </c>
      <c r="K187" s="8" t="n">
        <f aca="false">INDEX(Mapping!$C$2:$C$99,MATCH(K$1&amp;"|"&amp;Customers!K187,Mapping!$D$2:$D$99,0))</f>
        <v>4</v>
      </c>
      <c r="L187" s="8" t="n">
        <f aca="false">INDEX(Mapping!$C$2:$C$99,MATCH(L$1&amp;"|"&amp;Customers!L187,Mapping!$D$2:$D$99,0))</f>
        <v>4</v>
      </c>
      <c r="M187" s="8" t="n">
        <f aca="false">INDEX(Mapping!$C$2:$C$99,MATCH(M$1&amp;"|"&amp;Customers!M187,Mapping!$D$2:$D$99,0))</f>
        <v>3</v>
      </c>
      <c r="N187" s="8" t="n">
        <f aca="false">INDEX(Mapping!$C$2:$C$99,MATCH(N$1&amp;"|"&amp;Customers!N187,Mapping!$D$2:$D$99,0))</f>
        <v>1</v>
      </c>
      <c r="O187" s="8" t="n">
        <f aca="false">INDEX(Mapping!$C$2:$C$99,MATCH(O$1&amp;"|"&amp;Customers!O187,Mapping!$D$2:$D$99,0))</f>
        <v>1</v>
      </c>
      <c r="P187" s="8" t="n">
        <f aca="false">INDEX(Mapping!$C$2:$C$99,MATCH(P$1&amp;"|"&amp;Customers!P187,Mapping!$D$2:$D$99,0))</f>
        <v>4</v>
      </c>
      <c r="Q187" s="8" t="n">
        <f aca="false">INDEX(Mapping!$C$2:$C$99,MATCH(Q$1&amp;"|"&amp;Customers!Q187,Mapping!$D$2:$D$99,0))</f>
        <v>3</v>
      </c>
      <c r="R187" s="8" t="n">
        <f aca="false">INDEX(Mapping!$C$2:$C$99,MATCH(R$1&amp;"|"&amp;Customers!R187,Mapping!$D$2:$D$99,0))</f>
        <v>2</v>
      </c>
      <c r="S187" s="8" t="n">
        <f aca="false">INDEX(Mapping!$C$2:$C$99,MATCH(S$1&amp;"|"&amp;Customers!S187,Mapping!$D$2:$D$99,0))</f>
        <v>3</v>
      </c>
      <c r="T187" s="8" t="n">
        <f aca="false">INDEX(Mapping!$C$2:$C$99,MATCH(T$1&amp;"|"&amp;Customers!T187,Mapping!$D$2:$D$99,0))</f>
        <v>4</v>
      </c>
      <c r="U187" s="8" t="n">
        <f aca="false">INDEX(Mapping!$C$2:$C$99,MATCH(U$1&amp;"|"&amp;Customers!U187,Mapping!$D$2:$D$99,0))</f>
        <v>3</v>
      </c>
      <c r="V187" s="8" t="n">
        <f aca="false">INDEX(Mapping!$C$2:$C$99,MATCH(V$1&amp;"|"&amp;Customers!V187,Mapping!$D$2:$D$99,0))</f>
        <v>1</v>
      </c>
      <c r="W187" s="17" t="n">
        <f aca="false">SUMPRODUCT($C187:$V187,Weights!$C$27:$V$27)</f>
        <v>2.2975</v>
      </c>
      <c r="X187" s="18" t="n">
        <f aca="false">ROUND($W187,2)</f>
        <v>2.3</v>
      </c>
      <c r="Y187" s="8" t="str">
        <f aca="false">IF($X187&lt;=2,"Low",IF($X187&lt;=3.49,"Medium","High"))</f>
        <v>Medium</v>
      </c>
      <c r="Z187" s="8" t="str">
        <f aca="false">IF(OR($F187&gt;=3,$E187=5,$D187=5,$C187=5,$G187=5,$H187=5,$I187=5,$J187=5,Customers!$W187="Yes"),"Yes","No")</f>
        <v>No</v>
      </c>
      <c r="AA187" s="15" t="str">
        <f aca="false">IF($Z187="Yes","High",$Y187)</f>
        <v>Medium</v>
      </c>
      <c r="AB187" s="18" t="n">
        <f aca="false">SUMPRODUCT($C187:$G187,Weights!$C$28:$G$28)</f>
        <v>2.1</v>
      </c>
      <c r="AC187" s="18" t="n">
        <f aca="false">SUMPRODUCT($H187:$J187,Weights!$H$28:$J$28)</f>
        <v>1.4</v>
      </c>
      <c r="AD187" s="18" t="n">
        <f aca="false">SUMPRODUCT($K187:$N187,Weights!$K$28:$N$28)</f>
        <v>3.3</v>
      </c>
      <c r="AE187" s="18" t="n">
        <f aca="false">SUMPRODUCT($O187:$Q187,Weights!$O$28:$Q$28)</f>
        <v>2.45</v>
      </c>
      <c r="AF187" s="18" t="n">
        <f aca="false">SUMPRODUCT($R187:$V187,Weights!$R$28:$V$28)</f>
        <v>2.75</v>
      </c>
      <c r="AH187" s="18" t="n">
        <f aca="false">SUMPRODUCT($AB187:$AF187,Validation!$D$7:$H$7)</f>
        <v>2.32571428571435</v>
      </c>
      <c r="AI187" s="18" t="n">
        <f aca="false">SUMPRODUCT($AB187:$AF187,Validation!$D$8:$H$8)</f>
        <v>2.26928571428565</v>
      </c>
      <c r="AJ187" s="18" t="n">
        <f aca="false">SUMPRODUCT($AB187:$AF187,Validation!$D$9:$H$9)</f>
        <v>2.41716666666695</v>
      </c>
      <c r="AK187" s="18" t="n">
        <f aca="false">SUMPRODUCT($AB187:$AF187,Validation!$D$10:$H$10)</f>
        <v>2.17783333333305</v>
      </c>
      <c r="AL187" s="18" t="n">
        <f aca="false">SUMPRODUCT($AB187:$AF187,Validation!$D$11:$H$11)</f>
        <v>2.1721875</v>
      </c>
      <c r="AM187" s="18" t="n">
        <f aca="false">SUMPRODUCT($AB187:$AF187,Validation!$D$12:$H$12)</f>
        <v>2.4228125</v>
      </c>
      <c r="AN187" s="18" t="n">
        <f aca="false">SUMPRODUCT($AB187:$AF187,Validation!$D$13:$H$13)</f>
        <v>2.28055555555535</v>
      </c>
      <c r="AO187" s="18" t="n">
        <f aca="false">SUMPRODUCT($AB187:$AF187,Validation!$D$14:$H$14)</f>
        <v>2.31444444444465</v>
      </c>
      <c r="AP187" s="18" t="n">
        <f aca="false">SUMPRODUCT($AB187:$AF187,Validation!$D$15:$H$15)</f>
        <v>2.2442647058825</v>
      </c>
      <c r="AQ187" s="18" t="n">
        <f aca="false">SUMPRODUCT($AB187:$AF187,Validation!$D$16:$H$16)</f>
        <v>2.3507352941175</v>
      </c>
      <c r="AR187" s="8" t="n">
        <f aca="false">COUNTIF($C187:$V187,"&gt;=4")</f>
        <v>5</v>
      </c>
      <c r="AS187" s="8" t="str">
        <f aca="false">IF($X187&lt;=1.6,"Low",IF($X187&lt;=2.2,"Medium","High"))</f>
        <v>High</v>
      </c>
      <c r="AT187" s="8" t="str">
        <f aca="false">IF($AR187=0,"Low",IF($AR187&lt;3,"Medium","High"))</f>
        <v>High</v>
      </c>
      <c r="AU187" s="8" t="str">
        <f aca="false">IF(OR($AS187="High",$AT187="High"),"High",IF(OR($AS187="Medium",$AT187="Medium"),"Medium","Low"))</f>
        <v>High</v>
      </c>
      <c r="AV187" s="15" t="str">
        <f aca="false">IF($Z187="Yes","High",$AU187)</f>
        <v>High</v>
      </c>
    </row>
    <row r="188" customFormat="false" ht="15" hidden="false" customHeight="false" outlineLevel="0" collapsed="false">
      <c r="A188" s="7" t="str">
        <f aca="false">Customers!$A188</f>
        <v>NG-10088</v>
      </c>
      <c r="B188" s="7" t="str">
        <f aca="false">Customers!$B188</f>
        <v>Personal</v>
      </c>
      <c r="C188" s="8" t="n">
        <f aca="false">INDEX(Mapping!$C$2:$C$99,MATCH(C$1&amp;"|"&amp;Customers!C188,Mapping!$D$2:$D$99,0))</f>
        <v>1</v>
      </c>
      <c r="D188" s="8" t="n">
        <f aca="false">INDEX(Mapping!$C$2:$C$99,MATCH(D$1&amp;"|"&amp;Customers!D188,Mapping!$D$2:$D$99,0))</f>
        <v>1</v>
      </c>
      <c r="E188" s="8" t="n">
        <f aca="false">INDEX(Mapping!$C$2:$C$99,MATCH(E$1&amp;"|"&amp;Customers!E188,Mapping!$D$2:$D$99,0))</f>
        <v>1</v>
      </c>
      <c r="F188" s="8" t="n">
        <f aca="false">INDEX(Mapping!$C$2:$C$99,MATCH(F$1&amp;"|"&amp;Customers!F188,Mapping!$D$2:$D$99,0))</f>
        <v>1</v>
      </c>
      <c r="G188" s="8" t="n">
        <f aca="false">INDEX(Mapping!$C$2:$C$99,MATCH(G$1&amp;"|"&amp;Customers!G188,Mapping!$D$2:$D$99,0))</f>
        <v>1</v>
      </c>
      <c r="H188" s="8" t="n">
        <f aca="false">INDEX(Mapping!$C$2:$C$99,MATCH(H$1&amp;"|"&amp;Customers!H188,Mapping!$D$2:$D$99,0))</f>
        <v>1</v>
      </c>
      <c r="I188" s="8" t="n">
        <f aca="false">INDEX(Mapping!$C$2:$C$99,MATCH(I$1&amp;"|"&amp;Customers!I188,Mapping!$D$2:$D$99,0))</f>
        <v>1</v>
      </c>
      <c r="J188" s="8" t="n">
        <f aca="false">INDEX(Mapping!$C$2:$C$99,MATCH(J$1&amp;"|"&amp;Customers!J188,Mapping!$D$2:$D$99,0))</f>
        <v>1</v>
      </c>
      <c r="K188" s="8" t="n">
        <f aca="false">INDEX(Mapping!$C$2:$C$99,MATCH(K$1&amp;"|"&amp;Customers!K188,Mapping!$D$2:$D$99,0))</f>
        <v>3</v>
      </c>
      <c r="L188" s="8" t="n">
        <f aca="false">INDEX(Mapping!$C$2:$C$99,MATCH(L$1&amp;"|"&amp;Customers!L188,Mapping!$D$2:$D$99,0))</f>
        <v>3</v>
      </c>
      <c r="M188" s="8" t="n">
        <f aca="false">INDEX(Mapping!$C$2:$C$99,MATCH(M$1&amp;"|"&amp;Customers!M188,Mapping!$D$2:$D$99,0))</f>
        <v>1</v>
      </c>
      <c r="N188" s="8" t="n">
        <f aca="false">INDEX(Mapping!$C$2:$C$99,MATCH(N$1&amp;"|"&amp;Customers!N188,Mapping!$D$2:$D$99,0))</f>
        <v>2</v>
      </c>
      <c r="O188" s="8" t="n">
        <f aca="false">INDEX(Mapping!$C$2:$C$99,MATCH(O$1&amp;"|"&amp;Customers!O188,Mapping!$D$2:$D$99,0))</f>
        <v>1</v>
      </c>
      <c r="P188" s="8" t="n">
        <f aca="false">INDEX(Mapping!$C$2:$C$99,MATCH(P$1&amp;"|"&amp;Customers!P188,Mapping!$D$2:$D$99,0))</f>
        <v>4</v>
      </c>
      <c r="Q188" s="8" t="n">
        <f aca="false">INDEX(Mapping!$C$2:$C$99,MATCH(Q$1&amp;"|"&amp;Customers!Q188,Mapping!$D$2:$D$99,0))</f>
        <v>1</v>
      </c>
      <c r="R188" s="8" t="n">
        <f aca="false">INDEX(Mapping!$C$2:$C$99,MATCH(R$1&amp;"|"&amp;Customers!R188,Mapping!$D$2:$D$99,0))</f>
        <v>1</v>
      </c>
      <c r="S188" s="8" t="n">
        <f aca="false">INDEX(Mapping!$C$2:$C$99,MATCH(S$1&amp;"|"&amp;Customers!S188,Mapping!$D$2:$D$99,0))</f>
        <v>2</v>
      </c>
      <c r="T188" s="8" t="n">
        <f aca="false">INDEX(Mapping!$C$2:$C$99,MATCH(T$1&amp;"|"&amp;Customers!T188,Mapping!$D$2:$D$99,0))</f>
        <v>1</v>
      </c>
      <c r="U188" s="8" t="n">
        <f aca="false">INDEX(Mapping!$C$2:$C$99,MATCH(U$1&amp;"|"&amp;Customers!U188,Mapping!$D$2:$D$99,0))</f>
        <v>1</v>
      </c>
      <c r="V188" s="8" t="n">
        <f aca="false">INDEX(Mapping!$C$2:$C$99,MATCH(V$1&amp;"|"&amp;Customers!V188,Mapping!$D$2:$D$99,0))</f>
        <v>1</v>
      </c>
      <c r="W188" s="17" t="n">
        <f aca="false">SUMPRODUCT($C188:$V188,Weights!$C$27:$V$27)</f>
        <v>1.42</v>
      </c>
      <c r="X188" s="18" t="n">
        <f aca="false">ROUND($W188,2)</f>
        <v>1.42</v>
      </c>
      <c r="Y188" s="8" t="str">
        <f aca="false">IF($X188&lt;=2,"Low",IF($X188&lt;=3.49,"Medium","High"))</f>
        <v>Low</v>
      </c>
      <c r="Z188" s="8" t="str">
        <f aca="false">IF(OR($F188&gt;=3,$E188=5,$D188=5,$C188=5,$G188=5,$H188=5,$I188=5,$J188=5,Customers!$W188="Yes"),"Yes","No")</f>
        <v>No</v>
      </c>
      <c r="AA188" s="15" t="str">
        <f aca="false">IF($Z188="Yes","High",$Y188)</f>
        <v>Low</v>
      </c>
      <c r="AB188" s="18" t="n">
        <f aca="false">SUMPRODUCT($C188:$G188,Weights!$C$28:$G$28)</f>
        <v>1</v>
      </c>
      <c r="AC188" s="18" t="n">
        <f aca="false">SUMPRODUCT($H188:$J188,Weights!$H$28:$J$28)</f>
        <v>1</v>
      </c>
      <c r="AD188" s="18" t="n">
        <f aca="false">SUMPRODUCT($K188:$N188,Weights!$K$28:$N$28)</f>
        <v>2.35</v>
      </c>
      <c r="AE188" s="18" t="n">
        <f aca="false">SUMPRODUCT($O188:$Q188,Weights!$O$28:$Q$28)</f>
        <v>2.05</v>
      </c>
      <c r="AF188" s="18" t="n">
        <f aca="false">SUMPRODUCT($R188:$V188,Weights!$R$28:$V$28)</f>
        <v>1.3</v>
      </c>
      <c r="AH188" s="18" t="n">
        <f aca="false">SUMPRODUCT($AB188:$AF188,Validation!$D$7:$H$7)</f>
        <v>1.47999999999985</v>
      </c>
      <c r="AI188" s="18" t="n">
        <f aca="false">SUMPRODUCT($AB188:$AF188,Validation!$D$8:$H$8)</f>
        <v>1.36000000000015</v>
      </c>
      <c r="AJ188" s="18" t="n">
        <f aca="false">SUMPRODUCT($AB188:$AF188,Validation!$D$9:$H$9)</f>
        <v>1.4760000000001</v>
      </c>
      <c r="AK188" s="18" t="n">
        <f aca="false">SUMPRODUCT($AB188:$AF188,Validation!$D$10:$H$10)</f>
        <v>1.3639999999999</v>
      </c>
      <c r="AL188" s="18" t="n">
        <f aca="false">SUMPRODUCT($AB188:$AF188,Validation!$D$11:$H$11)</f>
        <v>1.30375</v>
      </c>
      <c r="AM188" s="18" t="n">
        <f aca="false">SUMPRODUCT($AB188:$AF188,Validation!$D$12:$H$12)</f>
        <v>1.53625</v>
      </c>
      <c r="AN188" s="18" t="n">
        <f aca="false">SUMPRODUCT($AB188:$AF188,Validation!$D$13:$H$13)</f>
        <v>1.3499999999998</v>
      </c>
      <c r="AO188" s="18" t="n">
        <f aca="false">SUMPRODUCT($AB188:$AF188,Validation!$D$14:$H$14)</f>
        <v>1.4900000000002</v>
      </c>
      <c r="AP188" s="18" t="n">
        <f aca="false">SUMPRODUCT($AB188:$AF188,Validation!$D$15:$H$15)</f>
        <v>1.43411764705885</v>
      </c>
      <c r="AQ188" s="18" t="n">
        <f aca="false">SUMPRODUCT($AB188:$AF188,Validation!$D$16:$H$16)</f>
        <v>1.40588235294115</v>
      </c>
      <c r="AR188" s="8" t="n">
        <f aca="false">COUNTIF($C188:$V188,"&gt;=4")</f>
        <v>1</v>
      </c>
      <c r="AS188" s="8" t="str">
        <f aca="false">IF($X188&lt;=1.6,"Low",IF($X188&lt;=2.2,"Medium","High"))</f>
        <v>Low</v>
      </c>
      <c r="AT188" s="8" t="str">
        <f aca="false">IF($AR188=0,"Low",IF($AR188&lt;3,"Medium","High"))</f>
        <v>Medium</v>
      </c>
      <c r="AU188" s="8" t="str">
        <f aca="false">IF(OR($AS188="High",$AT188="High"),"High",IF(OR($AS188="Medium",$AT188="Medium"),"Medium","Low"))</f>
        <v>Medium</v>
      </c>
      <c r="AV188" s="15" t="str">
        <f aca="false">IF($Z188="Yes","High",$AU188)</f>
        <v>Medium</v>
      </c>
    </row>
    <row r="189" customFormat="false" ht="15" hidden="false" customHeight="false" outlineLevel="0" collapsed="false">
      <c r="A189" s="7" t="str">
        <f aca="false">Customers!$A189</f>
        <v>NG-10351</v>
      </c>
      <c r="B189" s="7" t="str">
        <f aca="false">Customers!$B189</f>
        <v>Sole trader</v>
      </c>
      <c r="C189" s="8" t="n">
        <f aca="false">INDEX(Mapping!$C$2:$C$99,MATCH(C$1&amp;"|"&amp;Customers!C189,Mapping!$D$2:$D$99,0))</f>
        <v>2</v>
      </c>
      <c r="D189" s="8" t="n">
        <f aca="false">INDEX(Mapping!$C$2:$C$99,MATCH(D$1&amp;"|"&amp;Customers!D189,Mapping!$D$2:$D$99,0))</f>
        <v>1</v>
      </c>
      <c r="E189" s="8" t="n">
        <f aca="false">INDEX(Mapping!$C$2:$C$99,MATCH(E$1&amp;"|"&amp;Customers!E189,Mapping!$D$2:$D$99,0))</f>
        <v>4</v>
      </c>
      <c r="F189" s="8" t="n">
        <f aca="false">INDEX(Mapping!$C$2:$C$99,MATCH(F$1&amp;"|"&amp;Customers!F189,Mapping!$D$2:$D$99,0))</f>
        <v>1</v>
      </c>
      <c r="G189" s="8" t="n">
        <f aca="false">INDEX(Mapping!$C$2:$C$99,MATCH(G$1&amp;"|"&amp;Customers!G189,Mapping!$D$2:$D$99,0))</f>
        <v>1</v>
      </c>
      <c r="H189" s="8" t="n">
        <f aca="false">INDEX(Mapping!$C$2:$C$99,MATCH(H$1&amp;"|"&amp;Customers!H189,Mapping!$D$2:$D$99,0))</f>
        <v>1</v>
      </c>
      <c r="I189" s="8" t="n">
        <f aca="false">INDEX(Mapping!$C$2:$C$99,MATCH(I$1&amp;"|"&amp;Customers!I189,Mapping!$D$2:$D$99,0))</f>
        <v>1</v>
      </c>
      <c r="J189" s="8" t="n">
        <f aca="false">INDEX(Mapping!$C$2:$C$99,MATCH(J$1&amp;"|"&amp;Customers!J189,Mapping!$D$2:$D$99,0))</f>
        <v>1</v>
      </c>
      <c r="K189" s="8" t="n">
        <f aca="false">INDEX(Mapping!$C$2:$C$99,MATCH(K$1&amp;"|"&amp;Customers!K189,Mapping!$D$2:$D$99,0))</f>
        <v>4</v>
      </c>
      <c r="L189" s="8" t="n">
        <f aca="false">INDEX(Mapping!$C$2:$C$99,MATCH(L$1&amp;"|"&amp;Customers!L189,Mapping!$D$2:$D$99,0))</f>
        <v>2</v>
      </c>
      <c r="M189" s="8" t="n">
        <f aca="false">INDEX(Mapping!$C$2:$C$99,MATCH(M$1&amp;"|"&amp;Customers!M189,Mapping!$D$2:$D$99,0))</f>
        <v>1</v>
      </c>
      <c r="N189" s="8" t="n">
        <f aca="false">INDEX(Mapping!$C$2:$C$99,MATCH(N$1&amp;"|"&amp;Customers!N189,Mapping!$D$2:$D$99,0))</f>
        <v>1</v>
      </c>
      <c r="O189" s="8" t="n">
        <f aca="false">INDEX(Mapping!$C$2:$C$99,MATCH(O$1&amp;"|"&amp;Customers!O189,Mapping!$D$2:$D$99,0))</f>
        <v>3</v>
      </c>
      <c r="P189" s="8" t="n">
        <f aca="false">INDEX(Mapping!$C$2:$C$99,MATCH(P$1&amp;"|"&amp;Customers!P189,Mapping!$D$2:$D$99,0))</f>
        <v>4</v>
      </c>
      <c r="Q189" s="8" t="n">
        <f aca="false">INDEX(Mapping!$C$2:$C$99,MATCH(Q$1&amp;"|"&amp;Customers!Q189,Mapping!$D$2:$D$99,0))</f>
        <v>2</v>
      </c>
      <c r="R189" s="8" t="n">
        <f aca="false">INDEX(Mapping!$C$2:$C$99,MATCH(R$1&amp;"|"&amp;Customers!R189,Mapping!$D$2:$D$99,0))</f>
        <v>4</v>
      </c>
      <c r="S189" s="8" t="n">
        <f aca="false">INDEX(Mapping!$C$2:$C$99,MATCH(S$1&amp;"|"&amp;Customers!S189,Mapping!$D$2:$D$99,0))</f>
        <v>4</v>
      </c>
      <c r="T189" s="8" t="n">
        <f aca="false">INDEX(Mapping!$C$2:$C$99,MATCH(T$1&amp;"|"&amp;Customers!T189,Mapping!$D$2:$D$99,0))</f>
        <v>1</v>
      </c>
      <c r="U189" s="8" t="n">
        <f aca="false">INDEX(Mapping!$C$2:$C$99,MATCH(U$1&amp;"|"&amp;Customers!U189,Mapping!$D$2:$D$99,0))</f>
        <v>3</v>
      </c>
      <c r="V189" s="8" t="n">
        <f aca="false">INDEX(Mapping!$C$2:$C$99,MATCH(V$1&amp;"|"&amp;Customers!V189,Mapping!$D$2:$D$99,0))</f>
        <v>3</v>
      </c>
      <c r="W189" s="17" t="n">
        <f aca="false">SUMPRODUCT($C189:$V189,Weights!$C$27:$V$27)</f>
        <v>2.0825</v>
      </c>
      <c r="X189" s="18" t="n">
        <f aca="false">ROUND($W189,2)</f>
        <v>2.08</v>
      </c>
      <c r="Y189" s="8" t="str">
        <f aca="false">IF($X189&lt;=2,"Low",IF($X189&lt;=3.49,"Medium","High"))</f>
        <v>Medium</v>
      </c>
      <c r="Z189" s="8" t="str">
        <f aca="false">IF(OR($F189&gt;=3,$E189=5,$D189=5,$C189=5,$G189=5,$H189=5,$I189=5,$J189=5,Customers!$W189="Yes"),"Yes","No")</f>
        <v>No</v>
      </c>
      <c r="AA189" s="15" t="str">
        <f aca="false">IF($Z189="Yes","High",$Y189)</f>
        <v>Medium</v>
      </c>
      <c r="AB189" s="18" t="n">
        <f aca="false">SUMPRODUCT($C189:$G189,Weights!$C$28:$G$28)</f>
        <v>1.95</v>
      </c>
      <c r="AC189" s="18" t="n">
        <f aca="false">SUMPRODUCT($H189:$J189,Weights!$H$28:$J$28)</f>
        <v>1</v>
      </c>
      <c r="AD189" s="18" t="n">
        <f aca="false">SUMPRODUCT($K189:$N189,Weights!$K$28:$N$28)</f>
        <v>2.3</v>
      </c>
      <c r="AE189" s="18" t="n">
        <f aca="false">SUMPRODUCT($O189:$Q189,Weights!$O$28:$Q$28)</f>
        <v>3.15</v>
      </c>
      <c r="AF189" s="18" t="n">
        <f aca="false">SUMPRODUCT($R189:$V189,Weights!$R$28:$V$28)</f>
        <v>3.15</v>
      </c>
      <c r="AH189" s="18" t="n">
        <f aca="false">SUMPRODUCT($AB189:$AF189,Validation!$D$7:$H$7)</f>
        <v>2.10142857142955</v>
      </c>
      <c r="AI189" s="18" t="n">
        <f aca="false">SUMPRODUCT($AB189:$AF189,Validation!$D$8:$H$8)</f>
        <v>2.06357142857045</v>
      </c>
      <c r="AJ189" s="18" t="n">
        <f aca="false">SUMPRODUCT($AB189:$AF189,Validation!$D$9:$H$9)</f>
        <v>2.22683333333305</v>
      </c>
      <c r="AK189" s="18" t="n">
        <f aca="false">SUMPRODUCT($AB189:$AF189,Validation!$D$10:$H$10)</f>
        <v>1.93816666666695</v>
      </c>
      <c r="AL189" s="18" t="n">
        <f aca="false">SUMPRODUCT($AB189:$AF189,Validation!$D$11:$H$11)</f>
        <v>2.0553125</v>
      </c>
      <c r="AM189" s="18" t="n">
        <f aca="false">SUMPRODUCT($AB189:$AF189,Validation!$D$12:$H$12)</f>
        <v>2.1096875</v>
      </c>
      <c r="AN189" s="18" t="n">
        <f aca="false">SUMPRODUCT($AB189:$AF189,Validation!$D$13:$H$13)</f>
        <v>1.963888888889</v>
      </c>
      <c r="AO189" s="18" t="n">
        <f aca="false">SUMPRODUCT($AB189:$AF189,Validation!$D$14:$H$14)</f>
        <v>2.201111111111</v>
      </c>
      <c r="AP189" s="18" t="n">
        <f aca="false">SUMPRODUCT($AB189:$AF189,Validation!$D$15:$H$15)</f>
        <v>1.95691176470545</v>
      </c>
      <c r="AQ189" s="18" t="n">
        <f aca="false">SUMPRODUCT($AB189:$AF189,Validation!$D$16:$H$16)</f>
        <v>2.20808823529455</v>
      </c>
      <c r="AR189" s="8" t="n">
        <f aca="false">COUNTIF($C189:$V189,"&gt;=4")</f>
        <v>5</v>
      </c>
      <c r="AS189" s="8" t="str">
        <f aca="false">IF($X189&lt;=1.6,"Low",IF($X189&lt;=2.2,"Medium","High"))</f>
        <v>Medium</v>
      </c>
      <c r="AT189" s="8" t="str">
        <f aca="false">IF($AR189=0,"Low",IF($AR189&lt;3,"Medium","High"))</f>
        <v>High</v>
      </c>
      <c r="AU189" s="8" t="str">
        <f aca="false">IF(OR($AS189="High",$AT189="High"),"High",IF(OR($AS189="Medium",$AT189="Medium"),"Medium","Low"))</f>
        <v>High</v>
      </c>
      <c r="AV189" s="15" t="str">
        <f aca="false">IF($Z189="Yes","High",$AU189)</f>
        <v>High</v>
      </c>
    </row>
    <row r="190" customFormat="false" ht="15" hidden="false" customHeight="false" outlineLevel="0" collapsed="false">
      <c r="A190" s="7" t="str">
        <f aca="false">Customers!$A190</f>
        <v>NG-10116</v>
      </c>
      <c r="B190" s="7" t="str">
        <f aca="false">Customers!$B190</f>
        <v>Personal</v>
      </c>
      <c r="C190" s="8" t="n">
        <f aca="false">INDEX(Mapping!$C$2:$C$99,MATCH(C$1&amp;"|"&amp;Customers!C190,Mapping!$D$2:$D$99,0))</f>
        <v>1</v>
      </c>
      <c r="D190" s="8" t="n">
        <f aca="false">INDEX(Mapping!$C$2:$C$99,MATCH(D$1&amp;"|"&amp;Customers!D190,Mapping!$D$2:$D$99,0))</f>
        <v>1</v>
      </c>
      <c r="E190" s="8" t="n">
        <f aca="false">INDEX(Mapping!$C$2:$C$99,MATCH(E$1&amp;"|"&amp;Customers!E190,Mapping!$D$2:$D$99,0))</f>
        <v>1</v>
      </c>
      <c r="F190" s="8" t="n">
        <f aca="false">INDEX(Mapping!$C$2:$C$99,MATCH(F$1&amp;"|"&amp;Customers!F190,Mapping!$D$2:$D$99,0))</f>
        <v>1</v>
      </c>
      <c r="G190" s="8" t="n">
        <f aca="false">INDEX(Mapping!$C$2:$C$99,MATCH(G$1&amp;"|"&amp;Customers!G190,Mapping!$D$2:$D$99,0))</f>
        <v>1</v>
      </c>
      <c r="H190" s="8" t="n">
        <f aca="false">INDEX(Mapping!$C$2:$C$99,MATCH(H$1&amp;"|"&amp;Customers!H190,Mapping!$D$2:$D$99,0))</f>
        <v>1</v>
      </c>
      <c r="I190" s="8" t="n">
        <f aca="false">INDEX(Mapping!$C$2:$C$99,MATCH(I$1&amp;"|"&amp;Customers!I190,Mapping!$D$2:$D$99,0))</f>
        <v>1</v>
      </c>
      <c r="J190" s="8" t="n">
        <f aca="false">INDEX(Mapping!$C$2:$C$99,MATCH(J$1&amp;"|"&amp;Customers!J190,Mapping!$D$2:$D$99,0))</f>
        <v>1</v>
      </c>
      <c r="K190" s="8" t="n">
        <f aca="false">INDEX(Mapping!$C$2:$C$99,MATCH(K$1&amp;"|"&amp;Customers!K190,Mapping!$D$2:$D$99,0))</f>
        <v>3</v>
      </c>
      <c r="L190" s="8" t="n">
        <f aca="false">INDEX(Mapping!$C$2:$C$99,MATCH(L$1&amp;"|"&amp;Customers!L190,Mapping!$D$2:$D$99,0))</f>
        <v>2</v>
      </c>
      <c r="M190" s="8" t="n">
        <f aca="false">INDEX(Mapping!$C$2:$C$99,MATCH(M$1&amp;"|"&amp;Customers!M190,Mapping!$D$2:$D$99,0))</f>
        <v>2</v>
      </c>
      <c r="N190" s="8" t="n">
        <f aca="false">INDEX(Mapping!$C$2:$C$99,MATCH(N$1&amp;"|"&amp;Customers!N190,Mapping!$D$2:$D$99,0))</f>
        <v>1</v>
      </c>
      <c r="O190" s="8" t="n">
        <f aca="false">INDEX(Mapping!$C$2:$C$99,MATCH(O$1&amp;"|"&amp;Customers!O190,Mapping!$D$2:$D$99,0))</f>
        <v>3</v>
      </c>
      <c r="P190" s="8" t="n">
        <f aca="false">INDEX(Mapping!$C$2:$C$99,MATCH(P$1&amp;"|"&amp;Customers!P190,Mapping!$D$2:$D$99,0))</f>
        <v>3</v>
      </c>
      <c r="Q190" s="8" t="n">
        <f aca="false">INDEX(Mapping!$C$2:$C$99,MATCH(Q$1&amp;"|"&amp;Customers!Q190,Mapping!$D$2:$D$99,0))</f>
        <v>1</v>
      </c>
      <c r="R190" s="8" t="n">
        <f aca="false">INDEX(Mapping!$C$2:$C$99,MATCH(R$1&amp;"|"&amp;Customers!R190,Mapping!$D$2:$D$99,0))</f>
        <v>1</v>
      </c>
      <c r="S190" s="8" t="n">
        <f aca="false">INDEX(Mapping!$C$2:$C$99,MATCH(S$1&amp;"|"&amp;Customers!S190,Mapping!$D$2:$D$99,0))</f>
        <v>1</v>
      </c>
      <c r="T190" s="8" t="n">
        <f aca="false">INDEX(Mapping!$C$2:$C$99,MATCH(T$1&amp;"|"&amp;Customers!T190,Mapping!$D$2:$D$99,0))</f>
        <v>2</v>
      </c>
      <c r="U190" s="8" t="n">
        <f aca="false">INDEX(Mapping!$C$2:$C$99,MATCH(U$1&amp;"|"&amp;Customers!U190,Mapping!$D$2:$D$99,0))</f>
        <v>1</v>
      </c>
      <c r="V190" s="8" t="n">
        <f aca="false">INDEX(Mapping!$C$2:$C$99,MATCH(V$1&amp;"|"&amp;Customers!V190,Mapping!$D$2:$D$99,0))</f>
        <v>1</v>
      </c>
      <c r="W190" s="17" t="n">
        <f aca="false">SUMPRODUCT($C190:$V190,Weights!$C$27:$V$27)</f>
        <v>1.43</v>
      </c>
      <c r="X190" s="18" t="n">
        <f aca="false">ROUND($W190,2)</f>
        <v>1.43</v>
      </c>
      <c r="Y190" s="8" t="str">
        <f aca="false">IF($X190&lt;=2,"Low",IF($X190&lt;=3.49,"Medium","High"))</f>
        <v>Low</v>
      </c>
      <c r="Z190" s="8" t="str">
        <f aca="false">IF(OR($F190&gt;=3,$E190=5,$D190=5,$C190=5,$G190=5,$H190=5,$I190=5,$J190=5,Customers!$W190="Yes"),"Yes","No")</f>
        <v>No</v>
      </c>
      <c r="AA190" s="15" t="str">
        <f aca="false">IF($Z190="Yes","High",$Y190)</f>
        <v>Low</v>
      </c>
      <c r="AB190" s="18" t="n">
        <f aca="false">SUMPRODUCT($C190:$G190,Weights!$C$28:$G$28)</f>
        <v>1</v>
      </c>
      <c r="AC190" s="18" t="n">
        <f aca="false">SUMPRODUCT($H190:$J190,Weights!$H$28:$J$28)</f>
        <v>1</v>
      </c>
      <c r="AD190" s="18" t="n">
        <f aca="false">SUMPRODUCT($K190:$N190,Weights!$K$28:$N$28)</f>
        <v>2.2</v>
      </c>
      <c r="AE190" s="18" t="n">
        <f aca="false">SUMPRODUCT($O190:$Q190,Weights!$O$28:$Q$28)</f>
        <v>2.6</v>
      </c>
      <c r="AF190" s="18" t="n">
        <f aca="false">SUMPRODUCT($R190:$V190,Weights!$R$28:$V$28)</f>
        <v>1.2</v>
      </c>
      <c r="AH190" s="18" t="n">
        <f aca="false">SUMPRODUCT($AB190:$AF190,Validation!$D$7:$H$7)</f>
        <v>1.4914285714286</v>
      </c>
      <c r="AI190" s="18" t="n">
        <f aca="false">SUMPRODUCT($AB190:$AF190,Validation!$D$8:$H$8)</f>
        <v>1.3685714285714</v>
      </c>
      <c r="AJ190" s="18" t="n">
        <f aca="false">SUMPRODUCT($AB190:$AF190,Validation!$D$9:$H$9)</f>
        <v>1.4873333333332</v>
      </c>
      <c r="AK190" s="18" t="n">
        <f aca="false">SUMPRODUCT($AB190:$AF190,Validation!$D$10:$H$10)</f>
        <v>1.3726666666668</v>
      </c>
      <c r="AL190" s="18" t="n">
        <f aca="false">SUMPRODUCT($AB190:$AF190,Validation!$D$11:$H$11)</f>
        <v>1.33375</v>
      </c>
      <c r="AM190" s="18" t="n">
        <f aca="false">SUMPRODUCT($AB190:$AF190,Validation!$D$12:$H$12)</f>
        <v>1.52625</v>
      </c>
      <c r="AN190" s="18" t="n">
        <f aca="false">SUMPRODUCT($AB190:$AF190,Validation!$D$13:$H$13)</f>
        <v>1.2999999999998</v>
      </c>
      <c r="AO190" s="18" t="n">
        <f aca="false">SUMPRODUCT($AB190:$AF190,Validation!$D$14:$H$14)</f>
        <v>1.5600000000002</v>
      </c>
      <c r="AP190" s="18" t="n">
        <f aca="false">SUMPRODUCT($AB190:$AF190,Validation!$D$15:$H$15)</f>
        <v>1.4570588235292</v>
      </c>
      <c r="AQ190" s="18" t="n">
        <f aca="false">SUMPRODUCT($AB190:$AF190,Validation!$D$16:$H$16)</f>
        <v>1.4029411764708</v>
      </c>
      <c r="AR190" s="8" t="n">
        <f aca="false">COUNTIF($C190:$V190,"&gt;=4")</f>
        <v>0</v>
      </c>
      <c r="AS190" s="8" t="str">
        <f aca="false">IF($X190&lt;=1.6,"Low",IF($X190&lt;=2.2,"Medium","High"))</f>
        <v>Low</v>
      </c>
      <c r="AT190" s="8" t="str">
        <f aca="false">IF($AR190=0,"Low",IF($AR190&lt;3,"Medium","High"))</f>
        <v>Low</v>
      </c>
      <c r="AU190" s="8" t="str">
        <f aca="false">IF(OR($AS190="High",$AT190="High"),"High",IF(OR($AS190="Medium",$AT190="Medium"),"Medium","Low"))</f>
        <v>Low</v>
      </c>
      <c r="AV190" s="15" t="str">
        <f aca="false">IF($Z190="Yes","High",$AU190)</f>
        <v>Low</v>
      </c>
    </row>
    <row r="191" customFormat="false" ht="15" hidden="false" customHeight="false" outlineLevel="0" collapsed="false">
      <c r="A191" s="7" t="str">
        <f aca="false">Customers!$A191</f>
        <v>NG-10186</v>
      </c>
      <c r="B191" s="7" t="str">
        <f aca="false">Customers!$B191</f>
        <v>Personal</v>
      </c>
      <c r="C191" s="8" t="n">
        <f aca="false">INDEX(Mapping!$C$2:$C$99,MATCH(C$1&amp;"|"&amp;Customers!C191,Mapping!$D$2:$D$99,0))</f>
        <v>1</v>
      </c>
      <c r="D191" s="8" t="n">
        <f aca="false">INDEX(Mapping!$C$2:$C$99,MATCH(D$1&amp;"|"&amp;Customers!D191,Mapping!$D$2:$D$99,0))</f>
        <v>1</v>
      </c>
      <c r="E191" s="8" t="n">
        <f aca="false">INDEX(Mapping!$C$2:$C$99,MATCH(E$1&amp;"|"&amp;Customers!E191,Mapping!$D$2:$D$99,0))</f>
        <v>1</v>
      </c>
      <c r="F191" s="8" t="n">
        <f aca="false">INDEX(Mapping!$C$2:$C$99,MATCH(F$1&amp;"|"&amp;Customers!F191,Mapping!$D$2:$D$99,0))</f>
        <v>1</v>
      </c>
      <c r="G191" s="8" t="n">
        <f aca="false">INDEX(Mapping!$C$2:$C$99,MATCH(G$1&amp;"|"&amp;Customers!G191,Mapping!$D$2:$D$99,0))</f>
        <v>2</v>
      </c>
      <c r="H191" s="8" t="n">
        <f aca="false">INDEX(Mapping!$C$2:$C$99,MATCH(H$1&amp;"|"&amp;Customers!H191,Mapping!$D$2:$D$99,0))</f>
        <v>1</v>
      </c>
      <c r="I191" s="8" t="n">
        <f aca="false">INDEX(Mapping!$C$2:$C$99,MATCH(I$1&amp;"|"&amp;Customers!I191,Mapping!$D$2:$D$99,0))</f>
        <v>1</v>
      </c>
      <c r="J191" s="8" t="n">
        <f aca="false">INDEX(Mapping!$C$2:$C$99,MATCH(J$1&amp;"|"&amp;Customers!J191,Mapping!$D$2:$D$99,0))</f>
        <v>2</v>
      </c>
      <c r="K191" s="8" t="n">
        <f aca="false">INDEX(Mapping!$C$2:$C$99,MATCH(K$1&amp;"|"&amp;Customers!K191,Mapping!$D$2:$D$99,0))</f>
        <v>2</v>
      </c>
      <c r="L191" s="8" t="n">
        <f aca="false">INDEX(Mapping!$C$2:$C$99,MATCH(L$1&amp;"|"&amp;Customers!L191,Mapping!$D$2:$D$99,0))</f>
        <v>3</v>
      </c>
      <c r="M191" s="8" t="n">
        <f aca="false">INDEX(Mapping!$C$2:$C$99,MATCH(M$1&amp;"|"&amp;Customers!M191,Mapping!$D$2:$D$99,0))</f>
        <v>3</v>
      </c>
      <c r="N191" s="8" t="n">
        <f aca="false">INDEX(Mapping!$C$2:$C$99,MATCH(N$1&amp;"|"&amp;Customers!N191,Mapping!$D$2:$D$99,0))</f>
        <v>1</v>
      </c>
      <c r="O191" s="8" t="n">
        <f aca="false">INDEX(Mapping!$C$2:$C$99,MATCH(O$1&amp;"|"&amp;Customers!O191,Mapping!$D$2:$D$99,0))</f>
        <v>3</v>
      </c>
      <c r="P191" s="8" t="n">
        <f aca="false">INDEX(Mapping!$C$2:$C$99,MATCH(P$1&amp;"|"&amp;Customers!P191,Mapping!$D$2:$D$99,0))</f>
        <v>2</v>
      </c>
      <c r="Q191" s="8" t="n">
        <f aca="false">INDEX(Mapping!$C$2:$C$99,MATCH(Q$1&amp;"|"&amp;Customers!Q191,Mapping!$D$2:$D$99,0))</f>
        <v>1</v>
      </c>
      <c r="R191" s="8" t="n">
        <f aca="false">INDEX(Mapping!$C$2:$C$99,MATCH(R$1&amp;"|"&amp;Customers!R191,Mapping!$D$2:$D$99,0))</f>
        <v>1</v>
      </c>
      <c r="S191" s="8" t="n">
        <f aca="false">INDEX(Mapping!$C$2:$C$99,MATCH(S$1&amp;"|"&amp;Customers!S191,Mapping!$D$2:$D$99,0))</f>
        <v>2</v>
      </c>
      <c r="T191" s="8" t="n">
        <f aca="false">INDEX(Mapping!$C$2:$C$99,MATCH(T$1&amp;"|"&amp;Customers!T191,Mapping!$D$2:$D$99,0))</f>
        <v>3</v>
      </c>
      <c r="U191" s="8" t="n">
        <f aca="false">INDEX(Mapping!$C$2:$C$99,MATCH(U$1&amp;"|"&amp;Customers!U191,Mapping!$D$2:$D$99,0))</f>
        <v>1</v>
      </c>
      <c r="V191" s="8" t="n">
        <f aca="false">INDEX(Mapping!$C$2:$C$99,MATCH(V$1&amp;"|"&amp;Customers!V191,Mapping!$D$2:$D$99,0))</f>
        <v>1</v>
      </c>
      <c r="W191" s="17" t="n">
        <f aca="false">SUMPRODUCT($C191:$V191,Weights!$C$27:$V$27)</f>
        <v>1.645</v>
      </c>
      <c r="X191" s="18" t="n">
        <f aca="false">ROUND($W191,2)</f>
        <v>1.65</v>
      </c>
      <c r="Y191" s="8" t="str">
        <f aca="false">IF($X191&lt;=2,"Low",IF($X191&lt;=3.49,"Medium","High"))</f>
        <v>Low</v>
      </c>
      <c r="Z191" s="8" t="str">
        <f aca="false">IF(OR($F191&gt;=3,$E191=5,$D191=5,$C191=5,$G191=5,$H191=5,$I191=5,$J191=5,Customers!$W191="Yes"),"Yes","No")</f>
        <v>No</v>
      </c>
      <c r="AA191" s="15" t="str">
        <f aca="false">IF($Z191="Yes","High",$Y191)</f>
        <v>Low</v>
      </c>
      <c r="AB191" s="18" t="n">
        <f aca="false">SUMPRODUCT($C191:$G191,Weights!$C$28:$G$28)</f>
        <v>1.15</v>
      </c>
      <c r="AC191" s="18" t="n">
        <f aca="false">SUMPRODUCT($H191:$J191,Weights!$H$28:$J$28)</f>
        <v>1.4</v>
      </c>
      <c r="AD191" s="18" t="n">
        <f aca="false">SUMPRODUCT($K191:$N191,Weights!$K$28:$N$28)</f>
        <v>2.35</v>
      </c>
      <c r="AE191" s="18" t="n">
        <f aca="false">SUMPRODUCT($O191:$Q191,Weights!$O$28:$Q$28)</f>
        <v>2.25</v>
      </c>
      <c r="AF191" s="18" t="n">
        <f aca="false">SUMPRODUCT($R191:$V191,Weights!$R$28:$V$28)</f>
        <v>1.7</v>
      </c>
      <c r="AH191" s="18" t="n">
        <f aca="false">SUMPRODUCT($AB191:$AF191,Validation!$D$7:$H$7)</f>
        <v>1.71571428571425</v>
      </c>
      <c r="AI191" s="18" t="n">
        <f aca="false">SUMPRODUCT($AB191:$AF191,Validation!$D$8:$H$8)</f>
        <v>1.57428571428575</v>
      </c>
      <c r="AJ191" s="18" t="n">
        <f aca="false">SUMPRODUCT($AB191:$AF191,Validation!$D$9:$H$9)</f>
        <v>1.6776666666667</v>
      </c>
      <c r="AK191" s="18" t="n">
        <f aca="false">SUMPRODUCT($AB191:$AF191,Validation!$D$10:$H$10)</f>
        <v>1.6123333333333</v>
      </c>
      <c r="AL191" s="18" t="n">
        <f aca="false">SUMPRODUCT($AB191:$AF191,Validation!$D$11:$H$11)</f>
        <v>1.556875</v>
      </c>
      <c r="AM191" s="18" t="n">
        <f aca="false">SUMPRODUCT($AB191:$AF191,Validation!$D$12:$H$12)</f>
        <v>1.733125</v>
      </c>
      <c r="AN191" s="18" t="n">
        <f aca="false">SUMPRODUCT($AB191:$AF191,Validation!$D$13:$H$13)</f>
        <v>1.57777777777775</v>
      </c>
      <c r="AO191" s="18" t="n">
        <f aca="false">SUMPRODUCT($AB191:$AF191,Validation!$D$14:$H$14)</f>
        <v>1.71222222222225</v>
      </c>
      <c r="AP191" s="18" t="n">
        <f aca="false">SUMPRODUCT($AB191:$AF191,Validation!$D$15:$H$15)</f>
        <v>1.6385294117647</v>
      </c>
      <c r="AQ191" s="18" t="n">
        <f aca="false">SUMPRODUCT($AB191:$AF191,Validation!$D$16:$H$16)</f>
        <v>1.6514705882353</v>
      </c>
      <c r="AR191" s="8" t="n">
        <f aca="false">COUNTIF($C191:$V191,"&gt;=4")</f>
        <v>0</v>
      </c>
      <c r="AS191" s="8" t="str">
        <f aca="false">IF($X191&lt;=1.6,"Low",IF($X191&lt;=2.2,"Medium","High"))</f>
        <v>Medium</v>
      </c>
      <c r="AT191" s="8" t="str">
        <f aca="false">IF($AR191=0,"Low",IF($AR191&lt;3,"Medium","High"))</f>
        <v>Low</v>
      </c>
      <c r="AU191" s="8" t="str">
        <f aca="false">IF(OR($AS191="High",$AT191="High"),"High",IF(OR($AS191="Medium",$AT191="Medium"),"Medium","Low"))</f>
        <v>Medium</v>
      </c>
      <c r="AV191" s="15" t="str">
        <f aca="false">IF($Z191="Yes","High",$AU191)</f>
        <v>Medium</v>
      </c>
    </row>
    <row r="192" customFormat="false" ht="15" hidden="false" customHeight="false" outlineLevel="0" collapsed="false">
      <c r="A192" s="7" t="str">
        <f aca="false">Customers!$A192</f>
        <v>NG-10173</v>
      </c>
      <c r="B192" s="7" t="str">
        <f aca="false">Customers!$B192</f>
        <v>Personal</v>
      </c>
      <c r="C192" s="8" t="n">
        <f aca="false">INDEX(Mapping!$C$2:$C$99,MATCH(C$1&amp;"|"&amp;Customers!C192,Mapping!$D$2:$D$99,0))</f>
        <v>1</v>
      </c>
      <c r="D192" s="8" t="n">
        <f aca="false">INDEX(Mapping!$C$2:$C$99,MATCH(D$1&amp;"|"&amp;Customers!D192,Mapping!$D$2:$D$99,0))</f>
        <v>1</v>
      </c>
      <c r="E192" s="8" t="n">
        <f aca="false">INDEX(Mapping!$C$2:$C$99,MATCH(E$1&amp;"|"&amp;Customers!E192,Mapping!$D$2:$D$99,0))</f>
        <v>1</v>
      </c>
      <c r="F192" s="8" t="n">
        <f aca="false">INDEX(Mapping!$C$2:$C$99,MATCH(F$1&amp;"|"&amp;Customers!F192,Mapping!$D$2:$D$99,0))</f>
        <v>1</v>
      </c>
      <c r="G192" s="8" t="n">
        <f aca="false">INDEX(Mapping!$C$2:$C$99,MATCH(G$1&amp;"|"&amp;Customers!G192,Mapping!$D$2:$D$99,0))</f>
        <v>2</v>
      </c>
      <c r="H192" s="8" t="n">
        <f aca="false">INDEX(Mapping!$C$2:$C$99,MATCH(H$1&amp;"|"&amp;Customers!H192,Mapping!$D$2:$D$99,0))</f>
        <v>1</v>
      </c>
      <c r="I192" s="8" t="n">
        <f aca="false">INDEX(Mapping!$C$2:$C$99,MATCH(I$1&amp;"|"&amp;Customers!I192,Mapping!$D$2:$D$99,0))</f>
        <v>1</v>
      </c>
      <c r="J192" s="8" t="n">
        <f aca="false">INDEX(Mapping!$C$2:$C$99,MATCH(J$1&amp;"|"&amp;Customers!J192,Mapping!$D$2:$D$99,0))</f>
        <v>1</v>
      </c>
      <c r="K192" s="8" t="n">
        <f aca="false">INDEX(Mapping!$C$2:$C$99,MATCH(K$1&amp;"|"&amp;Customers!K192,Mapping!$D$2:$D$99,0))</f>
        <v>2</v>
      </c>
      <c r="L192" s="8" t="n">
        <f aca="false">INDEX(Mapping!$C$2:$C$99,MATCH(L$1&amp;"|"&amp;Customers!L192,Mapping!$D$2:$D$99,0))</f>
        <v>2</v>
      </c>
      <c r="M192" s="8" t="n">
        <f aca="false">INDEX(Mapping!$C$2:$C$99,MATCH(M$1&amp;"|"&amp;Customers!M192,Mapping!$D$2:$D$99,0))</f>
        <v>2</v>
      </c>
      <c r="N192" s="8" t="n">
        <f aca="false">INDEX(Mapping!$C$2:$C$99,MATCH(N$1&amp;"|"&amp;Customers!N192,Mapping!$D$2:$D$99,0))</f>
        <v>1</v>
      </c>
      <c r="O192" s="8" t="n">
        <f aca="false">INDEX(Mapping!$C$2:$C$99,MATCH(O$1&amp;"|"&amp;Customers!O192,Mapping!$D$2:$D$99,0))</f>
        <v>3</v>
      </c>
      <c r="P192" s="8" t="n">
        <f aca="false">INDEX(Mapping!$C$2:$C$99,MATCH(P$1&amp;"|"&amp;Customers!P192,Mapping!$D$2:$D$99,0))</f>
        <v>3</v>
      </c>
      <c r="Q192" s="8" t="n">
        <f aca="false">INDEX(Mapping!$C$2:$C$99,MATCH(Q$1&amp;"|"&amp;Customers!Q192,Mapping!$D$2:$D$99,0))</f>
        <v>1</v>
      </c>
      <c r="R192" s="8" t="n">
        <f aca="false">INDEX(Mapping!$C$2:$C$99,MATCH(R$1&amp;"|"&amp;Customers!R192,Mapping!$D$2:$D$99,0))</f>
        <v>1</v>
      </c>
      <c r="S192" s="8" t="n">
        <f aca="false">INDEX(Mapping!$C$2:$C$99,MATCH(S$1&amp;"|"&amp;Customers!S192,Mapping!$D$2:$D$99,0))</f>
        <v>1</v>
      </c>
      <c r="T192" s="8" t="n">
        <f aca="false">INDEX(Mapping!$C$2:$C$99,MATCH(T$1&amp;"|"&amp;Customers!T192,Mapping!$D$2:$D$99,0))</f>
        <v>1</v>
      </c>
      <c r="U192" s="8" t="n">
        <f aca="false">INDEX(Mapping!$C$2:$C$99,MATCH(U$1&amp;"|"&amp;Customers!U192,Mapping!$D$2:$D$99,0))</f>
        <v>2</v>
      </c>
      <c r="V192" s="8" t="n">
        <f aca="false">INDEX(Mapping!$C$2:$C$99,MATCH(V$1&amp;"|"&amp;Customers!V192,Mapping!$D$2:$D$99,0))</f>
        <v>1</v>
      </c>
      <c r="W192" s="17" t="n">
        <f aca="false">SUMPRODUCT($C192:$V192,Weights!$C$27:$V$27)</f>
        <v>1.3975</v>
      </c>
      <c r="X192" s="18" t="n">
        <f aca="false">ROUND($W192,2)</f>
        <v>1.4</v>
      </c>
      <c r="Y192" s="8" t="str">
        <f aca="false">IF($X192&lt;=2,"Low",IF($X192&lt;=3.49,"Medium","High"))</f>
        <v>Low</v>
      </c>
      <c r="Z192" s="8" t="str">
        <f aca="false">IF(OR($F192&gt;=3,$E192=5,$D192=5,$C192=5,$G192=5,$H192=5,$I192=5,$J192=5,Customers!$W192="Yes"),"Yes","No")</f>
        <v>No</v>
      </c>
      <c r="AA192" s="15" t="str">
        <f aca="false">IF($Z192="Yes","High",$Y192)</f>
        <v>Low</v>
      </c>
      <c r="AB192" s="18" t="n">
        <f aca="false">SUMPRODUCT($C192:$G192,Weights!$C$28:$G$28)</f>
        <v>1.15</v>
      </c>
      <c r="AC192" s="18" t="n">
        <f aca="false">SUMPRODUCT($H192:$J192,Weights!$H$28:$J$28)</f>
        <v>1</v>
      </c>
      <c r="AD192" s="18" t="n">
        <f aca="false">SUMPRODUCT($K192:$N192,Weights!$K$28:$N$28)</f>
        <v>1.85</v>
      </c>
      <c r="AE192" s="18" t="n">
        <f aca="false">SUMPRODUCT($O192:$Q192,Weights!$O$28:$Q$28)</f>
        <v>2.6</v>
      </c>
      <c r="AF192" s="18" t="n">
        <f aca="false">SUMPRODUCT($R192:$V192,Weights!$R$28:$V$28)</f>
        <v>1.15</v>
      </c>
      <c r="AH192" s="18" t="n">
        <f aca="false">SUMPRODUCT($AB192:$AF192,Validation!$D$7:$H$7)</f>
        <v>1.4328571428573</v>
      </c>
      <c r="AI192" s="18" t="n">
        <f aca="false">SUMPRODUCT($AB192:$AF192,Validation!$D$8:$H$8)</f>
        <v>1.3621428571427</v>
      </c>
      <c r="AJ192" s="18" t="n">
        <f aca="false">SUMPRODUCT($AB192:$AF192,Validation!$D$9:$H$9)</f>
        <v>1.45049999999975</v>
      </c>
      <c r="AK192" s="18" t="n">
        <f aca="false">SUMPRODUCT($AB192:$AF192,Validation!$D$10:$H$10)</f>
        <v>1.34450000000025</v>
      </c>
      <c r="AL192" s="18" t="n">
        <f aca="false">SUMPRODUCT($AB192:$AF192,Validation!$D$11:$H$11)</f>
        <v>1.3409375</v>
      </c>
      <c r="AM192" s="18" t="n">
        <f aca="false">SUMPRODUCT($AB192:$AF192,Validation!$D$12:$H$12)</f>
        <v>1.4540625</v>
      </c>
      <c r="AN192" s="18" t="n">
        <f aca="false">SUMPRODUCT($AB192:$AF192,Validation!$D$13:$H$13)</f>
        <v>1.2638888888887</v>
      </c>
      <c r="AO192" s="18" t="n">
        <f aca="false">SUMPRODUCT($AB192:$AF192,Validation!$D$14:$H$14)</f>
        <v>1.5311111111113</v>
      </c>
      <c r="AP192" s="18" t="n">
        <f aca="false">SUMPRODUCT($AB192:$AF192,Validation!$D$15:$H$15)</f>
        <v>1.4266176470585</v>
      </c>
      <c r="AQ192" s="18" t="n">
        <f aca="false">SUMPRODUCT($AB192:$AF192,Validation!$D$16:$H$16)</f>
        <v>1.3683823529415</v>
      </c>
      <c r="AR192" s="8" t="n">
        <f aca="false">COUNTIF($C192:$V192,"&gt;=4")</f>
        <v>0</v>
      </c>
      <c r="AS192" s="8" t="str">
        <f aca="false">IF($X192&lt;=1.6,"Low",IF($X192&lt;=2.2,"Medium","High"))</f>
        <v>Low</v>
      </c>
      <c r="AT192" s="8" t="str">
        <f aca="false">IF($AR192=0,"Low",IF($AR192&lt;3,"Medium","High"))</f>
        <v>Low</v>
      </c>
      <c r="AU192" s="8" t="str">
        <f aca="false">IF(OR($AS192="High",$AT192="High"),"High",IF(OR($AS192="Medium",$AT192="Medium"),"Medium","Low"))</f>
        <v>Low</v>
      </c>
      <c r="AV192" s="15" t="str">
        <f aca="false">IF($Z192="Yes","High",$AU192)</f>
        <v>Low</v>
      </c>
    </row>
    <row r="193" customFormat="false" ht="15" hidden="false" customHeight="false" outlineLevel="0" collapsed="false">
      <c r="A193" s="7" t="str">
        <f aca="false">Customers!$A193</f>
        <v>NG-10261</v>
      </c>
      <c r="B193" s="7" t="str">
        <f aca="false">Customers!$B193</f>
        <v>Personal</v>
      </c>
      <c r="C193" s="8" t="n">
        <f aca="false">INDEX(Mapping!$C$2:$C$99,MATCH(C$1&amp;"|"&amp;Customers!C193,Mapping!$D$2:$D$99,0))</f>
        <v>1</v>
      </c>
      <c r="D193" s="8" t="n">
        <f aca="false">INDEX(Mapping!$C$2:$C$99,MATCH(D$1&amp;"|"&amp;Customers!D193,Mapping!$D$2:$D$99,0))</f>
        <v>1</v>
      </c>
      <c r="E193" s="8" t="n">
        <f aca="false">INDEX(Mapping!$C$2:$C$99,MATCH(E$1&amp;"|"&amp;Customers!E193,Mapping!$D$2:$D$99,0))</f>
        <v>1</v>
      </c>
      <c r="F193" s="8" t="n">
        <f aca="false">INDEX(Mapping!$C$2:$C$99,MATCH(F$1&amp;"|"&amp;Customers!F193,Mapping!$D$2:$D$99,0))</f>
        <v>1</v>
      </c>
      <c r="G193" s="8" t="n">
        <f aca="false">INDEX(Mapping!$C$2:$C$99,MATCH(G$1&amp;"|"&amp;Customers!G193,Mapping!$D$2:$D$99,0))</f>
        <v>1</v>
      </c>
      <c r="H193" s="8" t="n">
        <f aca="false">INDEX(Mapping!$C$2:$C$99,MATCH(H$1&amp;"|"&amp;Customers!H193,Mapping!$D$2:$D$99,0))</f>
        <v>1</v>
      </c>
      <c r="I193" s="8" t="n">
        <f aca="false">INDEX(Mapping!$C$2:$C$99,MATCH(I$1&amp;"|"&amp;Customers!I193,Mapping!$D$2:$D$99,0))</f>
        <v>1</v>
      </c>
      <c r="J193" s="8" t="n">
        <f aca="false">INDEX(Mapping!$C$2:$C$99,MATCH(J$1&amp;"|"&amp;Customers!J193,Mapping!$D$2:$D$99,0))</f>
        <v>1</v>
      </c>
      <c r="K193" s="8" t="n">
        <f aca="false">INDEX(Mapping!$C$2:$C$99,MATCH(K$1&amp;"|"&amp;Customers!K193,Mapping!$D$2:$D$99,0))</f>
        <v>3</v>
      </c>
      <c r="L193" s="8" t="n">
        <f aca="false">INDEX(Mapping!$C$2:$C$99,MATCH(L$1&amp;"|"&amp;Customers!L193,Mapping!$D$2:$D$99,0))</f>
        <v>2</v>
      </c>
      <c r="M193" s="8" t="n">
        <f aca="false">INDEX(Mapping!$C$2:$C$99,MATCH(M$1&amp;"|"&amp;Customers!M193,Mapping!$D$2:$D$99,0))</f>
        <v>2</v>
      </c>
      <c r="N193" s="8" t="n">
        <f aca="false">INDEX(Mapping!$C$2:$C$99,MATCH(N$1&amp;"|"&amp;Customers!N193,Mapping!$D$2:$D$99,0))</f>
        <v>1</v>
      </c>
      <c r="O193" s="8" t="n">
        <f aca="false">INDEX(Mapping!$C$2:$C$99,MATCH(O$1&amp;"|"&amp;Customers!O193,Mapping!$D$2:$D$99,0))</f>
        <v>3</v>
      </c>
      <c r="P193" s="8" t="n">
        <f aca="false">INDEX(Mapping!$C$2:$C$99,MATCH(P$1&amp;"|"&amp;Customers!P193,Mapping!$D$2:$D$99,0))</f>
        <v>3</v>
      </c>
      <c r="Q193" s="8" t="n">
        <f aca="false">INDEX(Mapping!$C$2:$C$99,MATCH(Q$1&amp;"|"&amp;Customers!Q193,Mapping!$D$2:$D$99,0))</f>
        <v>2</v>
      </c>
      <c r="R193" s="8" t="n">
        <f aca="false">INDEX(Mapping!$C$2:$C$99,MATCH(R$1&amp;"|"&amp;Customers!R193,Mapping!$D$2:$D$99,0))</f>
        <v>1</v>
      </c>
      <c r="S193" s="8" t="n">
        <f aca="false">INDEX(Mapping!$C$2:$C$99,MATCH(S$1&amp;"|"&amp;Customers!S193,Mapping!$D$2:$D$99,0))</f>
        <v>1</v>
      </c>
      <c r="T193" s="8" t="n">
        <f aca="false">INDEX(Mapping!$C$2:$C$99,MATCH(T$1&amp;"|"&amp;Customers!T193,Mapping!$D$2:$D$99,0))</f>
        <v>2</v>
      </c>
      <c r="U193" s="8" t="n">
        <f aca="false">INDEX(Mapping!$C$2:$C$99,MATCH(U$1&amp;"|"&amp;Customers!U193,Mapping!$D$2:$D$99,0))</f>
        <v>1</v>
      </c>
      <c r="V193" s="8" t="n">
        <f aca="false">INDEX(Mapping!$C$2:$C$99,MATCH(V$1&amp;"|"&amp;Customers!V193,Mapping!$D$2:$D$99,0))</f>
        <v>1</v>
      </c>
      <c r="W193" s="17" t="n">
        <f aca="false">SUMPRODUCT($C193:$V193,Weights!$C$27:$V$27)</f>
        <v>1.45</v>
      </c>
      <c r="X193" s="18" t="n">
        <f aca="false">ROUND($W193,2)</f>
        <v>1.45</v>
      </c>
      <c r="Y193" s="8" t="str">
        <f aca="false">IF($X193&lt;=2,"Low",IF($X193&lt;=3.49,"Medium","High"))</f>
        <v>Low</v>
      </c>
      <c r="Z193" s="8" t="str">
        <f aca="false">IF(OR($F193&gt;=3,$E193=5,$D193=5,$C193=5,$G193=5,$H193=5,$I193=5,$J193=5,Customers!$W193="Yes"),"Yes","No")</f>
        <v>No</v>
      </c>
      <c r="AA193" s="15" t="str">
        <f aca="false">IF($Z193="Yes","High",$Y193)</f>
        <v>Low</v>
      </c>
      <c r="AB193" s="18" t="n">
        <f aca="false">SUMPRODUCT($C193:$G193,Weights!$C$28:$G$28)</f>
        <v>1</v>
      </c>
      <c r="AC193" s="18" t="n">
        <f aca="false">SUMPRODUCT($H193:$J193,Weights!$H$28:$J$28)</f>
        <v>1</v>
      </c>
      <c r="AD193" s="18" t="n">
        <f aca="false">SUMPRODUCT($K193:$N193,Weights!$K$28:$N$28)</f>
        <v>2.2</v>
      </c>
      <c r="AE193" s="18" t="n">
        <f aca="false">SUMPRODUCT($O193:$Q193,Weights!$O$28:$Q$28)</f>
        <v>2.8</v>
      </c>
      <c r="AF193" s="18" t="n">
        <f aca="false">SUMPRODUCT($R193:$V193,Weights!$R$28:$V$28)</f>
        <v>1.2</v>
      </c>
      <c r="AH193" s="18" t="n">
        <f aca="false">SUMPRODUCT($AB193:$AF193,Validation!$D$7:$H$7)</f>
        <v>1.5142857142858</v>
      </c>
      <c r="AI193" s="18" t="n">
        <f aca="false">SUMPRODUCT($AB193:$AF193,Validation!$D$8:$H$8)</f>
        <v>1.3857142857142</v>
      </c>
      <c r="AJ193" s="18" t="n">
        <f aca="false">SUMPRODUCT($AB193:$AF193,Validation!$D$9:$H$9)</f>
        <v>1.5099999999998</v>
      </c>
      <c r="AK193" s="18" t="n">
        <f aca="false">SUMPRODUCT($AB193:$AF193,Validation!$D$10:$H$10)</f>
        <v>1.3900000000002</v>
      </c>
      <c r="AL193" s="18" t="n">
        <f aca="false">SUMPRODUCT($AB193:$AF193,Validation!$D$11:$H$11)</f>
        <v>1.35625</v>
      </c>
      <c r="AM193" s="18" t="n">
        <f aca="false">SUMPRODUCT($AB193:$AF193,Validation!$D$12:$H$12)</f>
        <v>1.54375</v>
      </c>
      <c r="AN193" s="18" t="n">
        <f aca="false">SUMPRODUCT($AB193:$AF193,Validation!$D$13:$H$13)</f>
        <v>1.2999999999998</v>
      </c>
      <c r="AO193" s="18" t="n">
        <f aca="false">SUMPRODUCT($AB193:$AF193,Validation!$D$14:$H$14)</f>
        <v>1.6000000000002</v>
      </c>
      <c r="AP193" s="18" t="n">
        <f aca="false">SUMPRODUCT($AB193:$AF193,Validation!$D$15:$H$15)</f>
        <v>1.4794117647056</v>
      </c>
      <c r="AQ193" s="18" t="n">
        <f aca="false">SUMPRODUCT($AB193:$AF193,Validation!$D$16:$H$16)</f>
        <v>1.4205882352944</v>
      </c>
      <c r="AR193" s="8" t="n">
        <f aca="false">COUNTIF($C193:$V193,"&gt;=4")</f>
        <v>0</v>
      </c>
      <c r="AS193" s="8" t="str">
        <f aca="false">IF($X193&lt;=1.6,"Low",IF($X193&lt;=2.2,"Medium","High"))</f>
        <v>Low</v>
      </c>
      <c r="AT193" s="8" t="str">
        <f aca="false">IF($AR193=0,"Low",IF($AR193&lt;3,"Medium","High"))</f>
        <v>Low</v>
      </c>
      <c r="AU193" s="8" t="str">
        <f aca="false">IF(OR($AS193="High",$AT193="High"),"High",IF(OR($AS193="Medium",$AT193="Medium"),"Medium","Low"))</f>
        <v>Low</v>
      </c>
      <c r="AV193" s="15" t="str">
        <f aca="false">IF($Z193="Yes","High",$AU193)</f>
        <v>Low</v>
      </c>
    </row>
    <row r="194" customFormat="false" ht="15" hidden="false" customHeight="false" outlineLevel="0" collapsed="false">
      <c r="A194" s="7" t="str">
        <f aca="false">Customers!$A194</f>
        <v>NG-10112</v>
      </c>
      <c r="B194" s="7" t="str">
        <f aca="false">Customers!$B194</f>
        <v>Personal</v>
      </c>
      <c r="C194" s="8" t="n">
        <f aca="false">INDEX(Mapping!$C$2:$C$99,MATCH(C$1&amp;"|"&amp;Customers!C194,Mapping!$D$2:$D$99,0))</f>
        <v>2</v>
      </c>
      <c r="D194" s="8" t="n">
        <f aca="false">INDEX(Mapping!$C$2:$C$99,MATCH(D$1&amp;"|"&amp;Customers!D194,Mapping!$D$2:$D$99,0))</f>
        <v>1</v>
      </c>
      <c r="E194" s="8" t="n">
        <f aca="false">INDEX(Mapping!$C$2:$C$99,MATCH(E$1&amp;"|"&amp;Customers!E194,Mapping!$D$2:$D$99,0))</f>
        <v>1</v>
      </c>
      <c r="F194" s="8" t="n">
        <f aca="false">INDEX(Mapping!$C$2:$C$99,MATCH(F$1&amp;"|"&amp;Customers!F194,Mapping!$D$2:$D$99,0))</f>
        <v>3</v>
      </c>
      <c r="G194" s="8" t="n">
        <f aca="false">INDEX(Mapping!$C$2:$C$99,MATCH(G$1&amp;"|"&amp;Customers!G194,Mapping!$D$2:$D$99,0))</f>
        <v>1</v>
      </c>
      <c r="H194" s="8" t="n">
        <f aca="false">INDEX(Mapping!$C$2:$C$99,MATCH(H$1&amp;"|"&amp;Customers!H194,Mapping!$D$2:$D$99,0))</f>
        <v>1</v>
      </c>
      <c r="I194" s="8" t="n">
        <f aca="false">INDEX(Mapping!$C$2:$C$99,MATCH(I$1&amp;"|"&amp;Customers!I194,Mapping!$D$2:$D$99,0))</f>
        <v>1</v>
      </c>
      <c r="J194" s="8" t="n">
        <f aca="false">INDEX(Mapping!$C$2:$C$99,MATCH(J$1&amp;"|"&amp;Customers!J194,Mapping!$D$2:$D$99,0))</f>
        <v>1</v>
      </c>
      <c r="K194" s="8" t="n">
        <f aca="false">INDEX(Mapping!$C$2:$C$99,MATCH(K$1&amp;"|"&amp;Customers!K194,Mapping!$D$2:$D$99,0))</f>
        <v>2</v>
      </c>
      <c r="L194" s="8" t="n">
        <f aca="false">INDEX(Mapping!$C$2:$C$99,MATCH(L$1&amp;"|"&amp;Customers!L194,Mapping!$D$2:$D$99,0))</f>
        <v>2</v>
      </c>
      <c r="M194" s="8" t="n">
        <f aca="false">INDEX(Mapping!$C$2:$C$99,MATCH(M$1&amp;"|"&amp;Customers!M194,Mapping!$D$2:$D$99,0))</f>
        <v>3</v>
      </c>
      <c r="N194" s="8" t="n">
        <f aca="false">INDEX(Mapping!$C$2:$C$99,MATCH(N$1&amp;"|"&amp;Customers!N194,Mapping!$D$2:$D$99,0))</f>
        <v>1</v>
      </c>
      <c r="O194" s="8" t="n">
        <f aca="false">INDEX(Mapping!$C$2:$C$99,MATCH(O$1&amp;"|"&amp;Customers!O194,Mapping!$D$2:$D$99,0))</f>
        <v>5</v>
      </c>
      <c r="P194" s="8" t="n">
        <f aca="false">INDEX(Mapping!$C$2:$C$99,MATCH(P$1&amp;"|"&amp;Customers!P194,Mapping!$D$2:$D$99,0))</f>
        <v>3</v>
      </c>
      <c r="Q194" s="8" t="n">
        <f aca="false">INDEX(Mapping!$C$2:$C$99,MATCH(Q$1&amp;"|"&amp;Customers!Q194,Mapping!$D$2:$D$99,0))</f>
        <v>3</v>
      </c>
      <c r="R194" s="8" t="n">
        <f aca="false">INDEX(Mapping!$C$2:$C$99,MATCH(R$1&amp;"|"&amp;Customers!R194,Mapping!$D$2:$D$99,0))</f>
        <v>2</v>
      </c>
      <c r="S194" s="8" t="n">
        <f aca="false">INDEX(Mapping!$C$2:$C$99,MATCH(S$1&amp;"|"&amp;Customers!S194,Mapping!$D$2:$D$99,0))</f>
        <v>1</v>
      </c>
      <c r="T194" s="8" t="n">
        <f aca="false">INDEX(Mapping!$C$2:$C$99,MATCH(T$1&amp;"|"&amp;Customers!T194,Mapping!$D$2:$D$99,0))</f>
        <v>1</v>
      </c>
      <c r="U194" s="8" t="n">
        <f aca="false">INDEX(Mapping!$C$2:$C$99,MATCH(U$1&amp;"|"&amp;Customers!U194,Mapping!$D$2:$D$99,0))</f>
        <v>1</v>
      </c>
      <c r="V194" s="8" t="n">
        <f aca="false">INDEX(Mapping!$C$2:$C$99,MATCH(V$1&amp;"|"&amp;Customers!V194,Mapping!$D$2:$D$99,0))</f>
        <v>1</v>
      </c>
      <c r="W194" s="17" t="n">
        <f aca="false">SUMPRODUCT($C194:$V194,Weights!$C$27:$V$27)</f>
        <v>1.7275</v>
      </c>
      <c r="X194" s="18" t="n">
        <f aca="false">ROUND($W194,2)</f>
        <v>1.73</v>
      </c>
      <c r="Y194" s="8" t="str">
        <f aca="false">IF($X194&lt;=2,"Low",IF($X194&lt;=3.49,"Medium","High"))</f>
        <v>Low</v>
      </c>
      <c r="Z194" s="8" t="str">
        <f aca="false">IF(OR($F194&gt;=3,$E194=5,$D194=5,$C194=5,$G194=5,$H194=5,$I194=5,$J194=5,Customers!$W194="Yes"),"Yes","No")</f>
        <v>Yes</v>
      </c>
      <c r="AA194" s="15" t="str">
        <f aca="false">IF($Z194="Yes","High",$Y194)</f>
        <v>High</v>
      </c>
      <c r="AB194" s="18" t="n">
        <f aca="false">SUMPRODUCT($C194:$G194,Weights!$C$28:$G$28)</f>
        <v>1.6</v>
      </c>
      <c r="AC194" s="18" t="n">
        <f aca="false">SUMPRODUCT($H194:$J194,Weights!$H$28:$J$28)</f>
        <v>1</v>
      </c>
      <c r="AD194" s="18" t="n">
        <f aca="false">SUMPRODUCT($K194:$N194,Weights!$K$28:$N$28)</f>
        <v>2.1</v>
      </c>
      <c r="AE194" s="18" t="n">
        <f aca="false">SUMPRODUCT($O194:$Q194,Weights!$O$28:$Q$28)</f>
        <v>3.9</v>
      </c>
      <c r="AF194" s="18" t="n">
        <f aca="false">SUMPRODUCT($R194:$V194,Weights!$R$28:$V$28)</f>
        <v>1.25</v>
      </c>
      <c r="AH194" s="18" t="n">
        <f aca="false">SUMPRODUCT($AB194:$AF194,Validation!$D$7:$H$7)</f>
        <v>1.74571428571475</v>
      </c>
      <c r="AI194" s="18" t="n">
        <f aca="false">SUMPRODUCT($AB194:$AF194,Validation!$D$8:$H$8)</f>
        <v>1.70928571428525</v>
      </c>
      <c r="AJ194" s="18" t="n">
        <f aca="false">SUMPRODUCT($AB194:$AF194,Validation!$D$9:$H$9)</f>
        <v>1.8244999999994</v>
      </c>
      <c r="AK194" s="18" t="n">
        <f aca="false">SUMPRODUCT($AB194:$AF194,Validation!$D$10:$H$10)</f>
        <v>1.6305000000006</v>
      </c>
      <c r="AL194" s="18" t="n">
        <f aca="false">SUMPRODUCT($AB194:$AF194,Validation!$D$11:$H$11)</f>
        <v>1.6809375</v>
      </c>
      <c r="AM194" s="18" t="n">
        <f aca="false">SUMPRODUCT($AB194:$AF194,Validation!$D$12:$H$12)</f>
        <v>1.7740625</v>
      </c>
      <c r="AN194" s="18" t="n">
        <f aca="false">SUMPRODUCT($AB194:$AF194,Validation!$D$13:$H$13)</f>
        <v>1.48611111111075</v>
      </c>
      <c r="AO194" s="18" t="n">
        <f aca="false">SUMPRODUCT($AB194:$AF194,Validation!$D$14:$H$14)</f>
        <v>1.96888888888925</v>
      </c>
      <c r="AP194" s="18" t="n">
        <f aca="false">SUMPRODUCT($AB194:$AF194,Validation!$D$15:$H$15)</f>
        <v>1.7836764705875</v>
      </c>
      <c r="AQ194" s="18" t="n">
        <f aca="false">SUMPRODUCT($AB194:$AF194,Validation!$D$16:$H$16)</f>
        <v>1.6713235294125</v>
      </c>
      <c r="AR194" s="8" t="n">
        <f aca="false">COUNTIF($C194:$V194,"&gt;=4")</f>
        <v>1</v>
      </c>
      <c r="AS194" s="8" t="str">
        <f aca="false">IF($X194&lt;=1.6,"Low",IF($X194&lt;=2.2,"Medium","High"))</f>
        <v>Medium</v>
      </c>
      <c r="AT194" s="8" t="str">
        <f aca="false">IF($AR194=0,"Low",IF($AR194&lt;3,"Medium","High"))</f>
        <v>Medium</v>
      </c>
      <c r="AU194" s="8" t="str">
        <f aca="false">IF(OR($AS194="High",$AT194="High"),"High",IF(OR($AS194="Medium",$AT194="Medium"),"Medium","Low"))</f>
        <v>Medium</v>
      </c>
      <c r="AV194" s="15" t="str">
        <f aca="false">IF($Z194="Yes","High",$AU194)</f>
        <v>High</v>
      </c>
    </row>
    <row r="195" customFormat="false" ht="15" hidden="false" customHeight="false" outlineLevel="0" collapsed="false">
      <c r="A195" s="7" t="str">
        <f aca="false">Customers!$A195</f>
        <v>NG-10025</v>
      </c>
      <c r="B195" s="7" t="str">
        <f aca="false">Customers!$B195</f>
        <v>Personal</v>
      </c>
      <c r="C195" s="8" t="n">
        <f aca="false">INDEX(Mapping!$C$2:$C$99,MATCH(C$1&amp;"|"&amp;Customers!C195,Mapping!$D$2:$D$99,0))</f>
        <v>1</v>
      </c>
      <c r="D195" s="8" t="n">
        <f aca="false">INDEX(Mapping!$C$2:$C$99,MATCH(D$1&amp;"|"&amp;Customers!D195,Mapping!$D$2:$D$99,0))</f>
        <v>1</v>
      </c>
      <c r="E195" s="8" t="n">
        <f aca="false">INDEX(Mapping!$C$2:$C$99,MATCH(E$1&amp;"|"&amp;Customers!E195,Mapping!$D$2:$D$99,0))</f>
        <v>3</v>
      </c>
      <c r="F195" s="8" t="n">
        <f aca="false">INDEX(Mapping!$C$2:$C$99,MATCH(F$1&amp;"|"&amp;Customers!F195,Mapping!$D$2:$D$99,0))</f>
        <v>1</v>
      </c>
      <c r="G195" s="8" t="n">
        <f aca="false">INDEX(Mapping!$C$2:$C$99,MATCH(G$1&amp;"|"&amp;Customers!G195,Mapping!$D$2:$D$99,0))</f>
        <v>1</v>
      </c>
      <c r="H195" s="8" t="n">
        <f aca="false">INDEX(Mapping!$C$2:$C$99,MATCH(H$1&amp;"|"&amp;Customers!H195,Mapping!$D$2:$D$99,0))</f>
        <v>1</v>
      </c>
      <c r="I195" s="8" t="n">
        <f aca="false">INDEX(Mapping!$C$2:$C$99,MATCH(I$1&amp;"|"&amp;Customers!I195,Mapping!$D$2:$D$99,0))</f>
        <v>1</v>
      </c>
      <c r="J195" s="8" t="n">
        <f aca="false">INDEX(Mapping!$C$2:$C$99,MATCH(J$1&amp;"|"&amp;Customers!J195,Mapping!$D$2:$D$99,0))</f>
        <v>1</v>
      </c>
      <c r="K195" s="8" t="n">
        <f aca="false">INDEX(Mapping!$C$2:$C$99,MATCH(K$1&amp;"|"&amp;Customers!K195,Mapping!$D$2:$D$99,0))</f>
        <v>1</v>
      </c>
      <c r="L195" s="8" t="n">
        <f aca="false">INDEX(Mapping!$C$2:$C$99,MATCH(L$1&amp;"|"&amp;Customers!L195,Mapping!$D$2:$D$99,0))</f>
        <v>3</v>
      </c>
      <c r="M195" s="8" t="n">
        <f aca="false">INDEX(Mapping!$C$2:$C$99,MATCH(M$1&amp;"|"&amp;Customers!M195,Mapping!$D$2:$D$99,0))</f>
        <v>2</v>
      </c>
      <c r="N195" s="8" t="n">
        <f aca="false">INDEX(Mapping!$C$2:$C$99,MATCH(N$1&amp;"|"&amp;Customers!N195,Mapping!$D$2:$D$99,0))</f>
        <v>1</v>
      </c>
      <c r="O195" s="8" t="n">
        <f aca="false">INDEX(Mapping!$C$2:$C$99,MATCH(O$1&amp;"|"&amp;Customers!O195,Mapping!$D$2:$D$99,0))</f>
        <v>3</v>
      </c>
      <c r="P195" s="8" t="n">
        <f aca="false">INDEX(Mapping!$C$2:$C$99,MATCH(P$1&amp;"|"&amp;Customers!P195,Mapping!$D$2:$D$99,0))</f>
        <v>1</v>
      </c>
      <c r="Q195" s="8" t="n">
        <f aca="false">INDEX(Mapping!$C$2:$C$99,MATCH(Q$1&amp;"|"&amp;Customers!Q195,Mapping!$D$2:$D$99,0))</f>
        <v>1</v>
      </c>
      <c r="R195" s="8" t="n">
        <f aca="false">INDEX(Mapping!$C$2:$C$99,MATCH(R$1&amp;"|"&amp;Customers!R195,Mapping!$D$2:$D$99,0))</f>
        <v>1</v>
      </c>
      <c r="S195" s="8" t="n">
        <f aca="false">INDEX(Mapping!$C$2:$C$99,MATCH(S$1&amp;"|"&amp;Customers!S195,Mapping!$D$2:$D$99,0))</f>
        <v>1</v>
      </c>
      <c r="T195" s="8" t="n">
        <f aca="false">INDEX(Mapping!$C$2:$C$99,MATCH(T$1&amp;"|"&amp;Customers!T195,Mapping!$D$2:$D$99,0))</f>
        <v>1</v>
      </c>
      <c r="U195" s="8" t="n">
        <f aca="false">INDEX(Mapping!$C$2:$C$99,MATCH(U$1&amp;"|"&amp;Customers!U195,Mapping!$D$2:$D$99,0))</f>
        <v>1</v>
      </c>
      <c r="V195" s="8" t="n">
        <f aca="false">INDEX(Mapping!$C$2:$C$99,MATCH(V$1&amp;"|"&amp;Customers!V195,Mapping!$D$2:$D$99,0))</f>
        <v>1</v>
      </c>
      <c r="W195" s="17" t="n">
        <f aca="false">SUMPRODUCT($C195:$V195,Weights!$C$27:$V$27)</f>
        <v>1.39</v>
      </c>
      <c r="X195" s="18" t="n">
        <f aca="false">ROUND($W195,2)</f>
        <v>1.39</v>
      </c>
      <c r="Y195" s="8" t="str">
        <f aca="false">IF($X195&lt;=2,"Low",IF($X195&lt;=3.49,"Medium","High"))</f>
        <v>Low</v>
      </c>
      <c r="Z195" s="8" t="str">
        <f aca="false">IF(OR($F195&gt;=3,$E195=5,$D195=5,$C195=5,$G195=5,$H195=5,$I195=5,$J195=5,Customers!$W195="Yes"),"Yes","No")</f>
        <v>No</v>
      </c>
      <c r="AA195" s="15" t="str">
        <f aca="false">IF($Z195="Yes","High",$Y195)</f>
        <v>Low</v>
      </c>
      <c r="AB195" s="18" t="n">
        <f aca="false">SUMPRODUCT($C195:$G195,Weights!$C$28:$G$28)</f>
        <v>1.5</v>
      </c>
      <c r="AC195" s="18" t="n">
        <f aca="false">SUMPRODUCT($H195:$J195,Weights!$H$28:$J$28)</f>
        <v>1</v>
      </c>
      <c r="AD195" s="18" t="n">
        <f aca="false">SUMPRODUCT($K195:$N195,Weights!$K$28:$N$28)</f>
        <v>1.75</v>
      </c>
      <c r="AE195" s="18" t="n">
        <f aca="false">SUMPRODUCT($O195:$Q195,Weights!$O$28:$Q$28)</f>
        <v>1.9</v>
      </c>
      <c r="AF195" s="18" t="n">
        <f aca="false">SUMPRODUCT($R195:$V195,Weights!$R$28:$V$28)</f>
        <v>1</v>
      </c>
      <c r="AH195" s="18" t="n">
        <f aca="false">SUMPRODUCT($AB195:$AF195,Validation!$D$7:$H$7)</f>
        <v>1.37428571428565</v>
      </c>
      <c r="AI195" s="18" t="n">
        <f aca="false">SUMPRODUCT($AB195:$AF195,Validation!$D$8:$H$8)</f>
        <v>1.40571428571435</v>
      </c>
      <c r="AJ195" s="18" t="n">
        <f aca="false">SUMPRODUCT($AB195:$AF195,Validation!$D$9:$H$9)</f>
        <v>1.44199999999995</v>
      </c>
      <c r="AK195" s="18" t="n">
        <f aca="false">SUMPRODUCT($AB195:$AF195,Validation!$D$10:$H$10)</f>
        <v>1.33800000000005</v>
      </c>
      <c r="AL195" s="18" t="n">
        <f aca="false">SUMPRODUCT($AB195:$AF195,Validation!$D$11:$H$11)</f>
        <v>1.345</v>
      </c>
      <c r="AM195" s="18" t="n">
        <f aca="false">SUMPRODUCT($AB195:$AF195,Validation!$D$12:$H$12)</f>
        <v>1.435</v>
      </c>
      <c r="AN195" s="18" t="n">
        <f aca="false">SUMPRODUCT($AB195:$AF195,Validation!$D$13:$H$13)</f>
        <v>1.333333333333</v>
      </c>
      <c r="AO195" s="18" t="n">
        <f aca="false">SUMPRODUCT($AB195:$AF195,Validation!$D$14:$H$14)</f>
        <v>1.446666666667</v>
      </c>
      <c r="AP195" s="18" t="n">
        <f aca="false">SUMPRODUCT($AB195:$AF195,Validation!$D$15:$H$15)</f>
        <v>1.43588235294105</v>
      </c>
      <c r="AQ195" s="18" t="n">
        <f aca="false">SUMPRODUCT($AB195:$AF195,Validation!$D$16:$H$16)</f>
        <v>1.34411764705895</v>
      </c>
      <c r="AR195" s="8" t="n">
        <f aca="false">COUNTIF($C195:$V195,"&gt;=4")</f>
        <v>0</v>
      </c>
      <c r="AS195" s="8" t="str">
        <f aca="false">IF($X195&lt;=1.6,"Low",IF($X195&lt;=2.2,"Medium","High"))</f>
        <v>Low</v>
      </c>
      <c r="AT195" s="8" t="str">
        <f aca="false">IF($AR195=0,"Low",IF($AR195&lt;3,"Medium","High"))</f>
        <v>Low</v>
      </c>
      <c r="AU195" s="8" t="str">
        <f aca="false">IF(OR($AS195="High",$AT195="High"),"High",IF(OR($AS195="Medium",$AT195="Medium"),"Medium","Low"))</f>
        <v>Low</v>
      </c>
      <c r="AV195" s="15" t="str">
        <f aca="false">IF($Z195="Yes","High",$AU195)</f>
        <v>Low</v>
      </c>
    </row>
    <row r="196" customFormat="false" ht="15" hidden="false" customHeight="false" outlineLevel="0" collapsed="false">
      <c r="A196" s="7" t="str">
        <f aca="false">Customers!$A196</f>
        <v>NG-10264</v>
      </c>
      <c r="B196" s="7" t="str">
        <f aca="false">Customers!$B196</f>
        <v>Personal</v>
      </c>
      <c r="C196" s="8" t="n">
        <f aca="false">INDEX(Mapping!$C$2:$C$99,MATCH(C$1&amp;"|"&amp;Customers!C196,Mapping!$D$2:$D$99,0))</f>
        <v>2</v>
      </c>
      <c r="D196" s="8" t="n">
        <f aca="false">INDEX(Mapping!$C$2:$C$99,MATCH(D$1&amp;"|"&amp;Customers!D196,Mapping!$D$2:$D$99,0))</f>
        <v>1</v>
      </c>
      <c r="E196" s="8" t="n">
        <f aca="false">INDEX(Mapping!$C$2:$C$99,MATCH(E$1&amp;"|"&amp;Customers!E196,Mapping!$D$2:$D$99,0))</f>
        <v>3</v>
      </c>
      <c r="F196" s="8" t="n">
        <f aca="false">INDEX(Mapping!$C$2:$C$99,MATCH(F$1&amp;"|"&amp;Customers!F196,Mapping!$D$2:$D$99,0))</f>
        <v>1</v>
      </c>
      <c r="G196" s="8" t="n">
        <f aca="false">INDEX(Mapping!$C$2:$C$99,MATCH(G$1&amp;"|"&amp;Customers!G196,Mapping!$D$2:$D$99,0))</f>
        <v>1</v>
      </c>
      <c r="H196" s="8" t="n">
        <f aca="false">INDEX(Mapping!$C$2:$C$99,MATCH(H$1&amp;"|"&amp;Customers!H196,Mapping!$D$2:$D$99,0))</f>
        <v>1</v>
      </c>
      <c r="I196" s="8" t="n">
        <f aca="false">INDEX(Mapping!$C$2:$C$99,MATCH(I$1&amp;"|"&amp;Customers!I196,Mapping!$D$2:$D$99,0))</f>
        <v>1</v>
      </c>
      <c r="J196" s="8" t="n">
        <f aca="false">INDEX(Mapping!$C$2:$C$99,MATCH(J$1&amp;"|"&amp;Customers!J196,Mapping!$D$2:$D$99,0))</f>
        <v>1</v>
      </c>
      <c r="K196" s="8" t="n">
        <f aca="false">INDEX(Mapping!$C$2:$C$99,MATCH(K$1&amp;"|"&amp;Customers!K196,Mapping!$D$2:$D$99,0))</f>
        <v>3</v>
      </c>
      <c r="L196" s="8" t="n">
        <f aca="false">INDEX(Mapping!$C$2:$C$99,MATCH(L$1&amp;"|"&amp;Customers!L196,Mapping!$D$2:$D$99,0))</f>
        <v>1</v>
      </c>
      <c r="M196" s="8" t="n">
        <f aca="false">INDEX(Mapping!$C$2:$C$99,MATCH(M$1&amp;"|"&amp;Customers!M196,Mapping!$D$2:$D$99,0))</f>
        <v>3</v>
      </c>
      <c r="N196" s="8" t="n">
        <f aca="false">INDEX(Mapping!$C$2:$C$99,MATCH(N$1&amp;"|"&amp;Customers!N196,Mapping!$D$2:$D$99,0))</f>
        <v>2</v>
      </c>
      <c r="O196" s="8" t="n">
        <f aca="false">INDEX(Mapping!$C$2:$C$99,MATCH(O$1&amp;"|"&amp;Customers!O196,Mapping!$D$2:$D$99,0))</f>
        <v>3</v>
      </c>
      <c r="P196" s="8" t="n">
        <f aca="false">INDEX(Mapping!$C$2:$C$99,MATCH(P$1&amp;"|"&amp;Customers!P196,Mapping!$D$2:$D$99,0))</f>
        <v>3</v>
      </c>
      <c r="Q196" s="8" t="n">
        <f aca="false">INDEX(Mapping!$C$2:$C$99,MATCH(Q$1&amp;"|"&amp;Customers!Q196,Mapping!$D$2:$D$99,0))</f>
        <v>1</v>
      </c>
      <c r="R196" s="8" t="n">
        <f aca="false">INDEX(Mapping!$C$2:$C$99,MATCH(R$1&amp;"|"&amp;Customers!R196,Mapping!$D$2:$D$99,0))</f>
        <v>1</v>
      </c>
      <c r="S196" s="8" t="n">
        <f aca="false">INDEX(Mapping!$C$2:$C$99,MATCH(S$1&amp;"|"&amp;Customers!S196,Mapping!$D$2:$D$99,0))</f>
        <v>3</v>
      </c>
      <c r="T196" s="8" t="n">
        <f aca="false">INDEX(Mapping!$C$2:$C$99,MATCH(T$1&amp;"|"&amp;Customers!T196,Mapping!$D$2:$D$99,0))</f>
        <v>1</v>
      </c>
      <c r="U196" s="8" t="n">
        <f aca="false">INDEX(Mapping!$C$2:$C$99,MATCH(U$1&amp;"|"&amp;Customers!U196,Mapping!$D$2:$D$99,0))</f>
        <v>1</v>
      </c>
      <c r="V196" s="8" t="n">
        <f aca="false">INDEX(Mapping!$C$2:$C$99,MATCH(V$1&amp;"|"&amp;Customers!V196,Mapping!$D$2:$D$99,0))</f>
        <v>1</v>
      </c>
      <c r="W196" s="17" t="n">
        <f aca="false">SUMPRODUCT($C196:$V196,Weights!$C$27:$V$27)</f>
        <v>1.73</v>
      </c>
      <c r="X196" s="18" t="n">
        <f aca="false">ROUND($W196,2)</f>
        <v>1.73</v>
      </c>
      <c r="Y196" s="8" t="str">
        <f aca="false">IF($X196&lt;=2,"Low",IF($X196&lt;=3.49,"Medium","High"))</f>
        <v>Low</v>
      </c>
      <c r="Z196" s="8" t="str">
        <f aca="false">IF(OR($F196&gt;=3,$E196=5,$D196=5,$C196=5,$G196=5,$H196=5,$I196=5,$J196=5,Customers!$W196="Yes"),"Yes","No")</f>
        <v>No</v>
      </c>
      <c r="AA196" s="15" t="str">
        <f aca="false">IF($Z196="Yes","High",$Y196)</f>
        <v>Low</v>
      </c>
      <c r="AB196" s="18" t="n">
        <f aca="false">SUMPRODUCT($C196:$G196,Weights!$C$28:$G$28)</f>
        <v>1.7</v>
      </c>
      <c r="AC196" s="18" t="n">
        <f aca="false">SUMPRODUCT($H196:$J196,Weights!$H$28:$J$28)</f>
        <v>1</v>
      </c>
      <c r="AD196" s="18" t="n">
        <f aca="false">SUMPRODUCT($K196:$N196,Weights!$K$28:$N$28)</f>
        <v>2.35</v>
      </c>
      <c r="AE196" s="18" t="n">
        <f aca="false">SUMPRODUCT($O196:$Q196,Weights!$O$28:$Q$28)</f>
        <v>2.6</v>
      </c>
      <c r="AF196" s="18" t="n">
        <f aca="false">SUMPRODUCT($R196:$V196,Weights!$R$28:$V$28)</f>
        <v>1.6</v>
      </c>
      <c r="AH196" s="18" t="n">
        <f aca="false">SUMPRODUCT($AB196:$AF196,Validation!$D$7:$H$7)</f>
        <v>1.73428571428585</v>
      </c>
      <c r="AI196" s="18" t="n">
        <f aca="false">SUMPRODUCT($AB196:$AF196,Validation!$D$8:$H$8)</f>
        <v>1.72571428571415</v>
      </c>
      <c r="AJ196" s="18" t="n">
        <f aca="false">SUMPRODUCT($AB196:$AF196,Validation!$D$9:$H$9)</f>
        <v>1.82733333333325</v>
      </c>
      <c r="AK196" s="18" t="n">
        <f aca="false">SUMPRODUCT($AB196:$AF196,Validation!$D$10:$H$10)</f>
        <v>1.63266666666675</v>
      </c>
      <c r="AL196" s="18" t="n">
        <f aca="false">SUMPRODUCT($AB196:$AF196,Validation!$D$11:$H$11)</f>
        <v>1.6525</v>
      </c>
      <c r="AM196" s="18" t="n">
        <f aca="false">SUMPRODUCT($AB196:$AF196,Validation!$D$12:$H$12)</f>
        <v>1.8075</v>
      </c>
      <c r="AN196" s="18" t="n">
        <f aca="false">SUMPRODUCT($AB196:$AF196,Validation!$D$13:$H$13)</f>
        <v>1.633333333333</v>
      </c>
      <c r="AO196" s="18" t="n">
        <f aca="false">SUMPRODUCT($AB196:$AF196,Validation!$D$14:$H$14)</f>
        <v>1.826666666667</v>
      </c>
      <c r="AP196" s="18" t="n">
        <f aca="false">SUMPRODUCT($AB196:$AF196,Validation!$D$15:$H$15)</f>
        <v>1.74529411764685</v>
      </c>
      <c r="AQ196" s="18" t="n">
        <f aca="false">SUMPRODUCT($AB196:$AF196,Validation!$D$16:$H$16)</f>
        <v>1.71470588235315</v>
      </c>
      <c r="AR196" s="8" t="n">
        <f aca="false">COUNTIF($C196:$V196,"&gt;=4")</f>
        <v>0</v>
      </c>
      <c r="AS196" s="8" t="str">
        <f aca="false">IF($X196&lt;=1.6,"Low",IF($X196&lt;=2.2,"Medium","High"))</f>
        <v>Medium</v>
      </c>
      <c r="AT196" s="8" t="str">
        <f aca="false">IF($AR196=0,"Low",IF($AR196&lt;3,"Medium","High"))</f>
        <v>Low</v>
      </c>
      <c r="AU196" s="8" t="str">
        <f aca="false">IF(OR($AS196="High",$AT196="High"),"High",IF(OR($AS196="Medium",$AT196="Medium"),"Medium","Low"))</f>
        <v>Medium</v>
      </c>
      <c r="AV196" s="15" t="str">
        <f aca="false">IF($Z196="Yes","High",$AU196)</f>
        <v>Medium</v>
      </c>
    </row>
    <row r="197" customFormat="false" ht="15" hidden="false" customHeight="false" outlineLevel="0" collapsed="false">
      <c r="A197" s="7" t="str">
        <f aca="false">Customers!$A197</f>
        <v>NG-10105</v>
      </c>
      <c r="B197" s="7" t="str">
        <f aca="false">Customers!$B197</f>
        <v>Personal</v>
      </c>
      <c r="C197" s="8" t="n">
        <f aca="false">INDEX(Mapping!$C$2:$C$99,MATCH(C$1&amp;"|"&amp;Customers!C197,Mapping!$D$2:$D$99,0))</f>
        <v>1</v>
      </c>
      <c r="D197" s="8" t="n">
        <f aca="false">INDEX(Mapping!$C$2:$C$99,MATCH(D$1&amp;"|"&amp;Customers!D197,Mapping!$D$2:$D$99,0))</f>
        <v>1</v>
      </c>
      <c r="E197" s="8" t="n">
        <f aca="false">INDEX(Mapping!$C$2:$C$99,MATCH(E$1&amp;"|"&amp;Customers!E197,Mapping!$D$2:$D$99,0))</f>
        <v>1</v>
      </c>
      <c r="F197" s="8" t="n">
        <f aca="false">INDEX(Mapping!$C$2:$C$99,MATCH(F$1&amp;"|"&amp;Customers!F197,Mapping!$D$2:$D$99,0))</f>
        <v>1</v>
      </c>
      <c r="G197" s="8" t="n">
        <f aca="false">INDEX(Mapping!$C$2:$C$99,MATCH(G$1&amp;"|"&amp;Customers!G197,Mapping!$D$2:$D$99,0))</f>
        <v>1</v>
      </c>
      <c r="H197" s="8" t="n">
        <f aca="false">INDEX(Mapping!$C$2:$C$99,MATCH(H$1&amp;"|"&amp;Customers!H197,Mapping!$D$2:$D$99,0))</f>
        <v>1</v>
      </c>
      <c r="I197" s="8" t="n">
        <f aca="false">INDEX(Mapping!$C$2:$C$99,MATCH(I$1&amp;"|"&amp;Customers!I197,Mapping!$D$2:$D$99,0))</f>
        <v>1</v>
      </c>
      <c r="J197" s="8" t="n">
        <f aca="false">INDEX(Mapping!$C$2:$C$99,MATCH(J$1&amp;"|"&amp;Customers!J197,Mapping!$D$2:$D$99,0))</f>
        <v>1</v>
      </c>
      <c r="K197" s="8" t="n">
        <f aca="false">INDEX(Mapping!$C$2:$C$99,MATCH(K$1&amp;"|"&amp;Customers!K197,Mapping!$D$2:$D$99,0))</f>
        <v>2</v>
      </c>
      <c r="L197" s="8" t="n">
        <f aca="false">INDEX(Mapping!$C$2:$C$99,MATCH(L$1&amp;"|"&amp;Customers!L197,Mapping!$D$2:$D$99,0))</f>
        <v>3</v>
      </c>
      <c r="M197" s="8" t="n">
        <f aca="false">INDEX(Mapping!$C$2:$C$99,MATCH(M$1&amp;"|"&amp;Customers!M197,Mapping!$D$2:$D$99,0))</f>
        <v>3</v>
      </c>
      <c r="N197" s="8" t="n">
        <f aca="false">INDEX(Mapping!$C$2:$C$99,MATCH(N$1&amp;"|"&amp;Customers!N197,Mapping!$D$2:$D$99,0))</f>
        <v>1</v>
      </c>
      <c r="O197" s="8" t="n">
        <f aca="false">INDEX(Mapping!$C$2:$C$99,MATCH(O$1&amp;"|"&amp;Customers!O197,Mapping!$D$2:$D$99,0))</f>
        <v>3</v>
      </c>
      <c r="P197" s="8" t="n">
        <f aca="false">INDEX(Mapping!$C$2:$C$99,MATCH(P$1&amp;"|"&amp;Customers!P197,Mapping!$D$2:$D$99,0))</f>
        <v>3</v>
      </c>
      <c r="Q197" s="8" t="n">
        <f aca="false">INDEX(Mapping!$C$2:$C$99,MATCH(Q$1&amp;"|"&amp;Customers!Q197,Mapping!$D$2:$D$99,0))</f>
        <v>3</v>
      </c>
      <c r="R197" s="8" t="n">
        <f aca="false">INDEX(Mapping!$C$2:$C$99,MATCH(R$1&amp;"|"&amp;Customers!R197,Mapping!$D$2:$D$99,0))</f>
        <v>1</v>
      </c>
      <c r="S197" s="8" t="n">
        <f aca="false">INDEX(Mapping!$C$2:$C$99,MATCH(S$1&amp;"|"&amp;Customers!S197,Mapping!$D$2:$D$99,0))</f>
        <v>2</v>
      </c>
      <c r="T197" s="8" t="n">
        <f aca="false">INDEX(Mapping!$C$2:$C$99,MATCH(T$1&amp;"|"&amp;Customers!T197,Mapping!$D$2:$D$99,0))</f>
        <v>1</v>
      </c>
      <c r="U197" s="8" t="n">
        <f aca="false">INDEX(Mapping!$C$2:$C$99,MATCH(U$1&amp;"|"&amp;Customers!U197,Mapping!$D$2:$D$99,0))</f>
        <v>1</v>
      </c>
      <c r="V197" s="8" t="n">
        <f aca="false">INDEX(Mapping!$C$2:$C$99,MATCH(V$1&amp;"|"&amp;Customers!V197,Mapping!$D$2:$D$99,0))</f>
        <v>1</v>
      </c>
      <c r="W197" s="17" t="n">
        <f aca="false">SUMPRODUCT($C197:$V197,Weights!$C$27:$V$27)</f>
        <v>1.515</v>
      </c>
      <c r="X197" s="18" t="n">
        <f aca="false">ROUND($W197,2)</f>
        <v>1.52</v>
      </c>
      <c r="Y197" s="8" t="str">
        <f aca="false">IF($X197&lt;=2,"Low",IF($X197&lt;=3.49,"Medium","High"))</f>
        <v>Low</v>
      </c>
      <c r="Z197" s="8" t="str">
        <f aca="false">IF(OR($F197&gt;=3,$E197=5,$D197=5,$C197=5,$G197=5,$H197=5,$I197=5,$J197=5,Customers!$W197="Yes"),"Yes","No")</f>
        <v>No</v>
      </c>
      <c r="AA197" s="15" t="str">
        <f aca="false">IF($Z197="Yes","High",$Y197)</f>
        <v>Low</v>
      </c>
      <c r="AB197" s="18" t="n">
        <f aca="false">SUMPRODUCT($C197:$G197,Weights!$C$28:$G$28)</f>
        <v>1</v>
      </c>
      <c r="AC197" s="18" t="n">
        <f aca="false">SUMPRODUCT($H197:$J197,Weights!$H$28:$J$28)</f>
        <v>1</v>
      </c>
      <c r="AD197" s="18" t="n">
        <f aca="false">SUMPRODUCT($K197:$N197,Weights!$K$28:$N$28)</f>
        <v>2.35</v>
      </c>
      <c r="AE197" s="18" t="n">
        <f aca="false">SUMPRODUCT($O197:$Q197,Weights!$O$28:$Q$28)</f>
        <v>3</v>
      </c>
      <c r="AF197" s="18" t="n">
        <f aca="false">SUMPRODUCT($R197:$V197,Weights!$R$28:$V$28)</f>
        <v>1.3</v>
      </c>
      <c r="AH197" s="18" t="n">
        <f aca="false">SUMPRODUCT($AB197:$AF197,Validation!$D$7:$H$7)</f>
        <v>1.58857142857155</v>
      </c>
      <c r="AI197" s="18" t="n">
        <f aca="false">SUMPRODUCT($AB197:$AF197,Validation!$D$8:$H$8)</f>
        <v>1.44142857142845</v>
      </c>
      <c r="AJ197" s="18" t="n">
        <f aca="false">SUMPRODUCT($AB197:$AF197,Validation!$D$9:$H$9)</f>
        <v>1.58366666666645</v>
      </c>
      <c r="AK197" s="18" t="n">
        <f aca="false">SUMPRODUCT($AB197:$AF197,Validation!$D$10:$H$10)</f>
        <v>1.44633333333355</v>
      </c>
      <c r="AL197" s="18" t="n">
        <f aca="false">SUMPRODUCT($AB197:$AF197,Validation!$D$11:$H$11)</f>
        <v>1.410625</v>
      </c>
      <c r="AM197" s="18" t="n">
        <f aca="false">SUMPRODUCT($AB197:$AF197,Validation!$D$12:$H$12)</f>
        <v>1.619375</v>
      </c>
      <c r="AN197" s="18" t="n">
        <f aca="false">SUMPRODUCT($AB197:$AF197,Validation!$D$13:$H$13)</f>
        <v>1.3499999999998</v>
      </c>
      <c r="AO197" s="18" t="n">
        <f aca="false">SUMPRODUCT($AB197:$AF197,Validation!$D$14:$H$14)</f>
        <v>1.6800000000002</v>
      </c>
      <c r="AP197" s="18" t="n">
        <f aca="false">SUMPRODUCT($AB197:$AF197,Validation!$D$15:$H$15)</f>
        <v>1.54029411764675</v>
      </c>
      <c r="AQ197" s="18" t="n">
        <f aca="false">SUMPRODUCT($AB197:$AF197,Validation!$D$16:$H$16)</f>
        <v>1.48970588235325</v>
      </c>
      <c r="AR197" s="8" t="n">
        <f aca="false">COUNTIF($C197:$V197,"&gt;=4")</f>
        <v>0</v>
      </c>
      <c r="AS197" s="8" t="str">
        <f aca="false">IF($X197&lt;=1.6,"Low",IF($X197&lt;=2.2,"Medium","High"))</f>
        <v>Low</v>
      </c>
      <c r="AT197" s="8" t="str">
        <f aca="false">IF($AR197=0,"Low",IF($AR197&lt;3,"Medium","High"))</f>
        <v>Low</v>
      </c>
      <c r="AU197" s="8" t="str">
        <f aca="false">IF(OR($AS197="High",$AT197="High"),"High",IF(OR($AS197="Medium",$AT197="Medium"),"Medium","Low"))</f>
        <v>Low</v>
      </c>
      <c r="AV197" s="15" t="str">
        <f aca="false">IF($Z197="Yes","High",$AU197)</f>
        <v>Low</v>
      </c>
    </row>
    <row r="198" customFormat="false" ht="15" hidden="false" customHeight="false" outlineLevel="0" collapsed="false">
      <c r="A198" s="7" t="str">
        <f aca="false">Customers!$A198</f>
        <v>NG-10216</v>
      </c>
      <c r="B198" s="7" t="str">
        <f aca="false">Customers!$B198</f>
        <v>Personal</v>
      </c>
      <c r="C198" s="8" t="n">
        <f aca="false">INDEX(Mapping!$C$2:$C$99,MATCH(C$1&amp;"|"&amp;Customers!C198,Mapping!$D$2:$D$99,0))</f>
        <v>1</v>
      </c>
      <c r="D198" s="8" t="n">
        <f aca="false">INDEX(Mapping!$C$2:$C$99,MATCH(D$1&amp;"|"&amp;Customers!D198,Mapping!$D$2:$D$99,0))</f>
        <v>1</v>
      </c>
      <c r="E198" s="8" t="n">
        <f aca="false">INDEX(Mapping!$C$2:$C$99,MATCH(E$1&amp;"|"&amp;Customers!E198,Mapping!$D$2:$D$99,0))</f>
        <v>1</v>
      </c>
      <c r="F198" s="8" t="n">
        <f aca="false">INDEX(Mapping!$C$2:$C$99,MATCH(F$1&amp;"|"&amp;Customers!F198,Mapping!$D$2:$D$99,0))</f>
        <v>1</v>
      </c>
      <c r="G198" s="8" t="n">
        <f aca="false">INDEX(Mapping!$C$2:$C$99,MATCH(G$1&amp;"|"&amp;Customers!G198,Mapping!$D$2:$D$99,0))</f>
        <v>1</v>
      </c>
      <c r="H198" s="8" t="n">
        <f aca="false">INDEX(Mapping!$C$2:$C$99,MATCH(H$1&amp;"|"&amp;Customers!H198,Mapping!$D$2:$D$99,0))</f>
        <v>1</v>
      </c>
      <c r="I198" s="8" t="n">
        <f aca="false">INDEX(Mapping!$C$2:$C$99,MATCH(I$1&amp;"|"&amp;Customers!I198,Mapping!$D$2:$D$99,0))</f>
        <v>1</v>
      </c>
      <c r="J198" s="8" t="n">
        <f aca="false">INDEX(Mapping!$C$2:$C$99,MATCH(J$1&amp;"|"&amp;Customers!J198,Mapping!$D$2:$D$99,0))</f>
        <v>1</v>
      </c>
      <c r="K198" s="8" t="n">
        <f aca="false">INDEX(Mapping!$C$2:$C$99,MATCH(K$1&amp;"|"&amp;Customers!K198,Mapping!$D$2:$D$99,0))</f>
        <v>3</v>
      </c>
      <c r="L198" s="8" t="n">
        <f aca="false">INDEX(Mapping!$C$2:$C$99,MATCH(L$1&amp;"|"&amp;Customers!L198,Mapping!$D$2:$D$99,0))</f>
        <v>3</v>
      </c>
      <c r="M198" s="8" t="n">
        <f aca="false">INDEX(Mapping!$C$2:$C$99,MATCH(M$1&amp;"|"&amp;Customers!M198,Mapping!$D$2:$D$99,0))</f>
        <v>3</v>
      </c>
      <c r="N198" s="8" t="n">
        <f aca="false">INDEX(Mapping!$C$2:$C$99,MATCH(N$1&amp;"|"&amp;Customers!N198,Mapping!$D$2:$D$99,0))</f>
        <v>1</v>
      </c>
      <c r="O198" s="8" t="n">
        <f aca="false">INDEX(Mapping!$C$2:$C$99,MATCH(O$1&amp;"|"&amp;Customers!O198,Mapping!$D$2:$D$99,0))</f>
        <v>3</v>
      </c>
      <c r="P198" s="8" t="n">
        <f aca="false">INDEX(Mapping!$C$2:$C$99,MATCH(P$1&amp;"|"&amp;Customers!P198,Mapping!$D$2:$D$99,0))</f>
        <v>3</v>
      </c>
      <c r="Q198" s="8" t="n">
        <f aca="false">INDEX(Mapping!$C$2:$C$99,MATCH(Q$1&amp;"|"&amp;Customers!Q198,Mapping!$D$2:$D$99,0))</f>
        <v>1</v>
      </c>
      <c r="R198" s="8" t="n">
        <f aca="false">INDEX(Mapping!$C$2:$C$99,MATCH(R$1&amp;"|"&amp;Customers!R198,Mapping!$D$2:$D$99,0))</f>
        <v>2</v>
      </c>
      <c r="S198" s="8" t="n">
        <f aca="false">INDEX(Mapping!$C$2:$C$99,MATCH(S$1&amp;"|"&amp;Customers!S198,Mapping!$D$2:$D$99,0))</f>
        <v>2</v>
      </c>
      <c r="T198" s="8" t="n">
        <f aca="false">INDEX(Mapping!$C$2:$C$99,MATCH(T$1&amp;"|"&amp;Customers!T198,Mapping!$D$2:$D$99,0))</f>
        <v>1</v>
      </c>
      <c r="U198" s="8" t="n">
        <f aca="false">INDEX(Mapping!$C$2:$C$99,MATCH(U$1&amp;"|"&amp;Customers!U198,Mapping!$D$2:$D$99,0))</f>
        <v>1</v>
      </c>
      <c r="V198" s="8" t="n">
        <f aca="false">INDEX(Mapping!$C$2:$C$99,MATCH(V$1&amp;"|"&amp;Customers!V198,Mapping!$D$2:$D$99,0))</f>
        <v>1</v>
      </c>
      <c r="W198" s="17" t="n">
        <f aca="false">SUMPRODUCT($C198:$V198,Weights!$C$27:$V$27)</f>
        <v>1.5825</v>
      </c>
      <c r="X198" s="18" t="n">
        <f aca="false">ROUND($W198,2)</f>
        <v>1.58</v>
      </c>
      <c r="Y198" s="8" t="str">
        <f aca="false">IF($X198&lt;=2,"Low",IF($X198&lt;=3.49,"Medium","High"))</f>
        <v>Low</v>
      </c>
      <c r="Z198" s="8" t="str">
        <f aca="false">IF(OR($F198&gt;=3,$E198=5,$D198=5,$C198=5,$G198=5,$H198=5,$I198=5,$J198=5,Customers!$W198="Yes"),"Yes","No")</f>
        <v>Yes</v>
      </c>
      <c r="AA198" s="15" t="str">
        <f aca="false">IF($Z198="Yes","High",$Y198)</f>
        <v>High</v>
      </c>
      <c r="AB198" s="18" t="n">
        <f aca="false">SUMPRODUCT($C198:$G198,Weights!$C$28:$G$28)</f>
        <v>1</v>
      </c>
      <c r="AC198" s="18" t="n">
        <f aca="false">SUMPRODUCT($H198:$J198,Weights!$H$28:$J$28)</f>
        <v>1</v>
      </c>
      <c r="AD198" s="18" t="n">
        <f aca="false">SUMPRODUCT($K198:$N198,Weights!$K$28:$N$28)</f>
        <v>2.7</v>
      </c>
      <c r="AE198" s="18" t="n">
        <f aca="false">SUMPRODUCT($O198:$Q198,Weights!$O$28:$Q$28)</f>
        <v>2.6</v>
      </c>
      <c r="AF198" s="18" t="n">
        <f aca="false">SUMPRODUCT($R198:$V198,Weights!$R$28:$V$28)</f>
        <v>1.55</v>
      </c>
      <c r="AH198" s="18" t="n">
        <f aca="false">SUMPRODUCT($AB198:$AF198,Validation!$D$7:$H$7)</f>
        <v>1.66571428571425</v>
      </c>
      <c r="AI198" s="18" t="n">
        <f aca="false">SUMPRODUCT($AB198:$AF198,Validation!$D$8:$H$8)</f>
        <v>1.49928571428575</v>
      </c>
      <c r="AJ198" s="18" t="n">
        <f aca="false">SUMPRODUCT($AB198:$AF198,Validation!$D$9:$H$9)</f>
        <v>1.6601666666667</v>
      </c>
      <c r="AK198" s="18" t="n">
        <f aca="false">SUMPRODUCT($AB198:$AF198,Validation!$D$10:$H$10)</f>
        <v>1.5048333333333</v>
      </c>
      <c r="AL198" s="18" t="n">
        <f aca="false">SUMPRODUCT($AB198:$AF198,Validation!$D$11:$H$11)</f>
        <v>1.4428125</v>
      </c>
      <c r="AM198" s="18" t="n">
        <f aca="false">SUMPRODUCT($AB198:$AF198,Validation!$D$12:$H$12)</f>
        <v>1.7221875</v>
      </c>
      <c r="AN198" s="18" t="n">
        <f aca="false">SUMPRODUCT($AB198:$AF198,Validation!$D$13:$H$13)</f>
        <v>1.46944444444425</v>
      </c>
      <c r="AO198" s="18" t="n">
        <f aca="false">SUMPRODUCT($AB198:$AF198,Validation!$D$14:$H$14)</f>
        <v>1.69555555555575</v>
      </c>
      <c r="AP198" s="18" t="n">
        <f aca="false">SUMPRODUCT($AB198:$AF198,Validation!$D$15:$H$15)</f>
        <v>1.5863235294117</v>
      </c>
      <c r="AQ198" s="18" t="n">
        <f aca="false">SUMPRODUCT($AB198:$AF198,Validation!$D$16:$H$16)</f>
        <v>1.5786764705883</v>
      </c>
      <c r="AR198" s="8" t="n">
        <f aca="false">COUNTIF($C198:$V198,"&gt;=4")</f>
        <v>0</v>
      </c>
      <c r="AS198" s="8" t="str">
        <f aca="false">IF($X198&lt;=1.6,"Low",IF($X198&lt;=2.2,"Medium","High"))</f>
        <v>Low</v>
      </c>
      <c r="AT198" s="8" t="str">
        <f aca="false">IF($AR198=0,"Low",IF($AR198&lt;3,"Medium","High"))</f>
        <v>Low</v>
      </c>
      <c r="AU198" s="8" t="str">
        <f aca="false">IF(OR($AS198="High",$AT198="High"),"High",IF(OR($AS198="Medium",$AT198="Medium"),"Medium","Low"))</f>
        <v>Low</v>
      </c>
      <c r="AV198" s="15" t="str">
        <f aca="false">IF($Z198="Yes","High",$AU198)</f>
        <v>High</v>
      </c>
    </row>
    <row r="199" customFormat="false" ht="15" hidden="false" customHeight="false" outlineLevel="0" collapsed="false">
      <c r="A199" s="7" t="str">
        <f aca="false">Customers!$A199</f>
        <v>NG-10144</v>
      </c>
      <c r="B199" s="7" t="str">
        <f aca="false">Customers!$B199</f>
        <v>Personal</v>
      </c>
      <c r="C199" s="8" t="n">
        <f aca="false">INDEX(Mapping!$C$2:$C$99,MATCH(C$1&amp;"|"&amp;Customers!C199,Mapping!$D$2:$D$99,0))</f>
        <v>1</v>
      </c>
      <c r="D199" s="8" t="n">
        <f aca="false">INDEX(Mapping!$C$2:$C$99,MATCH(D$1&amp;"|"&amp;Customers!D199,Mapping!$D$2:$D$99,0))</f>
        <v>1</v>
      </c>
      <c r="E199" s="8" t="n">
        <f aca="false">INDEX(Mapping!$C$2:$C$99,MATCH(E$1&amp;"|"&amp;Customers!E199,Mapping!$D$2:$D$99,0))</f>
        <v>2</v>
      </c>
      <c r="F199" s="8" t="n">
        <f aca="false">INDEX(Mapping!$C$2:$C$99,MATCH(F$1&amp;"|"&amp;Customers!F199,Mapping!$D$2:$D$99,0))</f>
        <v>1</v>
      </c>
      <c r="G199" s="8" t="n">
        <f aca="false">INDEX(Mapping!$C$2:$C$99,MATCH(G$1&amp;"|"&amp;Customers!G199,Mapping!$D$2:$D$99,0))</f>
        <v>1</v>
      </c>
      <c r="H199" s="8" t="n">
        <f aca="false">INDEX(Mapping!$C$2:$C$99,MATCH(H$1&amp;"|"&amp;Customers!H199,Mapping!$D$2:$D$99,0))</f>
        <v>1</v>
      </c>
      <c r="I199" s="8" t="n">
        <f aca="false">INDEX(Mapping!$C$2:$C$99,MATCH(I$1&amp;"|"&amp;Customers!I199,Mapping!$D$2:$D$99,0))</f>
        <v>2</v>
      </c>
      <c r="J199" s="8" t="n">
        <f aca="false">INDEX(Mapping!$C$2:$C$99,MATCH(J$1&amp;"|"&amp;Customers!J199,Mapping!$D$2:$D$99,0))</f>
        <v>1</v>
      </c>
      <c r="K199" s="8" t="n">
        <f aca="false">INDEX(Mapping!$C$2:$C$99,MATCH(K$1&amp;"|"&amp;Customers!K199,Mapping!$D$2:$D$99,0))</f>
        <v>2</v>
      </c>
      <c r="L199" s="8" t="n">
        <f aca="false">INDEX(Mapping!$C$2:$C$99,MATCH(L$1&amp;"|"&amp;Customers!L199,Mapping!$D$2:$D$99,0))</f>
        <v>4</v>
      </c>
      <c r="M199" s="8" t="n">
        <f aca="false">INDEX(Mapping!$C$2:$C$99,MATCH(M$1&amp;"|"&amp;Customers!M199,Mapping!$D$2:$D$99,0))</f>
        <v>2</v>
      </c>
      <c r="N199" s="8" t="n">
        <f aca="false">INDEX(Mapping!$C$2:$C$99,MATCH(N$1&amp;"|"&amp;Customers!N199,Mapping!$D$2:$D$99,0))</f>
        <v>1</v>
      </c>
      <c r="O199" s="8" t="n">
        <f aca="false">INDEX(Mapping!$C$2:$C$99,MATCH(O$1&amp;"|"&amp;Customers!O199,Mapping!$D$2:$D$99,0))</f>
        <v>3</v>
      </c>
      <c r="P199" s="8" t="n">
        <f aca="false">INDEX(Mapping!$C$2:$C$99,MATCH(P$1&amp;"|"&amp;Customers!P199,Mapping!$D$2:$D$99,0))</f>
        <v>3</v>
      </c>
      <c r="Q199" s="8" t="n">
        <f aca="false">INDEX(Mapping!$C$2:$C$99,MATCH(Q$1&amp;"|"&amp;Customers!Q199,Mapping!$D$2:$D$99,0))</f>
        <v>2</v>
      </c>
      <c r="R199" s="8" t="n">
        <f aca="false">INDEX(Mapping!$C$2:$C$99,MATCH(R$1&amp;"|"&amp;Customers!R199,Mapping!$D$2:$D$99,0))</f>
        <v>2</v>
      </c>
      <c r="S199" s="8" t="n">
        <f aca="false">INDEX(Mapping!$C$2:$C$99,MATCH(S$1&amp;"|"&amp;Customers!S199,Mapping!$D$2:$D$99,0))</f>
        <v>2</v>
      </c>
      <c r="T199" s="8" t="n">
        <f aca="false">INDEX(Mapping!$C$2:$C$99,MATCH(T$1&amp;"|"&amp;Customers!T199,Mapping!$D$2:$D$99,0))</f>
        <v>2</v>
      </c>
      <c r="U199" s="8" t="n">
        <f aca="false">INDEX(Mapping!$C$2:$C$99,MATCH(U$1&amp;"|"&amp;Customers!U199,Mapping!$D$2:$D$99,0))</f>
        <v>1</v>
      </c>
      <c r="V199" s="8" t="n">
        <f aca="false">INDEX(Mapping!$C$2:$C$99,MATCH(V$1&amp;"|"&amp;Customers!V199,Mapping!$D$2:$D$99,0))</f>
        <v>2</v>
      </c>
      <c r="W199" s="17" t="n">
        <f aca="false">SUMPRODUCT($C199:$V199,Weights!$C$27:$V$27)</f>
        <v>1.7025</v>
      </c>
      <c r="X199" s="18" t="n">
        <f aca="false">ROUND($W199,2)</f>
        <v>1.7</v>
      </c>
      <c r="Y199" s="8" t="str">
        <f aca="false">IF($X199&lt;=2,"Low",IF($X199&lt;=3.49,"Medium","High"))</f>
        <v>Low</v>
      </c>
      <c r="Z199" s="8" t="str">
        <f aca="false">IF(OR($F199&gt;=3,$E199=5,$D199=5,$C199=5,$G199=5,$H199=5,$I199=5,$J199=5,Customers!$W199="Yes"),"Yes","No")</f>
        <v>No</v>
      </c>
      <c r="AA199" s="15" t="str">
        <f aca="false">IF($Z199="Yes","High",$Y199)</f>
        <v>Low</v>
      </c>
      <c r="AB199" s="18" t="n">
        <f aca="false">SUMPRODUCT($C199:$G199,Weights!$C$28:$G$28)</f>
        <v>1.25</v>
      </c>
      <c r="AC199" s="18" t="n">
        <f aca="false">SUMPRODUCT($H199:$J199,Weights!$H$28:$J$28)</f>
        <v>1.2</v>
      </c>
      <c r="AD199" s="18" t="n">
        <f aca="false">SUMPRODUCT($K199:$N199,Weights!$K$28:$N$28)</f>
        <v>2.35</v>
      </c>
      <c r="AE199" s="18" t="n">
        <f aca="false">SUMPRODUCT($O199:$Q199,Weights!$O$28:$Q$28)</f>
        <v>2.8</v>
      </c>
      <c r="AF199" s="18" t="n">
        <f aca="false">SUMPRODUCT($R199:$V199,Weights!$R$28:$V$28)</f>
        <v>1.85</v>
      </c>
      <c r="AH199" s="18" t="n">
        <f aca="false">SUMPRODUCT($AB199:$AF199,Validation!$D$7:$H$7)</f>
        <v>1.7671428571431</v>
      </c>
      <c r="AI199" s="18" t="n">
        <f aca="false">SUMPRODUCT($AB199:$AF199,Validation!$D$8:$H$8)</f>
        <v>1.6378571428569</v>
      </c>
      <c r="AJ199" s="18" t="n">
        <f aca="false">SUMPRODUCT($AB199:$AF199,Validation!$D$9:$H$9)</f>
        <v>1.76949999999985</v>
      </c>
      <c r="AK199" s="18" t="n">
        <f aca="false">SUMPRODUCT($AB199:$AF199,Validation!$D$10:$H$10)</f>
        <v>1.63550000000015</v>
      </c>
      <c r="AL199" s="18" t="n">
        <f aca="false">SUMPRODUCT($AB199:$AF199,Validation!$D$11:$H$11)</f>
        <v>1.6215625</v>
      </c>
      <c r="AM199" s="18" t="n">
        <f aca="false">SUMPRODUCT($AB199:$AF199,Validation!$D$12:$H$12)</f>
        <v>1.7834375</v>
      </c>
      <c r="AN199" s="18" t="n">
        <f aca="false">SUMPRODUCT($AB199:$AF199,Validation!$D$13:$H$13)</f>
        <v>1.5805555555555</v>
      </c>
      <c r="AO199" s="18" t="n">
        <f aca="false">SUMPRODUCT($AB199:$AF199,Validation!$D$14:$H$14)</f>
        <v>1.8244444444445</v>
      </c>
      <c r="AP199" s="18" t="n">
        <f aca="false">SUMPRODUCT($AB199:$AF199,Validation!$D$15:$H$15)</f>
        <v>1.6851470588233</v>
      </c>
      <c r="AQ199" s="18" t="n">
        <f aca="false">SUMPRODUCT($AB199:$AF199,Validation!$D$16:$H$16)</f>
        <v>1.7198529411767</v>
      </c>
      <c r="AR199" s="8" t="n">
        <f aca="false">COUNTIF($C199:$V199,"&gt;=4")</f>
        <v>1</v>
      </c>
      <c r="AS199" s="8" t="str">
        <f aca="false">IF($X199&lt;=1.6,"Low",IF($X199&lt;=2.2,"Medium","High"))</f>
        <v>Medium</v>
      </c>
      <c r="AT199" s="8" t="str">
        <f aca="false">IF($AR199=0,"Low",IF($AR199&lt;3,"Medium","High"))</f>
        <v>Medium</v>
      </c>
      <c r="AU199" s="8" t="str">
        <f aca="false">IF(OR($AS199="High",$AT199="High"),"High",IF(OR($AS199="Medium",$AT199="Medium"),"Medium","Low"))</f>
        <v>Medium</v>
      </c>
      <c r="AV199" s="15" t="str">
        <f aca="false">IF($Z199="Yes","High",$AU199)</f>
        <v>Medium</v>
      </c>
    </row>
    <row r="200" customFormat="false" ht="15" hidden="false" customHeight="false" outlineLevel="0" collapsed="false">
      <c r="A200" s="7" t="str">
        <f aca="false">Customers!$A200</f>
        <v>NG-10174</v>
      </c>
      <c r="B200" s="7" t="str">
        <f aca="false">Customers!$B200</f>
        <v>Personal</v>
      </c>
      <c r="C200" s="8" t="n">
        <f aca="false">INDEX(Mapping!$C$2:$C$99,MATCH(C$1&amp;"|"&amp;Customers!C200,Mapping!$D$2:$D$99,0))</f>
        <v>1</v>
      </c>
      <c r="D200" s="8" t="n">
        <f aca="false">INDEX(Mapping!$C$2:$C$99,MATCH(D$1&amp;"|"&amp;Customers!D200,Mapping!$D$2:$D$99,0))</f>
        <v>1</v>
      </c>
      <c r="E200" s="8" t="n">
        <f aca="false">INDEX(Mapping!$C$2:$C$99,MATCH(E$1&amp;"|"&amp;Customers!E200,Mapping!$D$2:$D$99,0))</f>
        <v>3</v>
      </c>
      <c r="F200" s="8" t="n">
        <f aca="false">INDEX(Mapping!$C$2:$C$99,MATCH(F$1&amp;"|"&amp;Customers!F200,Mapping!$D$2:$D$99,0))</f>
        <v>1</v>
      </c>
      <c r="G200" s="8" t="n">
        <f aca="false">INDEX(Mapping!$C$2:$C$99,MATCH(G$1&amp;"|"&amp;Customers!G200,Mapping!$D$2:$D$99,0))</f>
        <v>1</v>
      </c>
      <c r="H200" s="8" t="n">
        <f aca="false">INDEX(Mapping!$C$2:$C$99,MATCH(H$1&amp;"|"&amp;Customers!H200,Mapping!$D$2:$D$99,0))</f>
        <v>1</v>
      </c>
      <c r="I200" s="8" t="n">
        <f aca="false">INDEX(Mapping!$C$2:$C$99,MATCH(I$1&amp;"|"&amp;Customers!I200,Mapping!$D$2:$D$99,0))</f>
        <v>1</v>
      </c>
      <c r="J200" s="8" t="n">
        <f aca="false">INDEX(Mapping!$C$2:$C$99,MATCH(J$1&amp;"|"&amp;Customers!J200,Mapping!$D$2:$D$99,0))</f>
        <v>5</v>
      </c>
      <c r="K200" s="8" t="n">
        <f aca="false">INDEX(Mapping!$C$2:$C$99,MATCH(K$1&amp;"|"&amp;Customers!K200,Mapping!$D$2:$D$99,0))</f>
        <v>3</v>
      </c>
      <c r="L200" s="8" t="n">
        <f aca="false">INDEX(Mapping!$C$2:$C$99,MATCH(L$1&amp;"|"&amp;Customers!L200,Mapping!$D$2:$D$99,0))</f>
        <v>3</v>
      </c>
      <c r="M200" s="8" t="n">
        <f aca="false">INDEX(Mapping!$C$2:$C$99,MATCH(M$1&amp;"|"&amp;Customers!M200,Mapping!$D$2:$D$99,0))</f>
        <v>4</v>
      </c>
      <c r="N200" s="8" t="n">
        <f aca="false">INDEX(Mapping!$C$2:$C$99,MATCH(N$1&amp;"|"&amp;Customers!N200,Mapping!$D$2:$D$99,0))</f>
        <v>2</v>
      </c>
      <c r="O200" s="8" t="n">
        <f aca="false">INDEX(Mapping!$C$2:$C$99,MATCH(O$1&amp;"|"&amp;Customers!O200,Mapping!$D$2:$D$99,0))</f>
        <v>3</v>
      </c>
      <c r="P200" s="8" t="n">
        <f aca="false">INDEX(Mapping!$C$2:$C$99,MATCH(P$1&amp;"|"&amp;Customers!P200,Mapping!$D$2:$D$99,0))</f>
        <v>3</v>
      </c>
      <c r="Q200" s="8" t="n">
        <f aca="false">INDEX(Mapping!$C$2:$C$99,MATCH(Q$1&amp;"|"&amp;Customers!Q200,Mapping!$D$2:$D$99,0))</f>
        <v>1</v>
      </c>
      <c r="R200" s="8" t="n">
        <f aca="false">INDEX(Mapping!$C$2:$C$99,MATCH(R$1&amp;"|"&amp;Customers!R200,Mapping!$D$2:$D$99,0))</f>
        <v>1</v>
      </c>
      <c r="S200" s="8" t="n">
        <f aca="false">INDEX(Mapping!$C$2:$C$99,MATCH(S$1&amp;"|"&amp;Customers!S200,Mapping!$D$2:$D$99,0))</f>
        <v>1</v>
      </c>
      <c r="T200" s="8" t="n">
        <f aca="false">INDEX(Mapping!$C$2:$C$99,MATCH(T$1&amp;"|"&amp;Customers!T200,Mapping!$D$2:$D$99,0))</f>
        <v>1</v>
      </c>
      <c r="U200" s="8" t="n">
        <f aca="false">INDEX(Mapping!$C$2:$C$99,MATCH(U$1&amp;"|"&amp;Customers!U200,Mapping!$D$2:$D$99,0))</f>
        <v>1</v>
      </c>
      <c r="V200" s="8" t="n">
        <f aca="false">INDEX(Mapping!$C$2:$C$99,MATCH(V$1&amp;"|"&amp;Customers!V200,Mapping!$D$2:$D$99,0))</f>
        <v>1</v>
      </c>
      <c r="W200" s="17" t="n">
        <f aca="false">SUMPRODUCT($C200:$V200,Weights!$C$27:$V$27)</f>
        <v>2.13</v>
      </c>
      <c r="X200" s="18" t="n">
        <f aca="false">ROUND($W200,2)</f>
        <v>2.13</v>
      </c>
      <c r="Y200" s="8" t="str">
        <f aca="false">IF($X200&lt;=2,"Low",IF($X200&lt;=3.49,"Medium","High"))</f>
        <v>Medium</v>
      </c>
      <c r="Z200" s="8" t="str">
        <f aca="false">IF(OR($F200&gt;=3,$E200=5,$D200=5,$C200=5,$G200=5,$H200=5,$I200=5,$J200=5,Customers!$W200="Yes"),"Yes","No")</f>
        <v>Yes</v>
      </c>
      <c r="AA200" s="15" t="str">
        <f aca="false">IF($Z200="Yes","High",$Y200)</f>
        <v>High</v>
      </c>
      <c r="AB200" s="18" t="n">
        <f aca="false">SUMPRODUCT($C200:$G200,Weights!$C$28:$G$28)</f>
        <v>1.5</v>
      </c>
      <c r="AC200" s="18" t="n">
        <f aca="false">SUMPRODUCT($H200:$J200,Weights!$H$28:$J$28)</f>
        <v>2.6</v>
      </c>
      <c r="AD200" s="18" t="n">
        <f aca="false">SUMPRODUCT($K200:$N200,Weights!$K$28:$N$28)</f>
        <v>3.1</v>
      </c>
      <c r="AE200" s="18" t="n">
        <f aca="false">SUMPRODUCT($O200:$Q200,Weights!$O$28:$Q$28)</f>
        <v>2.6</v>
      </c>
      <c r="AF200" s="18" t="n">
        <f aca="false">SUMPRODUCT($R200:$V200,Weights!$R$28:$V$28)</f>
        <v>1</v>
      </c>
      <c r="AH200" s="18" t="n">
        <f aca="false">SUMPRODUCT($AB200:$AF200,Validation!$D$7:$H$7)</f>
        <v>2.2199999999991</v>
      </c>
      <c r="AI200" s="18" t="n">
        <f aca="false">SUMPRODUCT($AB200:$AF200,Validation!$D$8:$H$8)</f>
        <v>2.0400000000009</v>
      </c>
      <c r="AJ200" s="18" t="n">
        <f aca="false">SUMPRODUCT($AB200:$AF200,Validation!$D$9:$H$9)</f>
        <v>2.0673333333335</v>
      </c>
      <c r="AK200" s="18" t="n">
        <f aca="false">SUMPRODUCT($AB200:$AF200,Validation!$D$10:$H$10)</f>
        <v>2.1926666666665</v>
      </c>
      <c r="AL200" s="18" t="n">
        <f aca="false">SUMPRODUCT($AB200:$AF200,Validation!$D$11:$H$11)</f>
        <v>2.00875</v>
      </c>
      <c r="AM200" s="18" t="n">
        <f aca="false">SUMPRODUCT($AB200:$AF200,Validation!$D$12:$H$12)</f>
        <v>2.25125</v>
      </c>
      <c r="AN200" s="18" t="n">
        <f aca="false">SUMPRODUCT($AB200:$AF200,Validation!$D$13:$H$13)</f>
        <v>2.0777777777775</v>
      </c>
      <c r="AO200" s="18" t="n">
        <f aca="false">SUMPRODUCT($AB200:$AF200,Validation!$D$14:$H$14)</f>
        <v>2.1822222222225</v>
      </c>
      <c r="AP200" s="18" t="n">
        <f aca="false">SUMPRODUCT($AB200:$AF200,Validation!$D$15:$H$15)</f>
        <v>2.2629411764708</v>
      </c>
      <c r="AQ200" s="18" t="n">
        <f aca="false">SUMPRODUCT($AB200:$AF200,Validation!$D$16:$H$16)</f>
        <v>1.9970588235292</v>
      </c>
      <c r="AR200" s="8" t="n">
        <f aca="false">COUNTIF($C200:$V200,"&gt;=4")</f>
        <v>2</v>
      </c>
      <c r="AS200" s="8" t="str">
        <f aca="false">IF($X200&lt;=1.6,"Low",IF($X200&lt;=2.2,"Medium","High"))</f>
        <v>Medium</v>
      </c>
      <c r="AT200" s="8" t="str">
        <f aca="false">IF($AR200=0,"Low",IF($AR200&lt;3,"Medium","High"))</f>
        <v>Medium</v>
      </c>
      <c r="AU200" s="8" t="str">
        <f aca="false">IF(OR($AS200="High",$AT200="High"),"High",IF(OR($AS200="Medium",$AT200="Medium"),"Medium","Low"))</f>
        <v>Medium</v>
      </c>
      <c r="AV200" s="15" t="str">
        <f aca="false">IF($Z200="Yes","High",$AU200)</f>
        <v>High</v>
      </c>
    </row>
    <row r="201" customFormat="false" ht="15" hidden="false" customHeight="false" outlineLevel="0" collapsed="false">
      <c r="A201" s="7" t="str">
        <f aca="false">Customers!$A201</f>
        <v>NG-10350</v>
      </c>
      <c r="B201" s="7" t="str">
        <f aca="false">Customers!$B201</f>
        <v>Sole trader</v>
      </c>
      <c r="C201" s="8" t="n">
        <f aca="false">INDEX(Mapping!$C$2:$C$99,MATCH(C$1&amp;"|"&amp;Customers!C201,Mapping!$D$2:$D$99,0))</f>
        <v>2</v>
      </c>
      <c r="D201" s="8" t="n">
        <f aca="false">INDEX(Mapping!$C$2:$C$99,MATCH(D$1&amp;"|"&amp;Customers!D201,Mapping!$D$2:$D$99,0))</f>
        <v>1</v>
      </c>
      <c r="E201" s="8" t="n">
        <f aca="false">INDEX(Mapping!$C$2:$C$99,MATCH(E$1&amp;"|"&amp;Customers!E201,Mapping!$D$2:$D$99,0))</f>
        <v>4</v>
      </c>
      <c r="F201" s="8" t="n">
        <f aca="false">INDEX(Mapping!$C$2:$C$99,MATCH(F$1&amp;"|"&amp;Customers!F201,Mapping!$D$2:$D$99,0))</f>
        <v>1</v>
      </c>
      <c r="G201" s="8" t="n">
        <f aca="false">INDEX(Mapping!$C$2:$C$99,MATCH(G$1&amp;"|"&amp;Customers!G201,Mapping!$D$2:$D$99,0))</f>
        <v>1</v>
      </c>
      <c r="H201" s="8" t="n">
        <f aca="false">INDEX(Mapping!$C$2:$C$99,MATCH(H$1&amp;"|"&amp;Customers!H201,Mapping!$D$2:$D$99,0))</f>
        <v>1</v>
      </c>
      <c r="I201" s="8" t="n">
        <f aca="false">INDEX(Mapping!$C$2:$C$99,MATCH(I$1&amp;"|"&amp;Customers!I201,Mapping!$D$2:$D$99,0))</f>
        <v>1</v>
      </c>
      <c r="J201" s="8" t="n">
        <f aca="false">INDEX(Mapping!$C$2:$C$99,MATCH(J$1&amp;"|"&amp;Customers!J201,Mapping!$D$2:$D$99,0))</f>
        <v>4</v>
      </c>
      <c r="K201" s="8" t="n">
        <f aca="false">INDEX(Mapping!$C$2:$C$99,MATCH(K$1&amp;"|"&amp;Customers!K201,Mapping!$D$2:$D$99,0))</f>
        <v>5</v>
      </c>
      <c r="L201" s="8" t="n">
        <f aca="false">INDEX(Mapping!$C$2:$C$99,MATCH(L$1&amp;"|"&amp;Customers!L201,Mapping!$D$2:$D$99,0))</f>
        <v>4</v>
      </c>
      <c r="M201" s="8" t="n">
        <f aca="false">INDEX(Mapping!$C$2:$C$99,MATCH(M$1&amp;"|"&amp;Customers!M201,Mapping!$D$2:$D$99,0))</f>
        <v>3</v>
      </c>
      <c r="N201" s="8" t="n">
        <f aca="false">INDEX(Mapping!$C$2:$C$99,MATCH(N$1&amp;"|"&amp;Customers!N201,Mapping!$D$2:$D$99,0))</f>
        <v>1</v>
      </c>
      <c r="O201" s="8" t="n">
        <f aca="false">INDEX(Mapping!$C$2:$C$99,MATCH(O$1&amp;"|"&amp;Customers!O201,Mapping!$D$2:$D$99,0))</f>
        <v>3</v>
      </c>
      <c r="P201" s="8" t="n">
        <f aca="false">INDEX(Mapping!$C$2:$C$99,MATCH(P$1&amp;"|"&amp;Customers!P201,Mapping!$D$2:$D$99,0))</f>
        <v>3</v>
      </c>
      <c r="Q201" s="8" t="n">
        <f aca="false">INDEX(Mapping!$C$2:$C$99,MATCH(Q$1&amp;"|"&amp;Customers!Q201,Mapping!$D$2:$D$99,0))</f>
        <v>1</v>
      </c>
      <c r="R201" s="8" t="n">
        <f aca="false">INDEX(Mapping!$C$2:$C$99,MATCH(R$1&amp;"|"&amp;Customers!R201,Mapping!$D$2:$D$99,0))</f>
        <v>2</v>
      </c>
      <c r="S201" s="8" t="n">
        <f aca="false">INDEX(Mapping!$C$2:$C$99,MATCH(S$1&amp;"|"&amp;Customers!S201,Mapping!$D$2:$D$99,0))</f>
        <v>2</v>
      </c>
      <c r="T201" s="8" t="n">
        <f aca="false">INDEX(Mapping!$C$2:$C$99,MATCH(T$1&amp;"|"&amp;Customers!T201,Mapping!$D$2:$D$99,0))</f>
        <v>2</v>
      </c>
      <c r="U201" s="8" t="n">
        <f aca="false">INDEX(Mapping!$C$2:$C$99,MATCH(U$1&amp;"|"&amp;Customers!U201,Mapping!$D$2:$D$99,0))</f>
        <v>2</v>
      </c>
      <c r="V201" s="8" t="n">
        <f aca="false">INDEX(Mapping!$C$2:$C$99,MATCH(V$1&amp;"|"&amp;Customers!V201,Mapping!$D$2:$D$99,0))</f>
        <v>1</v>
      </c>
      <c r="W201" s="17" t="n">
        <f aca="false">SUMPRODUCT($C201:$V201,Weights!$C$27:$V$27)</f>
        <v>2.41</v>
      </c>
      <c r="X201" s="18" t="n">
        <f aca="false">ROUND($W201,2)</f>
        <v>2.41</v>
      </c>
      <c r="Y201" s="8" t="str">
        <f aca="false">IF($X201&lt;=2,"Low",IF($X201&lt;=3.49,"Medium","High"))</f>
        <v>Medium</v>
      </c>
      <c r="Z201" s="8" t="str">
        <f aca="false">IF(OR($F201&gt;=3,$E201=5,$D201=5,$C201=5,$G201=5,$H201=5,$I201=5,$J201=5,Customers!$W201="Yes"),"Yes","No")</f>
        <v>No</v>
      </c>
      <c r="AA201" s="15" t="str">
        <f aca="false">IF($Z201="Yes","High",$Y201)</f>
        <v>Medium</v>
      </c>
      <c r="AB201" s="18" t="n">
        <f aca="false">SUMPRODUCT($C201:$G201,Weights!$C$28:$G$28)</f>
        <v>1.95</v>
      </c>
      <c r="AC201" s="18" t="n">
        <f aca="false">SUMPRODUCT($H201:$J201,Weights!$H$28:$J$28)</f>
        <v>2.2</v>
      </c>
      <c r="AD201" s="18" t="n">
        <f aca="false">SUMPRODUCT($K201:$N201,Weights!$K$28:$N$28)</f>
        <v>3.65</v>
      </c>
      <c r="AE201" s="18" t="n">
        <f aca="false">SUMPRODUCT($O201:$Q201,Weights!$O$28:$Q$28)</f>
        <v>2.6</v>
      </c>
      <c r="AF201" s="18" t="n">
        <f aca="false">SUMPRODUCT($R201:$V201,Weights!$R$28:$V$28)</f>
        <v>1.9</v>
      </c>
      <c r="AH201" s="18" t="n">
        <f aca="false">SUMPRODUCT($AB201:$AF201,Validation!$D$7:$H$7)</f>
        <v>2.47571428571365</v>
      </c>
      <c r="AI201" s="18" t="n">
        <f aca="false">SUMPRODUCT($AB201:$AF201,Validation!$D$8:$H$8)</f>
        <v>2.34428571428635</v>
      </c>
      <c r="AJ201" s="18" t="n">
        <f aca="false">SUMPRODUCT($AB201:$AF201,Validation!$D$9:$H$9)</f>
        <v>2.43800000000035</v>
      </c>
      <c r="AK201" s="18" t="n">
        <f aca="false">SUMPRODUCT($AB201:$AF201,Validation!$D$10:$H$10)</f>
        <v>2.38199999999965</v>
      </c>
      <c r="AL201" s="18" t="n">
        <f aca="false">SUMPRODUCT($AB201:$AF201,Validation!$D$11:$H$11)</f>
        <v>2.255</v>
      </c>
      <c r="AM201" s="18" t="n">
        <f aca="false">SUMPRODUCT($AB201:$AF201,Validation!$D$12:$H$12)</f>
        <v>2.565</v>
      </c>
      <c r="AN201" s="18" t="n">
        <f aca="false">SUMPRODUCT($AB201:$AF201,Validation!$D$13:$H$13)</f>
        <v>2.38888888888855</v>
      </c>
      <c r="AO201" s="18" t="n">
        <f aca="false">SUMPRODUCT($AB201:$AF201,Validation!$D$14:$H$14)</f>
        <v>2.43111111111145</v>
      </c>
      <c r="AP201" s="18" t="n">
        <f aca="false">SUMPRODUCT($AB201:$AF201,Validation!$D$15:$H$15)</f>
        <v>2.4700000000003</v>
      </c>
      <c r="AQ201" s="18" t="n">
        <f aca="false">SUMPRODUCT($AB201:$AF201,Validation!$D$16:$H$16)</f>
        <v>2.3499999999997</v>
      </c>
      <c r="AR201" s="8" t="n">
        <f aca="false">COUNTIF($C201:$V201,"&gt;=4")</f>
        <v>4</v>
      </c>
      <c r="AS201" s="8" t="str">
        <f aca="false">IF($X201&lt;=1.6,"Low",IF($X201&lt;=2.2,"Medium","High"))</f>
        <v>High</v>
      </c>
      <c r="AT201" s="8" t="str">
        <f aca="false">IF($AR201=0,"Low",IF($AR201&lt;3,"Medium","High"))</f>
        <v>High</v>
      </c>
      <c r="AU201" s="8" t="str">
        <f aca="false">IF(OR($AS201="High",$AT201="High"),"High",IF(OR($AS201="Medium",$AT201="Medium"),"Medium","Low"))</f>
        <v>High</v>
      </c>
      <c r="AV201" s="15" t="str">
        <f aca="false">IF($Z201="Yes","High",$AU201)</f>
        <v>High</v>
      </c>
    </row>
    <row r="202" customFormat="false" ht="15" hidden="false" customHeight="false" outlineLevel="0" collapsed="false">
      <c r="A202" s="7" t="str">
        <f aca="false">Customers!$A202</f>
        <v>NG-10079</v>
      </c>
      <c r="B202" s="7" t="str">
        <f aca="false">Customers!$B202</f>
        <v>Personal</v>
      </c>
      <c r="C202" s="8" t="n">
        <f aca="false">INDEX(Mapping!$C$2:$C$99,MATCH(C$1&amp;"|"&amp;Customers!C202,Mapping!$D$2:$D$99,0))</f>
        <v>1</v>
      </c>
      <c r="D202" s="8" t="n">
        <f aca="false">INDEX(Mapping!$C$2:$C$99,MATCH(D$1&amp;"|"&amp;Customers!D202,Mapping!$D$2:$D$99,0))</f>
        <v>1</v>
      </c>
      <c r="E202" s="8" t="n">
        <f aca="false">INDEX(Mapping!$C$2:$C$99,MATCH(E$1&amp;"|"&amp;Customers!E202,Mapping!$D$2:$D$99,0))</f>
        <v>2</v>
      </c>
      <c r="F202" s="8" t="n">
        <f aca="false">INDEX(Mapping!$C$2:$C$99,MATCH(F$1&amp;"|"&amp;Customers!F202,Mapping!$D$2:$D$99,0))</f>
        <v>1</v>
      </c>
      <c r="G202" s="8" t="n">
        <f aca="false">INDEX(Mapping!$C$2:$C$99,MATCH(G$1&amp;"|"&amp;Customers!G202,Mapping!$D$2:$D$99,0))</f>
        <v>1</v>
      </c>
      <c r="H202" s="8" t="n">
        <f aca="false">INDEX(Mapping!$C$2:$C$99,MATCH(H$1&amp;"|"&amp;Customers!H202,Mapping!$D$2:$D$99,0))</f>
        <v>1</v>
      </c>
      <c r="I202" s="8" t="n">
        <f aca="false">INDEX(Mapping!$C$2:$C$99,MATCH(I$1&amp;"|"&amp;Customers!I202,Mapping!$D$2:$D$99,0))</f>
        <v>1</v>
      </c>
      <c r="J202" s="8" t="n">
        <f aca="false">INDEX(Mapping!$C$2:$C$99,MATCH(J$1&amp;"|"&amp;Customers!J202,Mapping!$D$2:$D$99,0))</f>
        <v>1</v>
      </c>
      <c r="K202" s="8" t="n">
        <f aca="false">INDEX(Mapping!$C$2:$C$99,MATCH(K$1&amp;"|"&amp;Customers!K202,Mapping!$D$2:$D$99,0))</f>
        <v>2</v>
      </c>
      <c r="L202" s="8" t="n">
        <f aca="false">INDEX(Mapping!$C$2:$C$99,MATCH(L$1&amp;"|"&amp;Customers!L202,Mapping!$D$2:$D$99,0))</f>
        <v>2</v>
      </c>
      <c r="M202" s="8" t="n">
        <f aca="false">INDEX(Mapping!$C$2:$C$99,MATCH(M$1&amp;"|"&amp;Customers!M202,Mapping!$D$2:$D$99,0))</f>
        <v>2</v>
      </c>
      <c r="N202" s="8" t="n">
        <f aca="false">INDEX(Mapping!$C$2:$C$99,MATCH(N$1&amp;"|"&amp;Customers!N202,Mapping!$D$2:$D$99,0))</f>
        <v>1</v>
      </c>
      <c r="O202" s="8" t="n">
        <f aca="false">INDEX(Mapping!$C$2:$C$99,MATCH(O$1&amp;"|"&amp;Customers!O202,Mapping!$D$2:$D$99,0))</f>
        <v>3</v>
      </c>
      <c r="P202" s="8" t="n">
        <f aca="false">INDEX(Mapping!$C$2:$C$99,MATCH(P$1&amp;"|"&amp;Customers!P202,Mapping!$D$2:$D$99,0))</f>
        <v>3</v>
      </c>
      <c r="Q202" s="8" t="n">
        <f aca="false">INDEX(Mapping!$C$2:$C$99,MATCH(Q$1&amp;"|"&amp;Customers!Q202,Mapping!$D$2:$D$99,0))</f>
        <v>1</v>
      </c>
      <c r="R202" s="8" t="n">
        <f aca="false">INDEX(Mapping!$C$2:$C$99,MATCH(R$1&amp;"|"&amp;Customers!R202,Mapping!$D$2:$D$99,0))</f>
        <v>1</v>
      </c>
      <c r="S202" s="8" t="n">
        <f aca="false">INDEX(Mapping!$C$2:$C$99,MATCH(S$1&amp;"|"&amp;Customers!S202,Mapping!$D$2:$D$99,0))</f>
        <v>3</v>
      </c>
      <c r="T202" s="8" t="n">
        <f aca="false">INDEX(Mapping!$C$2:$C$99,MATCH(T$1&amp;"|"&amp;Customers!T202,Mapping!$D$2:$D$99,0))</f>
        <v>4</v>
      </c>
      <c r="U202" s="8" t="n">
        <f aca="false">INDEX(Mapping!$C$2:$C$99,MATCH(U$1&amp;"|"&amp;Customers!U202,Mapping!$D$2:$D$99,0))</f>
        <v>2</v>
      </c>
      <c r="V202" s="8" t="n">
        <f aca="false">INDEX(Mapping!$C$2:$C$99,MATCH(V$1&amp;"|"&amp;Customers!V202,Mapping!$D$2:$D$99,0))</f>
        <v>1</v>
      </c>
      <c r="W202" s="17" t="n">
        <f aca="false">SUMPRODUCT($C202:$V202,Weights!$C$27:$V$27)</f>
        <v>1.6075</v>
      </c>
      <c r="X202" s="18" t="n">
        <f aca="false">ROUND($W202,2)</f>
        <v>1.61</v>
      </c>
      <c r="Y202" s="8" t="str">
        <f aca="false">IF($X202&lt;=2,"Low",IF($X202&lt;=3.49,"Medium","High"))</f>
        <v>Low</v>
      </c>
      <c r="Z202" s="8" t="str">
        <f aca="false">IF(OR($F202&gt;=3,$E202=5,$D202=5,$C202=5,$G202=5,$H202=5,$I202=5,$J202=5,Customers!$W202="Yes"),"Yes","No")</f>
        <v>No</v>
      </c>
      <c r="AA202" s="15" t="str">
        <f aca="false">IF($Z202="Yes","High",$Y202)</f>
        <v>Low</v>
      </c>
      <c r="AB202" s="18" t="n">
        <f aca="false">SUMPRODUCT($C202:$G202,Weights!$C$28:$G$28)</f>
        <v>1.25</v>
      </c>
      <c r="AC202" s="18" t="n">
        <f aca="false">SUMPRODUCT($H202:$J202,Weights!$H$28:$J$28)</f>
        <v>1</v>
      </c>
      <c r="AD202" s="18" t="n">
        <f aca="false">SUMPRODUCT($K202:$N202,Weights!$K$28:$N$28)</f>
        <v>1.85</v>
      </c>
      <c r="AE202" s="18" t="n">
        <f aca="false">SUMPRODUCT($O202:$Q202,Weights!$O$28:$Q$28)</f>
        <v>2.6</v>
      </c>
      <c r="AF202" s="18" t="n">
        <f aca="false">SUMPRODUCT($R202:$V202,Weights!$R$28:$V$28)</f>
        <v>2.35</v>
      </c>
      <c r="AH202" s="18" t="n">
        <f aca="false">SUMPRODUCT($AB202:$AF202,Validation!$D$7:$H$7)</f>
        <v>1.6585714285721</v>
      </c>
      <c r="AI202" s="18" t="n">
        <f aca="false">SUMPRODUCT($AB202:$AF202,Validation!$D$8:$H$8)</f>
        <v>1.5564285714279</v>
      </c>
      <c r="AJ202" s="18" t="n">
        <f aca="false">SUMPRODUCT($AB202:$AF202,Validation!$D$9:$H$9)</f>
        <v>1.68849999999975</v>
      </c>
      <c r="AK202" s="18" t="n">
        <f aca="false">SUMPRODUCT($AB202:$AF202,Validation!$D$10:$H$10)</f>
        <v>1.52650000000025</v>
      </c>
      <c r="AL202" s="18" t="n">
        <f aca="false">SUMPRODUCT($AB202:$AF202,Validation!$D$11:$H$11)</f>
        <v>1.5771875</v>
      </c>
      <c r="AM202" s="18" t="n">
        <f aca="false">SUMPRODUCT($AB202:$AF202,Validation!$D$12:$H$12)</f>
        <v>1.6378125</v>
      </c>
      <c r="AN202" s="18" t="n">
        <f aca="false">SUMPRODUCT($AB202:$AF202,Validation!$D$13:$H$13)</f>
        <v>1.4972222222224</v>
      </c>
      <c r="AO202" s="18" t="n">
        <f aca="false">SUMPRODUCT($AB202:$AF202,Validation!$D$14:$H$14)</f>
        <v>1.7177777777776</v>
      </c>
      <c r="AP202" s="18" t="n">
        <f aca="false">SUMPRODUCT($AB202:$AF202,Validation!$D$15:$H$15)</f>
        <v>1.5201470588232</v>
      </c>
      <c r="AQ202" s="18" t="n">
        <f aca="false">SUMPRODUCT($AB202:$AF202,Validation!$D$16:$H$16)</f>
        <v>1.6948529411768</v>
      </c>
      <c r="AR202" s="8" t="n">
        <f aca="false">COUNTIF($C202:$V202,"&gt;=4")</f>
        <v>1</v>
      </c>
      <c r="AS202" s="8" t="str">
        <f aca="false">IF($X202&lt;=1.6,"Low",IF($X202&lt;=2.2,"Medium","High"))</f>
        <v>Medium</v>
      </c>
      <c r="AT202" s="8" t="str">
        <f aca="false">IF($AR202=0,"Low",IF($AR202&lt;3,"Medium","High"))</f>
        <v>Medium</v>
      </c>
      <c r="AU202" s="8" t="str">
        <f aca="false">IF(OR($AS202="High",$AT202="High"),"High",IF(OR($AS202="Medium",$AT202="Medium"),"Medium","Low"))</f>
        <v>Medium</v>
      </c>
      <c r="AV202" s="15" t="str">
        <f aca="false">IF($Z202="Yes","High",$AU202)</f>
        <v>Medium</v>
      </c>
    </row>
    <row r="203" customFormat="false" ht="15" hidden="false" customHeight="false" outlineLevel="0" collapsed="false">
      <c r="A203" s="7" t="str">
        <f aca="false">Customers!$A203</f>
        <v>NG-10126</v>
      </c>
      <c r="B203" s="7" t="str">
        <f aca="false">Customers!$B203</f>
        <v>Personal</v>
      </c>
      <c r="C203" s="8" t="n">
        <f aca="false">INDEX(Mapping!$C$2:$C$99,MATCH(C$1&amp;"|"&amp;Customers!C203,Mapping!$D$2:$D$99,0))</f>
        <v>1</v>
      </c>
      <c r="D203" s="8" t="n">
        <f aca="false">INDEX(Mapping!$C$2:$C$99,MATCH(D$1&amp;"|"&amp;Customers!D203,Mapping!$D$2:$D$99,0))</f>
        <v>1</v>
      </c>
      <c r="E203" s="8" t="n">
        <f aca="false">INDEX(Mapping!$C$2:$C$99,MATCH(E$1&amp;"|"&amp;Customers!E203,Mapping!$D$2:$D$99,0))</f>
        <v>1</v>
      </c>
      <c r="F203" s="8" t="n">
        <f aca="false">INDEX(Mapping!$C$2:$C$99,MATCH(F$1&amp;"|"&amp;Customers!F203,Mapping!$D$2:$D$99,0))</f>
        <v>1</v>
      </c>
      <c r="G203" s="8" t="n">
        <f aca="false">INDEX(Mapping!$C$2:$C$99,MATCH(G$1&amp;"|"&amp;Customers!G203,Mapping!$D$2:$D$99,0))</f>
        <v>1</v>
      </c>
      <c r="H203" s="8" t="n">
        <f aca="false">INDEX(Mapping!$C$2:$C$99,MATCH(H$1&amp;"|"&amp;Customers!H203,Mapping!$D$2:$D$99,0))</f>
        <v>1</v>
      </c>
      <c r="I203" s="8" t="n">
        <f aca="false">INDEX(Mapping!$C$2:$C$99,MATCH(I$1&amp;"|"&amp;Customers!I203,Mapping!$D$2:$D$99,0))</f>
        <v>1</v>
      </c>
      <c r="J203" s="8" t="n">
        <f aca="false">INDEX(Mapping!$C$2:$C$99,MATCH(J$1&amp;"|"&amp;Customers!J203,Mapping!$D$2:$D$99,0))</f>
        <v>3</v>
      </c>
      <c r="K203" s="8" t="n">
        <f aca="false">INDEX(Mapping!$C$2:$C$99,MATCH(K$1&amp;"|"&amp;Customers!K203,Mapping!$D$2:$D$99,0))</f>
        <v>3</v>
      </c>
      <c r="L203" s="8" t="n">
        <f aca="false">INDEX(Mapping!$C$2:$C$99,MATCH(L$1&amp;"|"&amp;Customers!L203,Mapping!$D$2:$D$99,0))</f>
        <v>3</v>
      </c>
      <c r="M203" s="8" t="n">
        <f aca="false">INDEX(Mapping!$C$2:$C$99,MATCH(M$1&amp;"|"&amp;Customers!M203,Mapping!$D$2:$D$99,0))</f>
        <v>2</v>
      </c>
      <c r="N203" s="8" t="n">
        <f aca="false">INDEX(Mapping!$C$2:$C$99,MATCH(N$1&amp;"|"&amp;Customers!N203,Mapping!$D$2:$D$99,0))</f>
        <v>1</v>
      </c>
      <c r="O203" s="8" t="n">
        <f aca="false">INDEX(Mapping!$C$2:$C$99,MATCH(O$1&amp;"|"&amp;Customers!O203,Mapping!$D$2:$D$99,0))</f>
        <v>2</v>
      </c>
      <c r="P203" s="8" t="n">
        <f aca="false">INDEX(Mapping!$C$2:$C$99,MATCH(P$1&amp;"|"&amp;Customers!P203,Mapping!$D$2:$D$99,0))</f>
        <v>3</v>
      </c>
      <c r="Q203" s="8" t="n">
        <f aca="false">INDEX(Mapping!$C$2:$C$99,MATCH(Q$1&amp;"|"&amp;Customers!Q203,Mapping!$D$2:$D$99,0))</f>
        <v>1</v>
      </c>
      <c r="R203" s="8" t="n">
        <f aca="false">INDEX(Mapping!$C$2:$C$99,MATCH(R$1&amp;"|"&amp;Customers!R203,Mapping!$D$2:$D$99,0))</f>
        <v>1</v>
      </c>
      <c r="S203" s="8" t="n">
        <f aca="false">INDEX(Mapping!$C$2:$C$99,MATCH(S$1&amp;"|"&amp;Customers!S203,Mapping!$D$2:$D$99,0))</f>
        <v>1</v>
      </c>
      <c r="T203" s="8" t="n">
        <f aca="false">INDEX(Mapping!$C$2:$C$99,MATCH(T$1&amp;"|"&amp;Customers!T203,Mapping!$D$2:$D$99,0))</f>
        <v>2</v>
      </c>
      <c r="U203" s="8" t="n">
        <f aca="false">INDEX(Mapping!$C$2:$C$99,MATCH(U$1&amp;"|"&amp;Customers!U203,Mapping!$D$2:$D$99,0))</f>
        <v>1</v>
      </c>
      <c r="V203" s="8" t="n">
        <f aca="false">INDEX(Mapping!$C$2:$C$99,MATCH(V$1&amp;"|"&amp;Customers!V203,Mapping!$D$2:$D$99,0))</f>
        <v>1</v>
      </c>
      <c r="W203" s="17" t="n">
        <f aca="false">SUMPRODUCT($C203:$V203,Weights!$C$27:$V$27)</f>
        <v>1.635</v>
      </c>
      <c r="X203" s="18" t="n">
        <f aca="false">ROUND($W203,2)</f>
        <v>1.64</v>
      </c>
      <c r="Y203" s="8" t="str">
        <f aca="false">IF($X203&lt;=2,"Low",IF($X203&lt;=3.49,"Medium","High"))</f>
        <v>Low</v>
      </c>
      <c r="Z203" s="8" t="str">
        <f aca="false">IF(OR($F203&gt;=3,$E203=5,$D203=5,$C203=5,$G203=5,$H203=5,$I203=5,$J203=5,Customers!$W203="Yes"),"Yes","No")</f>
        <v>No</v>
      </c>
      <c r="AA203" s="15" t="str">
        <f aca="false">IF($Z203="Yes","High",$Y203)</f>
        <v>Low</v>
      </c>
      <c r="AB203" s="18" t="n">
        <f aca="false">SUMPRODUCT($C203:$G203,Weights!$C$28:$G$28)</f>
        <v>1</v>
      </c>
      <c r="AC203" s="18" t="n">
        <f aca="false">SUMPRODUCT($H203:$J203,Weights!$H$28:$J$28)</f>
        <v>1.8</v>
      </c>
      <c r="AD203" s="18" t="n">
        <f aca="false">SUMPRODUCT($K203:$N203,Weights!$K$28:$N$28)</f>
        <v>2.45</v>
      </c>
      <c r="AE203" s="18" t="n">
        <f aca="false">SUMPRODUCT($O203:$Q203,Weights!$O$28:$Q$28)</f>
        <v>2.15</v>
      </c>
      <c r="AF203" s="18" t="n">
        <f aca="false">SUMPRODUCT($R203:$V203,Weights!$R$28:$V$28)</f>
        <v>1.2</v>
      </c>
      <c r="AH203" s="18" t="n">
        <f aca="false">SUMPRODUCT($AB203:$AF203,Validation!$D$7:$H$7)</f>
        <v>1.72571428571385</v>
      </c>
      <c r="AI203" s="18" t="n">
        <f aca="false">SUMPRODUCT($AB203:$AF203,Validation!$D$8:$H$8)</f>
        <v>1.54428571428615</v>
      </c>
      <c r="AJ203" s="18" t="n">
        <f aca="false">SUMPRODUCT($AB203:$AF203,Validation!$D$9:$H$9)</f>
        <v>1.6130000000001</v>
      </c>
      <c r="AK203" s="18" t="n">
        <f aca="false">SUMPRODUCT($AB203:$AF203,Validation!$D$10:$H$10)</f>
        <v>1.6569999999999</v>
      </c>
      <c r="AL203" s="18" t="n">
        <f aca="false">SUMPRODUCT($AB203:$AF203,Validation!$D$11:$H$11)</f>
        <v>1.533125</v>
      </c>
      <c r="AM203" s="18" t="n">
        <f aca="false">SUMPRODUCT($AB203:$AF203,Validation!$D$12:$H$12)</f>
        <v>1.736875</v>
      </c>
      <c r="AN203" s="18" t="n">
        <f aca="false">SUMPRODUCT($AB203:$AF203,Validation!$D$13:$H$13)</f>
        <v>1.5777777777777</v>
      </c>
      <c r="AO203" s="18" t="n">
        <f aca="false">SUMPRODUCT($AB203:$AF203,Validation!$D$14:$H$14)</f>
        <v>1.6922222222223</v>
      </c>
      <c r="AP203" s="18" t="n">
        <f aca="false">SUMPRODUCT($AB203:$AF203,Validation!$D$15:$H$15)</f>
        <v>1.68617647058835</v>
      </c>
      <c r="AQ203" s="18" t="n">
        <f aca="false">SUMPRODUCT($AB203:$AF203,Validation!$D$16:$H$16)</f>
        <v>1.58382352941165</v>
      </c>
      <c r="AR203" s="8" t="n">
        <f aca="false">COUNTIF($C203:$V203,"&gt;=4")</f>
        <v>0</v>
      </c>
      <c r="AS203" s="8" t="str">
        <f aca="false">IF($X203&lt;=1.6,"Low",IF($X203&lt;=2.2,"Medium","High"))</f>
        <v>Medium</v>
      </c>
      <c r="AT203" s="8" t="str">
        <f aca="false">IF($AR203=0,"Low",IF($AR203&lt;3,"Medium","High"))</f>
        <v>Low</v>
      </c>
      <c r="AU203" s="8" t="str">
        <f aca="false">IF(OR($AS203="High",$AT203="High"),"High",IF(OR($AS203="Medium",$AT203="Medium"),"Medium","Low"))</f>
        <v>Medium</v>
      </c>
      <c r="AV203" s="15" t="str">
        <f aca="false">IF($Z203="Yes","High",$AU203)</f>
        <v>Medium</v>
      </c>
    </row>
    <row r="204" customFormat="false" ht="15" hidden="false" customHeight="false" outlineLevel="0" collapsed="false">
      <c r="A204" s="7" t="str">
        <f aca="false">Customers!$A204</f>
        <v>NG-10048</v>
      </c>
      <c r="B204" s="7" t="str">
        <f aca="false">Customers!$B204</f>
        <v>Personal</v>
      </c>
      <c r="C204" s="8" t="n">
        <f aca="false">INDEX(Mapping!$C$2:$C$99,MATCH(C$1&amp;"|"&amp;Customers!C204,Mapping!$D$2:$D$99,0))</f>
        <v>1</v>
      </c>
      <c r="D204" s="8" t="n">
        <f aca="false">INDEX(Mapping!$C$2:$C$99,MATCH(D$1&amp;"|"&amp;Customers!D204,Mapping!$D$2:$D$99,0))</f>
        <v>1</v>
      </c>
      <c r="E204" s="8" t="n">
        <f aca="false">INDEX(Mapping!$C$2:$C$99,MATCH(E$1&amp;"|"&amp;Customers!E204,Mapping!$D$2:$D$99,0))</f>
        <v>1</v>
      </c>
      <c r="F204" s="8" t="n">
        <f aca="false">INDEX(Mapping!$C$2:$C$99,MATCH(F$1&amp;"|"&amp;Customers!F204,Mapping!$D$2:$D$99,0))</f>
        <v>1</v>
      </c>
      <c r="G204" s="8" t="n">
        <f aca="false">INDEX(Mapping!$C$2:$C$99,MATCH(G$1&amp;"|"&amp;Customers!G204,Mapping!$D$2:$D$99,0))</f>
        <v>1</v>
      </c>
      <c r="H204" s="8" t="n">
        <f aca="false">INDEX(Mapping!$C$2:$C$99,MATCH(H$1&amp;"|"&amp;Customers!H204,Mapping!$D$2:$D$99,0))</f>
        <v>1</v>
      </c>
      <c r="I204" s="8" t="n">
        <f aca="false">INDEX(Mapping!$C$2:$C$99,MATCH(I$1&amp;"|"&amp;Customers!I204,Mapping!$D$2:$D$99,0))</f>
        <v>1</v>
      </c>
      <c r="J204" s="8" t="n">
        <f aca="false">INDEX(Mapping!$C$2:$C$99,MATCH(J$1&amp;"|"&amp;Customers!J204,Mapping!$D$2:$D$99,0))</f>
        <v>1</v>
      </c>
      <c r="K204" s="8" t="n">
        <f aca="false">INDEX(Mapping!$C$2:$C$99,MATCH(K$1&amp;"|"&amp;Customers!K204,Mapping!$D$2:$D$99,0))</f>
        <v>3</v>
      </c>
      <c r="L204" s="8" t="n">
        <f aca="false">INDEX(Mapping!$C$2:$C$99,MATCH(L$1&amp;"|"&amp;Customers!L204,Mapping!$D$2:$D$99,0))</f>
        <v>1</v>
      </c>
      <c r="M204" s="8" t="n">
        <f aca="false">INDEX(Mapping!$C$2:$C$99,MATCH(M$1&amp;"|"&amp;Customers!M204,Mapping!$D$2:$D$99,0))</f>
        <v>2</v>
      </c>
      <c r="N204" s="8" t="n">
        <f aca="false">INDEX(Mapping!$C$2:$C$99,MATCH(N$1&amp;"|"&amp;Customers!N204,Mapping!$D$2:$D$99,0))</f>
        <v>2</v>
      </c>
      <c r="O204" s="8" t="n">
        <f aca="false">INDEX(Mapping!$C$2:$C$99,MATCH(O$1&amp;"|"&amp;Customers!O204,Mapping!$D$2:$D$99,0))</f>
        <v>3</v>
      </c>
      <c r="P204" s="8" t="n">
        <f aca="false">INDEX(Mapping!$C$2:$C$99,MATCH(P$1&amp;"|"&amp;Customers!P204,Mapping!$D$2:$D$99,0))</f>
        <v>3</v>
      </c>
      <c r="Q204" s="8" t="n">
        <f aca="false">INDEX(Mapping!$C$2:$C$99,MATCH(Q$1&amp;"|"&amp;Customers!Q204,Mapping!$D$2:$D$99,0))</f>
        <v>2</v>
      </c>
      <c r="R204" s="8" t="n">
        <f aca="false">INDEX(Mapping!$C$2:$C$99,MATCH(R$1&amp;"|"&amp;Customers!R204,Mapping!$D$2:$D$99,0))</f>
        <v>2</v>
      </c>
      <c r="S204" s="8" t="n">
        <f aca="false">INDEX(Mapping!$C$2:$C$99,MATCH(S$1&amp;"|"&amp;Customers!S204,Mapping!$D$2:$D$99,0))</f>
        <v>2</v>
      </c>
      <c r="T204" s="8" t="n">
        <f aca="false">INDEX(Mapping!$C$2:$C$99,MATCH(T$1&amp;"|"&amp;Customers!T204,Mapping!$D$2:$D$99,0))</f>
        <v>2</v>
      </c>
      <c r="U204" s="8" t="n">
        <f aca="false">INDEX(Mapping!$C$2:$C$99,MATCH(U$1&amp;"|"&amp;Customers!U204,Mapping!$D$2:$D$99,0))</f>
        <v>2</v>
      </c>
      <c r="V204" s="8" t="n">
        <f aca="false">INDEX(Mapping!$C$2:$C$99,MATCH(V$1&amp;"|"&amp;Customers!V204,Mapping!$D$2:$D$99,0))</f>
        <v>1</v>
      </c>
      <c r="W204" s="17" t="n">
        <f aca="false">SUMPRODUCT($C204:$V204,Weights!$C$27:$V$27)</f>
        <v>1.535</v>
      </c>
      <c r="X204" s="18" t="n">
        <f aca="false">ROUND($W204,2)</f>
        <v>1.54</v>
      </c>
      <c r="Y204" s="8" t="str">
        <f aca="false">IF($X204&lt;=2,"Low",IF($X204&lt;=3.49,"Medium","High"))</f>
        <v>Low</v>
      </c>
      <c r="Z204" s="8" t="str">
        <f aca="false">IF(OR($F204&gt;=3,$E204=5,$D204=5,$C204=5,$G204=5,$H204=5,$I204=5,$J204=5,Customers!$W204="Yes"),"Yes","No")</f>
        <v>No</v>
      </c>
      <c r="AA204" s="15" t="str">
        <f aca="false">IF($Z204="Yes","High",$Y204)</f>
        <v>Low</v>
      </c>
      <c r="AB204" s="18" t="n">
        <f aca="false">SUMPRODUCT($C204:$G204,Weights!$C$28:$G$28)</f>
        <v>1</v>
      </c>
      <c r="AC204" s="18" t="n">
        <f aca="false">SUMPRODUCT($H204:$J204,Weights!$H$28:$J$28)</f>
        <v>1</v>
      </c>
      <c r="AD204" s="18" t="n">
        <f aca="false">SUMPRODUCT($K204:$N204,Weights!$K$28:$N$28)</f>
        <v>2.1</v>
      </c>
      <c r="AE204" s="18" t="n">
        <f aca="false">SUMPRODUCT($O204:$Q204,Weights!$O$28:$Q$28)</f>
        <v>2.8</v>
      </c>
      <c r="AF204" s="18" t="n">
        <f aca="false">SUMPRODUCT($R204:$V204,Weights!$R$28:$V$28)</f>
        <v>1.9</v>
      </c>
      <c r="AH204" s="18" t="n">
        <f aca="false">SUMPRODUCT($AB204:$AF204,Validation!$D$7:$H$7)</f>
        <v>1.611428571429</v>
      </c>
      <c r="AI204" s="18" t="n">
        <f aca="false">SUMPRODUCT($AB204:$AF204,Validation!$D$8:$H$8)</f>
        <v>1.458571428571</v>
      </c>
      <c r="AJ204" s="18" t="n">
        <f aca="false">SUMPRODUCT($AB204:$AF204,Validation!$D$9:$H$9)</f>
        <v>1.6063333333331</v>
      </c>
      <c r="AK204" s="18" t="n">
        <f aca="false">SUMPRODUCT($AB204:$AF204,Validation!$D$10:$H$10)</f>
        <v>1.4636666666669</v>
      </c>
      <c r="AL204" s="18" t="n">
        <f aca="false">SUMPRODUCT($AB204:$AF204,Validation!$D$11:$H$11)</f>
        <v>1.464375</v>
      </c>
      <c r="AM204" s="18" t="n">
        <f aca="false">SUMPRODUCT($AB204:$AF204,Validation!$D$12:$H$12)</f>
        <v>1.605625</v>
      </c>
      <c r="AN204" s="18" t="n">
        <f aca="false">SUMPRODUCT($AB204:$AF204,Validation!$D$13:$H$13)</f>
        <v>1.3944444444445</v>
      </c>
      <c r="AO204" s="18" t="n">
        <f aca="false">SUMPRODUCT($AB204:$AF204,Validation!$D$14:$H$14)</f>
        <v>1.6755555555555</v>
      </c>
      <c r="AP204" s="18" t="n">
        <f aca="false">SUMPRODUCT($AB204:$AF204,Validation!$D$15:$H$15)</f>
        <v>1.4920588235291</v>
      </c>
      <c r="AQ204" s="18" t="n">
        <f aca="false">SUMPRODUCT($AB204:$AF204,Validation!$D$16:$H$16)</f>
        <v>1.5779411764709</v>
      </c>
      <c r="AR204" s="8" t="n">
        <f aca="false">COUNTIF($C204:$V204,"&gt;=4")</f>
        <v>0</v>
      </c>
      <c r="AS204" s="8" t="str">
        <f aca="false">IF($X204&lt;=1.6,"Low",IF($X204&lt;=2.2,"Medium","High"))</f>
        <v>Low</v>
      </c>
      <c r="AT204" s="8" t="str">
        <f aca="false">IF($AR204=0,"Low",IF($AR204&lt;3,"Medium","High"))</f>
        <v>Low</v>
      </c>
      <c r="AU204" s="8" t="str">
        <f aca="false">IF(OR($AS204="High",$AT204="High"),"High",IF(OR($AS204="Medium",$AT204="Medium"),"Medium","Low"))</f>
        <v>Low</v>
      </c>
      <c r="AV204" s="15" t="str">
        <f aca="false">IF($Z204="Yes","High",$AU204)</f>
        <v>Low</v>
      </c>
    </row>
    <row r="205" customFormat="false" ht="15" hidden="false" customHeight="false" outlineLevel="0" collapsed="false">
      <c r="A205" s="7" t="str">
        <f aca="false">Customers!$A205</f>
        <v>NG-10368</v>
      </c>
      <c r="B205" s="7" t="str">
        <f aca="false">Customers!$B205</f>
        <v>Limited company</v>
      </c>
      <c r="C205" s="8" t="n">
        <f aca="false">INDEX(Mapping!$C$2:$C$99,MATCH(C$1&amp;"|"&amp;Customers!C205,Mapping!$D$2:$D$99,0))</f>
        <v>4</v>
      </c>
      <c r="D205" s="8" t="n">
        <f aca="false">INDEX(Mapping!$C$2:$C$99,MATCH(D$1&amp;"|"&amp;Customers!D205,Mapping!$D$2:$D$99,0))</f>
        <v>3</v>
      </c>
      <c r="E205" s="8" t="n">
        <f aca="false">INDEX(Mapping!$C$2:$C$99,MATCH(E$1&amp;"|"&amp;Customers!E205,Mapping!$D$2:$D$99,0))</f>
        <v>3</v>
      </c>
      <c r="F205" s="8" t="n">
        <f aca="false">INDEX(Mapping!$C$2:$C$99,MATCH(F$1&amp;"|"&amp;Customers!F205,Mapping!$D$2:$D$99,0))</f>
        <v>1</v>
      </c>
      <c r="G205" s="8" t="n">
        <f aca="false">INDEX(Mapping!$C$2:$C$99,MATCH(G$1&amp;"|"&amp;Customers!G205,Mapping!$D$2:$D$99,0))</f>
        <v>1</v>
      </c>
      <c r="H205" s="8" t="n">
        <f aca="false">INDEX(Mapping!$C$2:$C$99,MATCH(H$1&amp;"|"&amp;Customers!H205,Mapping!$D$2:$D$99,0))</f>
        <v>1</v>
      </c>
      <c r="I205" s="8" t="n">
        <f aca="false">INDEX(Mapping!$C$2:$C$99,MATCH(I$1&amp;"|"&amp;Customers!I205,Mapping!$D$2:$D$99,0))</f>
        <v>2</v>
      </c>
      <c r="J205" s="8" t="n">
        <f aca="false">INDEX(Mapping!$C$2:$C$99,MATCH(J$1&amp;"|"&amp;Customers!J205,Mapping!$D$2:$D$99,0))</f>
        <v>2</v>
      </c>
      <c r="K205" s="8" t="n">
        <f aca="false">INDEX(Mapping!$C$2:$C$99,MATCH(K$1&amp;"|"&amp;Customers!K205,Mapping!$D$2:$D$99,0))</f>
        <v>4</v>
      </c>
      <c r="L205" s="8" t="n">
        <f aca="false">INDEX(Mapping!$C$2:$C$99,MATCH(L$1&amp;"|"&amp;Customers!L205,Mapping!$D$2:$D$99,0))</f>
        <v>4</v>
      </c>
      <c r="M205" s="8" t="n">
        <f aca="false">INDEX(Mapping!$C$2:$C$99,MATCH(M$1&amp;"|"&amp;Customers!M205,Mapping!$D$2:$D$99,0))</f>
        <v>3</v>
      </c>
      <c r="N205" s="8" t="n">
        <f aca="false">INDEX(Mapping!$C$2:$C$99,MATCH(N$1&amp;"|"&amp;Customers!N205,Mapping!$D$2:$D$99,0))</f>
        <v>4</v>
      </c>
      <c r="O205" s="8" t="n">
        <f aca="false">INDEX(Mapping!$C$2:$C$99,MATCH(O$1&amp;"|"&amp;Customers!O205,Mapping!$D$2:$D$99,0))</f>
        <v>4</v>
      </c>
      <c r="P205" s="8" t="n">
        <f aca="false">INDEX(Mapping!$C$2:$C$99,MATCH(P$1&amp;"|"&amp;Customers!P205,Mapping!$D$2:$D$99,0))</f>
        <v>4</v>
      </c>
      <c r="Q205" s="8" t="n">
        <f aca="false">INDEX(Mapping!$C$2:$C$99,MATCH(Q$1&amp;"|"&amp;Customers!Q205,Mapping!$D$2:$D$99,0))</f>
        <v>1</v>
      </c>
      <c r="R205" s="8" t="n">
        <f aca="false">INDEX(Mapping!$C$2:$C$99,MATCH(R$1&amp;"|"&amp;Customers!R205,Mapping!$D$2:$D$99,0))</f>
        <v>2</v>
      </c>
      <c r="S205" s="8" t="n">
        <f aca="false">INDEX(Mapping!$C$2:$C$99,MATCH(S$1&amp;"|"&amp;Customers!S205,Mapping!$D$2:$D$99,0))</f>
        <v>3</v>
      </c>
      <c r="T205" s="8" t="n">
        <f aca="false">INDEX(Mapping!$C$2:$C$99,MATCH(T$1&amp;"|"&amp;Customers!T205,Mapping!$D$2:$D$99,0))</f>
        <v>1</v>
      </c>
      <c r="U205" s="8" t="n">
        <f aca="false">INDEX(Mapping!$C$2:$C$99,MATCH(U$1&amp;"|"&amp;Customers!U205,Mapping!$D$2:$D$99,0))</f>
        <v>2</v>
      </c>
      <c r="V205" s="8" t="n">
        <f aca="false">INDEX(Mapping!$C$2:$C$99,MATCH(V$1&amp;"|"&amp;Customers!V205,Mapping!$D$2:$D$99,0))</f>
        <v>3</v>
      </c>
      <c r="W205" s="17" t="n">
        <f aca="false">SUMPRODUCT($C205:$V205,Weights!$C$27:$V$27)</f>
        <v>2.57</v>
      </c>
      <c r="X205" s="18" t="n">
        <f aca="false">ROUND($W205,2)</f>
        <v>2.57</v>
      </c>
      <c r="Y205" s="8" t="str">
        <f aca="false">IF($X205&lt;=2,"Low",IF($X205&lt;=3.49,"Medium","High"))</f>
        <v>Medium</v>
      </c>
      <c r="Z205" s="8" t="str">
        <f aca="false">IF(OR($F205&gt;=3,$E205=5,$D205=5,$C205=5,$G205=5,$H205=5,$I205=5,$J205=5,Customers!$W205="Yes"),"Yes","No")</f>
        <v>No</v>
      </c>
      <c r="AA205" s="15" t="str">
        <f aca="false">IF($Z205="Yes","High",$Y205)</f>
        <v>Medium</v>
      </c>
      <c r="AB205" s="18" t="n">
        <f aca="false">SUMPRODUCT($C205:$G205,Weights!$C$28:$G$28)</f>
        <v>2.5</v>
      </c>
      <c r="AC205" s="18" t="n">
        <f aca="false">SUMPRODUCT($H205:$J205,Weights!$H$28:$J$28)</f>
        <v>1.6</v>
      </c>
      <c r="AD205" s="18" t="n">
        <f aca="false">SUMPRODUCT($K205:$N205,Weights!$K$28:$N$28)</f>
        <v>3.75</v>
      </c>
      <c r="AE205" s="18" t="n">
        <f aca="false">SUMPRODUCT($O205:$Q205,Weights!$O$28:$Q$28)</f>
        <v>3.4</v>
      </c>
      <c r="AF205" s="18" t="n">
        <f aca="false">SUMPRODUCT($R205:$V205,Weights!$R$28:$V$28)</f>
        <v>2.2</v>
      </c>
      <c r="AH205" s="18" t="n">
        <f aca="false">SUMPRODUCT($AB205:$AF205,Validation!$D$7:$H$7)</f>
        <v>2.57999999999985</v>
      </c>
      <c r="AI205" s="18" t="n">
        <f aca="false">SUMPRODUCT($AB205:$AF205,Validation!$D$8:$H$8)</f>
        <v>2.56000000000015</v>
      </c>
      <c r="AJ205" s="18" t="n">
        <f aca="false">SUMPRODUCT($AB205:$AF205,Validation!$D$9:$H$9)</f>
        <v>2.69933333333345</v>
      </c>
      <c r="AK205" s="18" t="n">
        <f aca="false">SUMPRODUCT($AB205:$AF205,Validation!$D$10:$H$10)</f>
        <v>2.44066666666655</v>
      </c>
      <c r="AL205" s="18" t="n">
        <f aca="false">SUMPRODUCT($AB205:$AF205,Validation!$D$11:$H$11)</f>
        <v>2.4225</v>
      </c>
      <c r="AM205" s="18" t="n">
        <f aca="false">SUMPRODUCT($AB205:$AF205,Validation!$D$12:$H$12)</f>
        <v>2.7175</v>
      </c>
      <c r="AN205" s="18" t="n">
        <f aca="false">SUMPRODUCT($AB205:$AF205,Validation!$D$13:$H$13)</f>
        <v>2.4777777777772</v>
      </c>
      <c r="AO205" s="18" t="n">
        <f aca="false">SUMPRODUCT($AB205:$AF205,Validation!$D$14:$H$14)</f>
        <v>2.6622222222228</v>
      </c>
      <c r="AP205" s="18" t="n">
        <f aca="false">SUMPRODUCT($AB205:$AF205,Validation!$D$15:$H$15)</f>
        <v>2.61352941176465</v>
      </c>
      <c r="AQ205" s="18" t="n">
        <f aca="false">SUMPRODUCT($AB205:$AF205,Validation!$D$16:$H$16)</f>
        <v>2.52647058823535</v>
      </c>
      <c r="AR205" s="8" t="n">
        <f aca="false">COUNTIF($C205:$V205,"&gt;=4")</f>
        <v>6</v>
      </c>
      <c r="AS205" s="8" t="str">
        <f aca="false">IF($X205&lt;=1.6,"Low",IF($X205&lt;=2.2,"Medium","High"))</f>
        <v>High</v>
      </c>
      <c r="AT205" s="8" t="str">
        <f aca="false">IF($AR205=0,"Low",IF($AR205&lt;3,"Medium","High"))</f>
        <v>High</v>
      </c>
      <c r="AU205" s="8" t="str">
        <f aca="false">IF(OR($AS205="High",$AT205="High"),"High",IF(OR($AS205="Medium",$AT205="Medium"),"Medium","Low"))</f>
        <v>High</v>
      </c>
      <c r="AV205" s="15" t="str">
        <f aca="false">IF($Z205="Yes","High",$AU205)</f>
        <v>High</v>
      </c>
    </row>
    <row r="206" customFormat="false" ht="15" hidden="false" customHeight="false" outlineLevel="0" collapsed="false">
      <c r="A206" s="7" t="str">
        <f aca="false">Customers!$A206</f>
        <v>NG-10206</v>
      </c>
      <c r="B206" s="7" t="str">
        <f aca="false">Customers!$B206</f>
        <v>Personal</v>
      </c>
      <c r="C206" s="8" t="n">
        <f aca="false">INDEX(Mapping!$C$2:$C$99,MATCH(C$1&amp;"|"&amp;Customers!C206,Mapping!$D$2:$D$99,0))</f>
        <v>1</v>
      </c>
      <c r="D206" s="8" t="n">
        <f aca="false">INDEX(Mapping!$C$2:$C$99,MATCH(D$1&amp;"|"&amp;Customers!D206,Mapping!$D$2:$D$99,0))</f>
        <v>1</v>
      </c>
      <c r="E206" s="8" t="n">
        <f aca="false">INDEX(Mapping!$C$2:$C$99,MATCH(E$1&amp;"|"&amp;Customers!E206,Mapping!$D$2:$D$99,0))</f>
        <v>1</v>
      </c>
      <c r="F206" s="8" t="n">
        <f aca="false">INDEX(Mapping!$C$2:$C$99,MATCH(F$1&amp;"|"&amp;Customers!F206,Mapping!$D$2:$D$99,0))</f>
        <v>1</v>
      </c>
      <c r="G206" s="8" t="n">
        <f aca="false">INDEX(Mapping!$C$2:$C$99,MATCH(G$1&amp;"|"&amp;Customers!G206,Mapping!$D$2:$D$99,0))</f>
        <v>1</v>
      </c>
      <c r="H206" s="8" t="n">
        <f aca="false">INDEX(Mapping!$C$2:$C$99,MATCH(H$1&amp;"|"&amp;Customers!H206,Mapping!$D$2:$D$99,0))</f>
        <v>1</v>
      </c>
      <c r="I206" s="8" t="n">
        <f aca="false">INDEX(Mapping!$C$2:$C$99,MATCH(I$1&amp;"|"&amp;Customers!I206,Mapping!$D$2:$D$99,0))</f>
        <v>1</v>
      </c>
      <c r="J206" s="8" t="n">
        <f aca="false">INDEX(Mapping!$C$2:$C$99,MATCH(J$1&amp;"|"&amp;Customers!J206,Mapping!$D$2:$D$99,0))</f>
        <v>1</v>
      </c>
      <c r="K206" s="8" t="n">
        <f aca="false">INDEX(Mapping!$C$2:$C$99,MATCH(K$1&amp;"|"&amp;Customers!K206,Mapping!$D$2:$D$99,0))</f>
        <v>2</v>
      </c>
      <c r="L206" s="8" t="n">
        <f aca="false">INDEX(Mapping!$C$2:$C$99,MATCH(L$1&amp;"|"&amp;Customers!L206,Mapping!$D$2:$D$99,0))</f>
        <v>3</v>
      </c>
      <c r="M206" s="8" t="n">
        <f aca="false">INDEX(Mapping!$C$2:$C$99,MATCH(M$1&amp;"|"&amp;Customers!M206,Mapping!$D$2:$D$99,0))</f>
        <v>2</v>
      </c>
      <c r="N206" s="8" t="n">
        <f aca="false">INDEX(Mapping!$C$2:$C$99,MATCH(N$1&amp;"|"&amp;Customers!N206,Mapping!$D$2:$D$99,0))</f>
        <v>1</v>
      </c>
      <c r="O206" s="8" t="n">
        <f aca="false">INDEX(Mapping!$C$2:$C$99,MATCH(O$1&amp;"|"&amp;Customers!O206,Mapping!$D$2:$D$99,0))</f>
        <v>3</v>
      </c>
      <c r="P206" s="8" t="n">
        <f aca="false">INDEX(Mapping!$C$2:$C$99,MATCH(P$1&amp;"|"&amp;Customers!P206,Mapping!$D$2:$D$99,0))</f>
        <v>3</v>
      </c>
      <c r="Q206" s="8" t="n">
        <f aca="false">INDEX(Mapping!$C$2:$C$99,MATCH(Q$1&amp;"|"&amp;Customers!Q206,Mapping!$D$2:$D$99,0))</f>
        <v>1</v>
      </c>
      <c r="R206" s="8" t="n">
        <f aca="false">INDEX(Mapping!$C$2:$C$99,MATCH(R$1&amp;"|"&amp;Customers!R206,Mapping!$D$2:$D$99,0))</f>
        <v>2</v>
      </c>
      <c r="S206" s="8" t="n">
        <f aca="false">INDEX(Mapping!$C$2:$C$99,MATCH(S$1&amp;"|"&amp;Customers!S206,Mapping!$D$2:$D$99,0))</f>
        <v>2</v>
      </c>
      <c r="T206" s="8" t="n">
        <f aca="false">INDEX(Mapping!$C$2:$C$99,MATCH(T$1&amp;"|"&amp;Customers!T206,Mapping!$D$2:$D$99,0))</f>
        <v>2</v>
      </c>
      <c r="U206" s="8" t="n">
        <f aca="false">INDEX(Mapping!$C$2:$C$99,MATCH(U$1&amp;"|"&amp;Customers!U206,Mapping!$D$2:$D$99,0))</f>
        <v>1</v>
      </c>
      <c r="V206" s="8" t="n">
        <f aca="false">INDEX(Mapping!$C$2:$C$99,MATCH(V$1&amp;"|"&amp;Customers!V206,Mapping!$D$2:$D$99,0))</f>
        <v>1</v>
      </c>
      <c r="W206" s="17" t="n">
        <f aca="false">SUMPRODUCT($C206:$V206,Weights!$C$27:$V$27)</f>
        <v>1.4925</v>
      </c>
      <c r="X206" s="18" t="n">
        <f aca="false">ROUND($W206,2)</f>
        <v>1.49</v>
      </c>
      <c r="Y206" s="8" t="str">
        <f aca="false">IF($X206&lt;=2,"Low",IF($X206&lt;=3.49,"Medium","High"))</f>
        <v>Low</v>
      </c>
      <c r="Z206" s="8" t="str">
        <f aca="false">IF(OR($F206&gt;=3,$E206=5,$D206=5,$C206=5,$G206=5,$H206=5,$I206=5,$J206=5,Customers!$W206="Yes"),"Yes","No")</f>
        <v>No</v>
      </c>
      <c r="AA206" s="15" t="str">
        <f aca="false">IF($Z206="Yes","High",$Y206)</f>
        <v>Low</v>
      </c>
      <c r="AB206" s="18" t="n">
        <f aca="false">SUMPRODUCT($C206:$G206,Weights!$C$28:$G$28)</f>
        <v>1</v>
      </c>
      <c r="AC206" s="18" t="n">
        <f aca="false">SUMPRODUCT($H206:$J206,Weights!$H$28:$J$28)</f>
        <v>1</v>
      </c>
      <c r="AD206" s="18" t="n">
        <f aca="false">SUMPRODUCT($K206:$N206,Weights!$K$28:$N$28)</f>
        <v>2.1</v>
      </c>
      <c r="AE206" s="18" t="n">
        <f aca="false">SUMPRODUCT($O206:$Q206,Weights!$O$28:$Q$28)</f>
        <v>2.6</v>
      </c>
      <c r="AF206" s="18" t="n">
        <f aca="false">SUMPRODUCT($R206:$V206,Weights!$R$28:$V$28)</f>
        <v>1.75</v>
      </c>
      <c r="AH206" s="18" t="n">
        <f aca="false">SUMPRODUCT($AB206:$AF206,Validation!$D$7:$H$7)</f>
        <v>1.56285714285745</v>
      </c>
      <c r="AI206" s="18" t="n">
        <f aca="false">SUMPRODUCT($AB206:$AF206,Validation!$D$8:$H$8)</f>
        <v>1.42214285714255</v>
      </c>
      <c r="AJ206" s="18" t="n">
        <f aca="false">SUMPRODUCT($AB206:$AF206,Validation!$D$9:$H$9)</f>
        <v>1.5581666666665</v>
      </c>
      <c r="AK206" s="18" t="n">
        <f aca="false">SUMPRODUCT($AB206:$AF206,Validation!$D$10:$H$10)</f>
        <v>1.4268333333335</v>
      </c>
      <c r="AL206" s="18" t="n">
        <f aca="false">SUMPRODUCT($AB206:$AF206,Validation!$D$11:$H$11)</f>
        <v>1.4165625</v>
      </c>
      <c r="AM206" s="18" t="n">
        <f aca="false">SUMPRODUCT($AB206:$AF206,Validation!$D$12:$H$12)</f>
        <v>1.5684375</v>
      </c>
      <c r="AN206" s="18" t="n">
        <f aca="false">SUMPRODUCT($AB206:$AF206,Validation!$D$13:$H$13)</f>
        <v>1.36944444444445</v>
      </c>
      <c r="AO206" s="18" t="n">
        <f aca="false">SUMPRODUCT($AB206:$AF206,Validation!$D$14:$H$14)</f>
        <v>1.61555555555555</v>
      </c>
      <c r="AP206" s="18" t="n">
        <f aca="false">SUMPRODUCT($AB206:$AF206,Validation!$D$15:$H$15)</f>
        <v>1.4622058823527</v>
      </c>
      <c r="AQ206" s="18" t="n">
        <f aca="false">SUMPRODUCT($AB206:$AF206,Validation!$D$16:$H$16)</f>
        <v>1.5227941176473</v>
      </c>
      <c r="AR206" s="8" t="n">
        <f aca="false">COUNTIF($C206:$V206,"&gt;=4")</f>
        <v>0</v>
      </c>
      <c r="AS206" s="8" t="str">
        <f aca="false">IF($X206&lt;=1.6,"Low",IF($X206&lt;=2.2,"Medium","High"))</f>
        <v>Low</v>
      </c>
      <c r="AT206" s="8" t="str">
        <f aca="false">IF($AR206=0,"Low",IF($AR206&lt;3,"Medium","High"))</f>
        <v>Low</v>
      </c>
      <c r="AU206" s="8" t="str">
        <f aca="false">IF(OR($AS206="High",$AT206="High"),"High",IF(OR($AS206="Medium",$AT206="Medium"),"Medium","Low"))</f>
        <v>Low</v>
      </c>
      <c r="AV206" s="15" t="str">
        <f aca="false">IF($Z206="Yes","High",$AU206)</f>
        <v>Low</v>
      </c>
    </row>
    <row r="207" customFormat="false" ht="15" hidden="false" customHeight="false" outlineLevel="0" collapsed="false">
      <c r="A207" s="7" t="str">
        <f aca="false">Customers!$A207</f>
        <v>NG-10235</v>
      </c>
      <c r="B207" s="7" t="str">
        <f aca="false">Customers!$B207</f>
        <v>Personal</v>
      </c>
      <c r="C207" s="8" t="n">
        <f aca="false">INDEX(Mapping!$C$2:$C$99,MATCH(C$1&amp;"|"&amp;Customers!C207,Mapping!$D$2:$D$99,0))</f>
        <v>1</v>
      </c>
      <c r="D207" s="8" t="n">
        <f aca="false">INDEX(Mapping!$C$2:$C$99,MATCH(D$1&amp;"|"&amp;Customers!D207,Mapping!$D$2:$D$99,0))</f>
        <v>1</v>
      </c>
      <c r="E207" s="8" t="n">
        <f aca="false">INDEX(Mapping!$C$2:$C$99,MATCH(E$1&amp;"|"&amp;Customers!E207,Mapping!$D$2:$D$99,0))</f>
        <v>1</v>
      </c>
      <c r="F207" s="8" t="n">
        <f aca="false">INDEX(Mapping!$C$2:$C$99,MATCH(F$1&amp;"|"&amp;Customers!F207,Mapping!$D$2:$D$99,0))</f>
        <v>1</v>
      </c>
      <c r="G207" s="8" t="n">
        <f aca="false">INDEX(Mapping!$C$2:$C$99,MATCH(G$1&amp;"|"&amp;Customers!G207,Mapping!$D$2:$D$99,0))</f>
        <v>1</v>
      </c>
      <c r="H207" s="8" t="n">
        <f aca="false">INDEX(Mapping!$C$2:$C$99,MATCH(H$1&amp;"|"&amp;Customers!H207,Mapping!$D$2:$D$99,0))</f>
        <v>1</v>
      </c>
      <c r="I207" s="8" t="n">
        <f aca="false">INDEX(Mapping!$C$2:$C$99,MATCH(I$1&amp;"|"&amp;Customers!I207,Mapping!$D$2:$D$99,0))</f>
        <v>1</v>
      </c>
      <c r="J207" s="8" t="n">
        <f aca="false">INDEX(Mapping!$C$2:$C$99,MATCH(J$1&amp;"|"&amp;Customers!J207,Mapping!$D$2:$D$99,0))</f>
        <v>1</v>
      </c>
      <c r="K207" s="8" t="n">
        <f aca="false">INDEX(Mapping!$C$2:$C$99,MATCH(K$1&amp;"|"&amp;Customers!K207,Mapping!$D$2:$D$99,0))</f>
        <v>3</v>
      </c>
      <c r="L207" s="8" t="n">
        <f aca="false">INDEX(Mapping!$C$2:$C$99,MATCH(L$1&amp;"|"&amp;Customers!L207,Mapping!$D$2:$D$99,0))</f>
        <v>1</v>
      </c>
      <c r="M207" s="8" t="n">
        <f aca="false">INDEX(Mapping!$C$2:$C$99,MATCH(M$1&amp;"|"&amp;Customers!M207,Mapping!$D$2:$D$99,0))</f>
        <v>1</v>
      </c>
      <c r="N207" s="8" t="n">
        <f aca="false">INDEX(Mapping!$C$2:$C$99,MATCH(N$1&amp;"|"&amp;Customers!N207,Mapping!$D$2:$D$99,0))</f>
        <v>1</v>
      </c>
      <c r="O207" s="8" t="n">
        <f aca="false">INDEX(Mapping!$C$2:$C$99,MATCH(O$1&amp;"|"&amp;Customers!O207,Mapping!$D$2:$D$99,0))</f>
        <v>4</v>
      </c>
      <c r="P207" s="8" t="n">
        <f aca="false">INDEX(Mapping!$C$2:$C$99,MATCH(P$1&amp;"|"&amp;Customers!P207,Mapping!$D$2:$D$99,0))</f>
        <v>3</v>
      </c>
      <c r="Q207" s="8" t="n">
        <f aca="false">INDEX(Mapping!$C$2:$C$99,MATCH(Q$1&amp;"|"&amp;Customers!Q207,Mapping!$D$2:$D$99,0))</f>
        <v>3</v>
      </c>
      <c r="R207" s="8" t="n">
        <f aca="false">INDEX(Mapping!$C$2:$C$99,MATCH(R$1&amp;"|"&amp;Customers!R207,Mapping!$D$2:$D$99,0))</f>
        <v>1</v>
      </c>
      <c r="S207" s="8" t="n">
        <f aca="false">INDEX(Mapping!$C$2:$C$99,MATCH(S$1&amp;"|"&amp;Customers!S207,Mapping!$D$2:$D$99,0))</f>
        <v>1</v>
      </c>
      <c r="T207" s="8" t="n">
        <f aca="false">INDEX(Mapping!$C$2:$C$99,MATCH(T$1&amp;"|"&amp;Customers!T207,Mapping!$D$2:$D$99,0))</f>
        <v>1</v>
      </c>
      <c r="U207" s="8" t="n">
        <f aca="false">INDEX(Mapping!$C$2:$C$99,MATCH(U$1&amp;"|"&amp;Customers!U207,Mapping!$D$2:$D$99,0))</f>
        <v>2</v>
      </c>
      <c r="V207" s="8" t="n">
        <f aca="false">INDEX(Mapping!$C$2:$C$99,MATCH(V$1&amp;"|"&amp;Customers!V207,Mapping!$D$2:$D$99,0))</f>
        <v>1</v>
      </c>
      <c r="W207" s="17" t="n">
        <f aca="false">SUMPRODUCT($C207:$V207,Weights!$C$27:$V$27)</f>
        <v>1.4075</v>
      </c>
      <c r="X207" s="18" t="n">
        <f aca="false">ROUND($W207,2)</f>
        <v>1.41</v>
      </c>
      <c r="Y207" s="8" t="str">
        <f aca="false">IF($X207&lt;=2,"Low",IF($X207&lt;=3.49,"Medium","High"))</f>
        <v>Low</v>
      </c>
      <c r="Z207" s="8" t="str">
        <f aca="false">IF(OR($F207&gt;=3,$E207=5,$D207=5,$C207=5,$G207=5,$H207=5,$I207=5,$J207=5,Customers!$W207="Yes"),"Yes","No")</f>
        <v>No</v>
      </c>
      <c r="AA207" s="15" t="str">
        <f aca="false">IF($Z207="Yes","High",$Y207)</f>
        <v>Low</v>
      </c>
      <c r="AB207" s="18" t="n">
        <f aca="false">SUMPRODUCT($C207:$G207,Weights!$C$28:$G$28)</f>
        <v>1</v>
      </c>
      <c r="AC207" s="18" t="n">
        <f aca="false">SUMPRODUCT($H207:$J207,Weights!$H$28:$J$28)</f>
        <v>1</v>
      </c>
      <c r="AD207" s="18" t="n">
        <f aca="false">SUMPRODUCT($K207:$N207,Weights!$K$28:$N$28)</f>
        <v>1.7</v>
      </c>
      <c r="AE207" s="18" t="n">
        <f aca="false">SUMPRODUCT($O207:$Q207,Weights!$O$28:$Q$28)</f>
        <v>3.45</v>
      </c>
      <c r="AF207" s="18" t="n">
        <f aca="false">SUMPRODUCT($R207:$V207,Weights!$R$28:$V$28)</f>
        <v>1.15</v>
      </c>
      <c r="AH207" s="18" t="n">
        <f aca="false">SUMPRODUCT($AB207:$AF207,Validation!$D$7:$H$7)</f>
        <v>1.46571428571475</v>
      </c>
      <c r="AI207" s="18" t="n">
        <f aca="false">SUMPRODUCT($AB207:$AF207,Validation!$D$8:$H$8)</f>
        <v>1.34928571428525</v>
      </c>
      <c r="AJ207" s="18" t="n">
        <f aca="false">SUMPRODUCT($AB207:$AF207,Validation!$D$9:$H$9)</f>
        <v>1.46183333333275</v>
      </c>
      <c r="AK207" s="18" t="n">
        <f aca="false">SUMPRODUCT($AB207:$AF207,Validation!$D$10:$H$10)</f>
        <v>1.35316666666725</v>
      </c>
      <c r="AL207" s="18" t="n">
        <f aca="false">SUMPRODUCT($AB207:$AF207,Validation!$D$11:$H$11)</f>
        <v>1.3709375</v>
      </c>
      <c r="AM207" s="18" t="n">
        <f aca="false">SUMPRODUCT($AB207:$AF207,Validation!$D$12:$H$12)</f>
        <v>1.4440625</v>
      </c>
      <c r="AN207" s="18" t="n">
        <f aca="false">SUMPRODUCT($AB207:$AF207,Validation!$D$13:$H$13)</f>
        <v>1.18055555555545</v>
      </c>
      <c r="AO207" s="18" t="n">
        <f aca="false">SUMPRODUCT($AB207:$AF207,Validation!$D$14:$H$14)</f>
        <v>1.63444444444455</v>
      </c>
      <c r="AP207" s="18" t="n">
        <f aca="false">SUMPRODUCT($AB207:$AF207,Validation!$D$15:$H$15)</f>
        <v>1.4377941176464</v>
      </c>
      <c r="AQ207" s="18" t="n">
        <f aca="false">SUMPRODUCT($AB207:$AF207,Validation!$D$16:$H$16)</f>
        <v>1.3772058823536</v>
      </c>
      <c r="AR207" s="8" t="n">
        <f aca="false">COUNTIF($C207:$V207,"&gt;=4")</f>
        <v>1</v>
      </c>
      <c r="AS207" s="8" t="str">
        <f aca="false">IF($X207&lt;=1.6,"Low",IF($X207&lt;=2.2,"Medium","High"))</f>
        <v>Low</v>
      </c>
      <c r="AT207" s="8" t="str">
        <f aca="false">IF($AR207=0,"Low",IF($AR207&lt;3,"Medium","High"))</f>
        <v>Medium</v>
      </c>
      <c r="AU207" s="8" t="str">
        <f aca="false">IF(OR($AS207="High",$AT207="High"),"High",IF(OR($AS207="Medium",$AT207="Medium"),"Medium","Low"))</f>
        <v>Medium</v>
      </c>
      <c r="AV207" s="15" t="str">
        <f aca="false">IF($Z207="Yes","High",$AU207)</f>
        <v>Medium</v>
      </c>
    </row>
    <row r="208" customFormat="false" ht="15" hidden="false" customHeight="false" outlineLevel="0" collapsed="false">
      <c r="A208" s="7" t="str">
        <f aca="false">Customers!$A208</f>
        <v>NG-10195</v>
      </c>
      <c r="B208" s="7" t="str">
        <f aca="false">Customers!$B208</f>
        <v>Personal</v>
      </c>
      <c r="C208" s="8" t="n">
        <f aca="false">INDEX(Mapping!$C$2:$C$99,MATCH(C$1&amp;"|"&amp;Customers!C208,Mapping!$D$2:$D$99,0))</f>
        <v>1</v>
      </c>
      <c r="D208" s="8" t="n">
        <f aca="false">INDEX(Mapping!$C$2:$C$99,MATCH(D$1&amp;"|"&amp;Customers!D208,Mapping!$D$2:$D$99,0))</f>
        <v>1</v>
      </c>
      <c r="E208" s="8" t="n">
        <f aca="false">INDEX(Mapping!$C$2:$C$99,MATCH(E$1&amp;"|"&amp;Customers!E208,Mapping!$D$2:$D$99,0))</f>
        <v>2</v>
      </c>
      <c r="F208" s="8" t="n">
        <f aca="false">INDEX(Mapping!$C$2:$C$99,MATCH(F$1&amp;"|"&amp;Customers!F208,Mapping!$D$2:$D$99,0))</f>
        <v>1</v>
      </c>
      <c r="G208" s="8" t="n">
        <f aca="false">INDEX(Mapping!$C$2:$C$99,MATCH(G$1&amp;"|"&amp;Customers!G208,Mapping!$D$2:$D$99,0))</f>
        <v>1</v>
      </c>
      <c r="H208" s="8" t="n">
        <f aca="false">INDEX(Mapping!$C$2:$C$99,MATCH(H$1&amp;"|"&amp;Customers!H208,Mapping!$D$2:$D$99,0))</f>
        <v>1</v>
      </c>
      <c r="I208" s="8" t="n">
        <f aca="false">INDEX(Mapping!$C$2:$C$99,MATCH(I$1&amp;"|"&amp;Customers!I208,Mapping!$D$2:$D$99,0))</f>
        <v>1</v>
      </c>
      <c r="J208" s="8" t="n">
        <f aca="false">INDEX(Mapping!$C$2:$C$99,MATCH(J$1&amp;"|"&amp;Customers!J208,Mapping!$D$2:$D$99,0))</f>
        <v>1</v>
      </c>
      <c r="K208" s="8" t="n">
        <f aca="false">INDEX(Mapping!$C$2:$C$99,MATCH(K$1&amp;"|"&amp;Customers!K208,Mapping!$D$2:$D$99,0))</f>
        <v>3</v>
      </c>
      <c r="L208" s="8" t="n">
        <f aca="false">INDEX(Mapping!$C$2:$C$99,MATCH(L$1&amp;"|"&amp;Customers!L208,Mapping!$D$2:$D$99,0))</f>
        <v>2</v>
      </c>
      <c r="M208" s="8" t="n">
        <f aca="false">INDEX(Mapping!$C$2:$C$99,MATCH(M$1&amp;"|"&amp;Customers!M208,Mapping!$D$2:$D$99,0))</f>
        <v>1</v>
      </c>
      <c r="N208" s="8" t="n">
        <f aca="false">INDEX(Mapping!$C$2:$C$99,MATCH(N$1&amp;"|"&amp;Customers!N208,Mapping!$D$2:$D$99,0))</f>
        <v>1</v>
      </c>
      <c r="O208" s="8" t="n">
        <f aca="false">INDEX(Mapping!$C$2:$C$99,MATCH(O$1&amp;"|"&amp;Customers!O208,Mapping!$D$2:$D$99,0))</f>
        <v>3</v>
      </c>
      <c r="P208" s="8" t="n">
        <f aca="false">INDEX(Mapping!$C$2:$C$99,MATCH(P$1&amp;"|"&amp;Customers!P208,Mapping!$D$2:$D$99,0))</f>
        <v>3</v>
      </c>
      <c r="Q208" s="8" t="n">
        <f aca="false">INDEX(Mapping!$C$2:$C$99,MATCH(Q$1&amp;"|"&amp;Customers!Q208,Mapping!$D$2:$D$99,0))</f>
        <v>1</v>
      </c>
      <c r="R208" s="8" t="n">
        <f aca="false">INDEX(Mapping!$C$2:$C$99,MATCH(R$1&amp;"|"&amp;Customers!R208,Mapping!$D$2:$D$99,0))</f>
        <v>1</v>
      </c>
      <c r="S208" s="8" t="n">
        <f aca="false">INDEX(Mapping!$C$2:$C$99,MATCH(S$1&amp;"|"&amp;Customers!S208,Mapping!$D$2:$D$99,0))</f>
        <v>1</v>
      </c>
      <c r="T208" s="8" t="n">
        <f aca="false">INDEX(Mapping!$C$2:$C$99,MATCH(T$1&amp;"|"&amp;Customers!T208,Mapping!$D$2:$D$99,0))</f>
        <v>1</v>
      </c>
      <c r="U208" s="8" t="n">
        <f aca="false">INDEX(Mapping!$C$2:$C$99,MATCH(U$1&amp;"|"&amp;Customers!U208,Mapping!$D$2:$D$99,0))</f>
        <v>1</v>
      </c>
      <c r="V208" s="8" t="n">
        <f aca="false">INDEX(Mapping!$C$2:$C$99,MATCH(V$1&amp;"|"&amp;Customers!V208,Mapping!$D$2:$D$99,0))</f>
        <v>1</v>
      </c>
      <c r="W208" s="17" t="n">
        <f aca="false">SUMPRODUCT($C208:$V208,Weights!$C$27:$V$27)</f>
        <v>1.425</v>
      </c>
      <c r="X208" s="18" t="n">
        <f aca="false">ROUND($W208,2)</f>
        <v>1.43</v>
      </c>
      <c r="Y208" s="8" t="str">
        <f aca="false">IF($X208&lt;=2,"Low",IF($X208&lt;=3.49,"Medium","High"))</f>
        <v>Low</v>
      </c>
      <c r="Z208" s="8" t="str">
        <f aca="false">IF(OR($F208&gt;=3,$E208=5,$D208=5,$C208=5,$G208=5,$H208=5,$I208=5,$J208=5,Customers!$W208="Yes"),"Yes","No")</f>
        <v>No</v>
      </c>
      <c r="AA208" s="15" t="str">
        <f aca="false">IF($Z208="Yes","High",$Y208)</f>
        <v>Low</v>
      </c>
      <c r="AB208" s="18" t="n">
        <f aca="false">SUMPRODUCT($C208:$G208,Weights!$C$28:$G$28)</f>
        <v>1.25</v>
      </c>
      <c r="AC208" s="18" t="n">
        <f aca="false">SUMPRODUCT($H208:$J208,Weights!$H$28:$J$28)</f>
        <v>1</v>
      </c>
      <c r="AD208" s="18" t="n">
        <f aca="false">SUMPRODUCT($K208:$N208,Weights!$K$28:$N$28)</f>
        <v>1.95</v>
      </c>
      <c r="AE208" s="18" t="n">
        <f aca="false">SUMPRODUCT($O208:$Q208,Weights!$O$28:$Q$28)</f>
        <v>2.6</v>
      </c>
      <c r="AF208" s="18" t="n">
        <f aca="false">SUMPRODUCT($R208:$V208,Weights!$R$28:$V$28)</f>
        <v>1</v>
      </c>
      <c r="AH208" s="18" t="n">
        <f aca="false">SUMPRODUCT($AB208:$AF208,Validation!$D$7:$H$7)</f>
        <v>1.45000000000005</v>
      </c>
      <c r="AI208" s="18" t="n">
        <f aca="false">SUMPRODUCT($AB208:$AF208,Validation!$D$8:$H$8)</f>
        <v>1.39999999999995</v>
      </c>
      <c r="AJ208" s="18" t="n">
        <f aca="false">SUMPRODUCT($AB208:$AF208,Validation!$D$9:$H$9)</f>
        <v>1.48166666666645</v>
      </c>
      <c r="AK208" s="18" t="n">
        <f aca="false">SUMPRODUCT($AB208:$AF208,Validation!$D$10:$H$10)</f>
        <v>1.36833333333355</v>
      </c>
      <c r="AL208" s="18" t="n">
        <f aca="false">SUMPRODUCT($AB208:$AF208,Validation!$D$11:$H$11)</f>
        <v>1.359375</v>
      </c>
      <c r="AM208" s="18" t="n">
        <f aca="false">SUMPRODUCT($AB208:$AF208,Validation!$D$12:$H$12)</f>
        <v>1.490625</v>
      </c>
      <c r="AN208" s="18" t="n">
        <f aca="false">SUMPRODUCT($AB208:$AF208,Validation!$D$13:$H$13)</f>
        <v>1.29444444444415</v>
      </c>
      <c r="AO208" s="18" t="n">
        <f aca="false">SUMPRODUCT($AB208:$AF208,Validation!$D$14:$H$14)</f>
        <v>1.55555555555585</v>
      </c>
      <c r="AP208" s="18" t="n">
        <f aca="false">SUMPRODUCT($AB208:$AF208,Validation!$D$15:$H$15)</f>
        <v>1.4749999999997</v>
      </c>
      <c r="AQ208" s="18" t="n">
        <f aca="false">SUMPRODUCT($AB208:$AF208,Validation!$D$16:$H$16)</f>
        <v>1.3750000000003</v>
      </c>
      <c r="AR208" s="8" t="n">
        <f aca="false">COUNTIF($C208:$V208,"&gt;=4")</f>
        <v>0</v>
      </c>
      <c r="AS208" s="8" t="str">
        <f aca="false">IF($X208&lt;=1.6,"Low",IF($X208&lt;=2.2,"Medium","High"))</f>
        <v>Low</v>
      </c>
      <c r="AT208" s="8" t="str">
        <f aca="false">IF($AR208=0,"Low",IF($AR208&lt;3,"Medium","High"))</f>
        <v>Low</v>
      </c>
      <c r="AU208" s="8" t="str">
        <f aca="false">IF(OR($AS208="High",$AT208="High"),"High",IF(OR($AS208="Medium",$AT208="Medium"),"Medium","Low"))</f>
        <v>Low</v>
      </c>
      <c r="AV208" s="15" t="str">
        <f aca="false">IF($Z208="Yes","High",$AU208)</f>
        <v>Low</v>
      </c>
    </row>
    <row r="209" customFormat="false" ht="15" hidden="false" customHeight="false" outlineLevel="0" collapsed="false">
      <c r="A209" s="7" t="str">
        <f aca="false">Customers!$A209</f>
        <v>NG-10108</v>
      </c>
      <c r="B209" s="7" t="str">
        <f aca="false">Customers!$B209</f>
        <v>Personal</v>
      </c>
      <c r="C209" s="8" t="n">
        <f aca="false">INDEX(Mapping!$C$2:$C$99,MATCH(C$1&amp;"|"&amp;Customers!C209,Mapping!$D$2:$D$99,0))</f>
        <v>1</v>
      </c>
      <c r="D209" s="8" t="n">
        <f aca="false">INDEX(Mapping!$C$2:$C$99,MATCH(D$1&amp;"|"&amp;Customers!D209,Mapping!$D$2:$D$99,0))</f>
        <v>1</v>
      </c>
      <c r="E209" s="8" t="n">
        <f aca="false">INDEX(Mapping!$C$2:$C$99,MATCH(E$1&amp;"|"&amp;Customers!E209,Mapping!$D$2:$D$99,0))</f>
        <v>1</v>
      </c>
      <c r="F209" s="8" t="n">
        <f aca="false">INDEX(Mapping!$C$2:$C$99,MATCH(F$1&amp;"|"&amp;Customers!F209,Mapping!$D$2:$D$99,0))</f>
        <v>1</v>
      </c>
      <c r="G209" s="8" t="n">
        <f aca="false">INDEX(Mapping!$C$2:$C$99,MATCH(G$1&amp;"|"&amp;Customers!G209,Mapping!$D$2:$D$99,0))</f>
        <v>1</v>
      </c>
      <c r="H209" s="8" t="n">
        <f aca="false">INDEX(Mapping!$C$2:$C$99,MATCH(H$1&amp;"|"&amp;Customers!H209,Mapping!$D$2:$D$99,0))</f>
        <v>1</v>
      </c>
      <c r="I209" s="8" t="n">
        <f aca="false">INDEX(Mapping!$C$2:$C$99,MATCH(I$1&amp;"|"&amp;Customers!I209,Mapping!$D$2:$D$99,0))</f>
        <v>1</v>
      </c>
      <c r="J209" s="8" t="n">
        <f aca="false">INDEX(Mapping!$C$2:$C$99,MATCH(J$1&amp;"|"&amp;Customers!J209,Mapping!$D$2:$D$99,0))</f>
        <v>1</v>
      </c>
      <c r="K209" s="8" t="n">
        <f aca="false">INDEX(Mapping!$C$2:$C$99,MATCH(K$1&amp;"|"&amp;Customers!K209,Mapping!$D$2:$D$99,0))</f>
        <v>2</v>
      </c>
      <c r="L209" s="8" t="n">
        <f aca="false">INDEX(Mapping!$C$2:$C$99,MATCH(L$1&amp;"|"&amp;Customers!L209,Mapping!$D$2:$D$99,0))</f>
        <v>2</v>
      </c>
      <c r="M209" s="8" t="n">
        <f aca="false">INDEX(Mapping!$C$2:$C$99,MATCH(M$1&amp;"|"&amp;Customers!M209,Mapping!$D$2:$D$99,0))</f>
        <v>2</v>
      </c>
      <c r="N209" s="8" t="n">
        <f aca="false">INDEX(Mapping!$C$2:$C$99,MATCH(N$1&amp;"|"&amp;Customers!N209,Mapping!$D$2:$D$99,0))</f>
        <v>1</v>
      </c>
      <c r="O209" s="8" t="n">
        <f aca="false">INDEX(Mapping!$C$2:$C$99,MATCH(O$1&amp;"|"&amp;Customers!O209,Mapping!$D$2:$D$99,0))</f>
        <v>3</v>
      </c>
      <c r="P209" s="8" t="n">
        <f aca="false">INDEX(Mapping!$C$2:$C$99,MATCH(P$1&amp;"|"&amp;Customers!P209,Mapping!$D$2:$D$99,0))</f>
        <v>1</v>
      </c>
      <c r="Q209" s="8" t="n">
        <f aca="false">INDEX(Mapping!$C$2:$C$99,MATCH(Q$1&amp;"|"&amp;Customers!Q209,Mapping!$D$2:$D$99,0))</f>
        <v>1</v>
      </c>
      <c r="R209" s="8" t="n">
        <f aca="false">INDEX(Mapping!$C$2:$C$99,MATCH(R$1&amp;"|"&amp;Customers!R209,Mapping!$D$2:$D$99,0))</f>
        <v>1</v>
      </c>
      <c r="S209" s="8" t="n">
        <f aca="false">INDEX(Mapping!$C$2:$C$99,MATCH(S$1&amp;"|"&amp;Customers!S209,Mapping!$D$2:$D$99,0))</f>
        <v>3</v>
      </c>
      <c r="T209" s="8" t="n">
        <f aca="false">INDEX(Mapping!$C$2:$C$99,MATCH(T$1&amp;"|"&amp;Customers!T209,Mapping!$D$2:$D$99,0))</f>
        <v>1</v>
      </c>
      <c r="U209" s="8" t="n">
        <f aca="false">INDEX(Mapping!$C$2:$C$99,MATCH(U$1&amp;"|"&amp;Customers!U209,Mapping!$D$2:$D$99,0))</f>
        <v>5</v>
      </c>
      <c r="V209" s="8" t="n">
        <f aca="false">INDEX(Mapping!$C$2:$C$99,MATCH(V$1&amp;"|"&amp;Customers!V209,Mapping!$D$2:$D$99,0))</f>
        <v>2</v>
      </c>
      <c r="W209" s="17" t="n">
        <f aca="false">SUMPRODUCT($C209:$V209,Weights!$C$27:$V$27)</f>
        <v>1.455</v>
      </c>
      <c r="X209" s="18" t="n">
        <f aca="false">ROUND($W209,2)</f>
        <v>1.46</v>
      </c>
      <c r="Y209" s="8" t="str">
        <f aca="false">IF($X209&lt;=2,"Low",IF($X209&lt;=3.49,"Medium","High"))</f>
        <v>Low</v>
      </c>
      <c r="Z209" s="8" t="str">
        <f aca="false">IF(OR($F209&gt;=3,$E209=5,$D209=5,$C209=5,$G209=5,$H209=5,$I209=5,$J209=5,Customers!$W209="Yes"),"Yes","No")</f>
        <v>No</v>
      </c>
      <c r="AA209" s="15" t="str">
        <f aca="false">IF($Z209="Yes","High",$Y209)</f>
        <v>Low</v>
      </c>
      <c r="AB209" s="18" t="n">
        <f aca="false">SUMPRODUCT($C209:$G209,Weights!$C$28:$G$28)</f>
        <v>1</v>
      </c>
      <c r="AC209" s="18" t="n">
        <f aca="false">SUMPRODUCT($H209:$J209,Weights!$H$28:$J$28)</f>
        <v>1</v>
      </c>
      <c r="AD209" s="18" t="n">
        <f aca="false">SUMPRODUCT($K209:$N209,Weights!$K$28:$N$28)</f>
        <v>1.85</v>
      </c>
      <c r="AE209" s="18" t="n">
        <f aca="false">SUMPRODUCT($O209:$Q209,Weights!$O$28:$Q$28)</f>
        <v>1.9</v>
      </c>
      <c r="AF209" s="18" t="n">
        <f aca="false">SUMPRODUCT($R209:$V209,Weights!$R$28:$V$28)</f>
        <v>2.3</v>
      </c>
      <c r="AH209" s="18" t="n">
        <f aca="false">SUMPRODUCT($AB209:$AF209,Validation!$D$7:$H$7)</f>
        <v>1.52000000000045</v>
      </c>
      <c r="AI209" s="18" t="n">
        <f aca="false">SUMPRODUCT($AB209:$AF209,Validation!$D$8:$H$8)</f>
        <v>1.38999999999955</v>
      </c>
      <c r="AJ209" s="18" t="n">
        <f aca="false">SUMPRODUCT($AB209:$AF209,Validation!$D$9:$H$9)</f>
        <v>1.51566666666665</v>
      </c>
      <c r="AK209" s="18" t="n">
        <f aca="false">SUMPRODUCT($AB209:$AF209,Validation!$D$10:$H$10)</f>
        <v>1.39433333333335</v>
      </c>
      <c r="AL209" s="18" t="n">
        <f aca="false">SUMPRODUCT($AB209:$AF209,Validation!$D$11:$H$11)</f>
        <v>1.405625</v>
      </c>
      <c r="AM209" s="18" t="n">
        <f aca="false">SUMPRODUCT($AB209:$AF209,Validation!$D$12:$H$12)</f>
        <v>1.504375</v>
      </c>
      <c r="AN209" s="18" t="n">
        <f aca="false">SUMPRODUCT($AB209:$AF209,Validation!$D$13:$H$13)</f>
        <v>1.4055555555558</v>
      </c>
      <c r="AO209" s="18" t="n">
        <f aca="false">SUMPRODUCT($AB209:$AF209,Validation!$D$14:$H$14)</f>
        <v>1.5044444444442</v>
      </c>
      <c r="AP209" s="18" t="n">
        <f aca="false">SUMPRODUCT($AB209:$AF209,Validation!$D$15:$H$15)</f>
        <v>1.35558823529405</v>
      </c>
      <c r="AQ209" s="18" t="n">
        <f aca="false">SUMPRODUCT($AB209:$AF209,Validation!$D$16:$H$16)</f>
        <v>1.55441176470595</v>
      </c>
      <c r="AR209" s="8" t="n">
        <f aca="false">COUNTIF($C209:$V209,"&gt;=4")</f>
        <v>1</v>
      </c>
      <c r="AS209" s="8" t="str">
        <f aca="false">IF($X209&lt;=1.6,"Low",IF($X209&lt;=2.2,"Medium","High"))</f>
        <v>Low</v>
      </c>
      <c r="AT209" s="8" t="str">
        <f aca="false">IF($AR209=0,"Low",IF($AR209&lt;3,"Medium","High"))</f>
        <v>Medium</v>
      </c>
      <c r="AU209" s="8" t="str">
        <f aca="false">IF(OR($AS209="High",$AT209="High"),"High",IF(OR($AS209="Medium",$AT209="Medium"),"Medium","Low"))</f>
        <v>Medium</v>
      </c>
      <c r="AV209" s="15" t="str">
        <f aca="false">IF($Z209="Yes","High",$AU209)</f>
        <v>Medium</v>
      </c>
    </row>
    <row r="210" customFormat="false" ht="15" hidden="false" customHeight="false" outlineLevel="0" collapsed="false">
      <c r="A210" s="7" t="str">
        <f aca="false">Customers!$A210</f>
        <v>NG-10125</v>
      </c>
      <c r="B210" s="7" t="str">
        <f aca="false">Customers!$B210</f>
        <v>Personal</v>
      </c>
      <c r="C210" s="8" t="n">
        <f aca="false">INDEX(Mapping!$C$2:$C$99,MATCH(C$1&amp;"|"&amp;Customers!C210,Mapping!$D$2:$D$99,0))</f>
        <v>1</v>
      </c>
      <c r="D210" s="8" t="n">
        <f aca="false">INDEX(Mapping!$C$2:$C$99,MATCH(D$1&amp;"|"&amp;Customers!D210,Mapping!$D$2:$D$99,0))</f>
        <v>1</v>
      </c>
      <c r="E210" s="8" t="n">
        <f aca="false">INDEX(Mapping!$C$2:$C$99,MATCH(E$1&amp;"|"&amp;Customers!E210,Mapping!$D$2:$D$99,0))</f>
        <v>1</v>
      </c>
      <c r="F210" s="8" t="n">
        <f aca="false">INDEX(Mapping!$C$2:$C$99,MATCH(F$1&amp;"|"&amp;Customers!F210,Mapping!$D$2:$D$99,0))</f>
        <v>1</v>
      </c>
      <c r="G210" s="8" t="n">
        <f aca="false">INDEX(Mapping!$C$2:$C$99,MATCH(G$1&amp;"|"&amp;Customers!G210,Mapping!$D$2:$D$99,0))</f>
        <v>1</v>
      </c>
      <c r="H210" s="8" t="n">
        <f aca="false">INDEX(Mapping!$C$2:$C$99,MATCH(H$1&amp;"|"&amp;Customers!H210,Mapping!$D$2:$D$99,0))</f>
        <v>1</v>
      </c>
      <c r="I210" s="8" t="n">
        <f aca="false">INDEX(Mapping!$C$2:$C$99,MATCH(I$1&amp;"|"&amp;Customers!I210,Mapping!$D$2:$D$99,0))</f>
        <v>1</v>
      </c>
      <c r="J210" s="8" t="n">
        <f aca="false">INDEX(Mapping!$C$2:$C$99,MATCH(J$1&amp;"|"&amp;Customers!J210,Mapping!$D$2:$D$99,0))</f>
        <v>4</v>
      </c>
      <c r="K210" s="8" t="n">
        <f aca="false">INDEX(Mapping!$C$2:$C$99,MATCH(K$1&amp;"|"&amp;Customers!K210,Mapping!$D$2:$D$99,0))</f>
        <v>3</v>
      </c>
      <c r="L210" s="8" t="n">
        <f aca="false">INDEX(Mapping!$C$2:$C$99,MATCH(L$1&amp;"|"&amp;Customers!L210,Mapping!$D$2:$D$99,0))</f>
        <v>3</v>
      </c>
      <c r="M210" s="8" t="n">
        <f aca="false">INDEX(Mapping!$C$2:$C$99,MATCH(M$1&amp;"|"&amp;Customers!M210,Mapping!$D$2:$D$99,0))</f>
        <v>3</v>
      </c>
      <c r="N210" s="8" t="n">
        <f aca="false">INDEX(Mapping!$C$2:$C$99,MATCH(N$1&amp;"|"&amp;Customers!N210,Mapping!$D$2:$D$99,0))</f>
        <v>1</v>
      </c>
      <c r="O210" s="8" t="n">
        <f aca="false">INDEX(Mapping!$C$2:$C$99,MATCH(O$1&amp;"|"&amp;Customers!O210,Mapping!$D$2:$D$99,0))</f>
        <v>3</v>
      </c>
      <c r="P210" s="8" t="n">
        <f aca="false">INDEX(Mapping!$C$2:$C$99,MATCH(P$1&amp;"|"&amp;Customers!P210,Mapping!$D$2:$D$99,0))</f>
        <v>3</v>
      </c>
      <c r="Q210" s="8" t="n">
        <f aca="false">INDEX(Mapping!$C$2:$C$99,MATCH(Q$1&amp;"|"&amp;Customers!Q210,Mapping!$D$2:$D$99,0))</f>
        <v>1</v>
      </c>
      <c r="R210" s="8" t="n">
        <f aca="false">INDEX(Mapping!$C$2:$C$99,MATCH(R$1&amp;"|"&amp;Customers!R210,Mapping!$D$2:$D$99,0))</f>
        <v>3</v>
      </c>
      <c r="S210" s="8" t="n">
        <f aca="false">INDEX(Mapping!$C$2:$C$99,MATCH(S$1&amp;"|"&amp;Customers!S210,Mapping!$D$2:$D$99,0))</f>
        <v>2</v>
      </c>
      <c r="T210" s="8" t="n">
        <f aca="false">INDEX(Mapping!$C$2:$C$99,MATCH(T$1&amp;"|"&amp;Customers!T210,Mapping!$D$2:$D$99,0))</f>
        <v>2</v>
      </c>
      <c r="U210" s="8" t="n">
        <f aca="false">INDEX(Mapping!$C$2:$C$99,MATCH(U$1&amp;"|"&amp;Customers!U210,Mapping!$D$2:$D$99,0))</f>
        <v>2</v>
      </c>
      <c r="V210" s="8" t="n">
        <f aca="false">INDEX(Mapping!$C$2:$C$99,MATCH(V$1&amp;"|"&amp;Customers!V210,Mapping!$D$2:$D$99,0))</f>
        <v>1</v>
      </c>
      <c r="W210" s="17" t="n">
        <f aca="false">SUMPRODUCT($C210:$V210,Weights!$C$27:$V$27)</f>
        <v>1.9725</v>
      </c>
      <c r="X210" s="18" t="n">
        <f aca="false">ROUND($W210,2)</f>
        <v>1.97</v>
      </c>
      <c r="Y210" s="8" t="str">
        <f aca="false">IF($X210&lt;=2,"Low",IF($X210&lt;=3.49,"Medium","High"))</f>
        <v>Low</v>
      </c>
      <c r="Z210" s="8" t="str">
        <f aca="false">IF(OR($F210&gt;=3,$E210=5,$D210=5,$C210=5,$G210=5,$H210=5,$I210=5,$J210=5,Customers!$W210="Yes"),"Yes","No")</f>
        <v>No</v>
      </c>
      <c r="AA210" s="15" t="str">
        <f aca="false">IF($Z210="Yes","High",$Y210)</f>
        <v>Low</v>
      </c>
      <c r="AB210" s="18" t="n">
        <f aca="false">SUMPRODUCT($C210:$G210,Weights!$C$28:$G$28)</f>
        <v>1</v>
      </c>
      <c r="AC210" s="18" t="n">
        <f aca="false">SUMPRODUCT($H210:$J210,Weights!$H$28:$J$28)</f>
        <v>2.2</v>
      </c>
      <c r="AD210" s="18" t="n">
        <f aca="false">SUMPRODUCT($K210:$N210,Weights!$K$28:$N$28)</f>
        <v>2.7</v>
      </c>
      <c r="AE210" s="18" t="n">
        <f aca="false">SUMPRODUCT($O210:$Q210,Weights!$O$28:$Q$28)</f>
        <v>2.6</v>
      </c>
      <c r="AF210" s="18" t="n">
        <f aca="false">SUMPRODUCT($R210:$V210,Weights!$R$28:$V$28)</f>
        <v>2.15</v>
      </c>
      <c r="AH210" s="18" t="n">
        <f aca="false">SUMPRODUCT($AB210:$AF210,Validation!$D$7:$H$7)</f>
        <v>2.11142857142845</v>
      </c>
      <c r="AI210" s="18" t="n">
        <f aca="false">SUMPRODUCT($AB210:$AF210,Validation!$D$8:$H$8)</f>
        <v>1.83357142857155</v>
      </c>
      <c r="AJ210" s="18" t="n">
        <f aca="false">SUMPRODUCT($AB210:$AF210,Validation!$D$9:$H$9)</f>
        <v>1.9421666666667</v>
      </c>
      <c r="AK210" s="18" t="n">
        <f aca="false">SUMPRODUCT($AB210:$AF210,Validation!$D$10:$H$10)</f>
        <v>2.0028333333333</v>
      </c>
      <c r="AL210" s="18" t="n">
        <f aca="false">SUMPRODUCT($AB210:$AF210,Validation!$D$11:$H$11)</f>
        <v>1.8815625</v>
      </c>
      <c r="AM210" s="18" t="n">
        <f aca="false">SUMPRODUCT($AB210:$AF210,Validation!$D$12:$H$12)</f>
        <v>2.0634375</v>
      </c>
      <c r="AN210" s="18" t="n">
        <f aca="false">SUMPRODUCT($AB210:$AF210,Validation!$D$13:$H$13)</f>
        <v>1.90277777777805</v>
      </c>
      <c r="AO210" s="18" t="n">
        <f aca="false">SUMPRODUCT($AB210:$AF210,Validation!$D$14:$H$14)</f>
        <v>2.04222222222195</v>
      </c>
      <c r="AP210" s="18" t="n">
        <f aca="false">SUMPRODUCT($AB210:$AF210,Validation!$D$15:$H$15)</f>
        <v>1.9516176470589</v>
      </c>
      <c r="AQ210" s="18" t="n">
        <f aca="false">SUMPRODUCT($AB210:$AF210,Validation!$D$16:$H$16)</f>
        <v>1.9933823529411</v>
      </c>
      <c r="AR210" s="8" t="n">
        <f aca="false">COUNTIF($C210:$V210,"&gt;=4")</f>
        <v>1</v>
      </c>
      <c r="AS210" s="8" t="str">
        <f aca="false">IF($X210&lt;=1.6,"Low",IF($X210&lt;=2.2,"Medium","High"))</f>
        <v>Medium</v>
      </c>
      <c r="AT210" s="8" t="str">
        <f aca="false">IF($AR210=0,"Low",IF($AR210&lt;3,"Medium","High"))</f>
        <v>Medium</v>
      </c>
      <c r="AU210" s="8" t="str">
        <f aca="false">IF(OR($AS210="High",$AT210="High"),"High",IF(OR($AS210="Medium",$AT210="Medium"),"Medium","Low"))</f>
        <v>Medium</v>
      </c>
      <c r="AV210" s="15" t="str">
        <f aca="false">IF($Z210="Yes","High",$AU210)</f>
        <v>Medium</v>
      </c>
    </row>
    <row r="211" customFormat="false" ht="15" hidden="false" customHeight="false" outlineLevel="0" collapsed="false">
      <c r="A211" s="7" t="str">
        <f aca="false">Customers!$A211</f>
        <v>NG-10019</v>
      </c>
      <c r="B211" s="7" t="str">
        <f aca="false">Customers!$B211</f>
        <v>Personal</v>
      </c>
      <c r="C211" s="8" t="n">
        <f aca="false">INDEX(Mapping!$C$2:$C$99,MATCH(C$1&amp;"|"&amp;Customers!C211,Mapping!$D$2:$D$99,0))</f>
        <v>1</v>
      </c>
      <c r="D211" s="8" t="n">
        <f aca="false">INDEX(Mapping!$C$2:$C$99,MATCH(D$1&amp;"|"&amp;Customers!D211,Mapping!$D$2:$D$99,0))</f>
        <v>1</v>
      </c>
      <c r="E211" s="8" t="n">
        <f aca="false">INDEX(Mapping!$C$2:$C$99,MATCH(E$1&amp;"|"&amp;Customers!E211,Mapping!$D$2:$D$99,0))</f>
        <v>3</v>
      </c>
      <c r="F211" s="8" t="n">
        <f aca="false">INDEX(Mapping!$C$2:$C$99,MATCH(F$1&amp;"|"&amp;Customers!F211,Mapping!$D$2:$D$99,0))</f>
        <v>1</v>
      </c>
      <c r="G211" s="8" t="n">
        <f aca="false">INDEX(Mapping!$C$2:$C$99,MATCH(G$1&amp;"|"&amp;Customers!G211,Mapping!$D$2:$D$99,0))</f>
        <v>1</v>
      </c>
      <c r="H211" s="8" t="n">
        <f aca="false">INDEX(Mapping!$C$2:$C$99,MATCH(H$1&amp;"|"&amp;Customers!H211,Mapping!$D$2:$D$99,0))</f>
        <v>1</v>
      </c>
      <c r="I211" s="8" t="n">
        <f aca="false">INDEX(Mapping!$C$2:$C$99,MATCH(I$1&amp;"|"&amp;Customers!I211,Mapping!$D$2:$D$99,0))</f>
        <v>1</v>
      </c>
      <c r="J211" s="8" t="n">
        <f aca="false">INDEX(Mapping!$C$2:$C$99,MATCH(J$1&amp;"|"&amp;Customers!J211,Mapping!$D$2:$D$99,0))</f>
        <v>1</v>
      </c>
      <c r="K211" s="8" t="n">
        <f aca="false">INDEX(Mapping!$C$2:$C$99,MATCH(K$1&amp;"|"&amp;Customers!K211,Mapping!$D$2:$D$99,0))</f>
        <v>2</v>
      </c>
      <c r="L211" s="8" t="n">
        <f aca="false">INDEX(Mapping!$C$2:$C$99,MATCH(L$1&amp;"|"&amp;Customers!L211,Mapping!$D$2:$D$99,0))</f>
        <v>2</v>
      </c>
      <c r="M211" s="8" t="n">
        <f aca="false">INDEX(Mapping!$C$2:$C$99,MATCH(M$1&amp;"|"&amp;Customers!M211,Mapping!$D$2:$D$99,0))</f>
        <v>1</v>
      </c>
      <c r="N211" s="8" t="n">
        <f aca="false">INDEX(Mapping!$C$2:$C$99,MATCH(N$1&amp;"|"&amp;Customers!N211,Mapping!$D$2:$D$99,0))</f>
        <v>1</v>
      </c>
      <c r="O211" s="8" t="n">
        <f aca="false">INDEX(Mapping!$C$2:$C$99,MATCH(O$1&amp;"|"&amp;Customers!O211,Mapping!$D$2:$D$99,0))</f>
        <v>5</v>
      </c>
      <c r="P211" s="8" t="n">
        <f aca="false">INDEX(Mapping!$C$2:$C$99,MATCH(P$1&amp;"|"&amp;Customers!P211,Mapping!$D$2:$D$99,0))</f>
        <v>3</v>
      </c>
      <c r="Q211" s="8" t="n">
        <f aca="false">INDEX(Mapping!$C$2:$C$99,MATCH(Q$1&amp;"|"&amp;Customers!Q211,Mapping!$D$2:$D$99,0))</f>
        <v>2</v>
      </c>
      <c r="R211" s="8" t="n">
        <f aca="false">INDEX(Mapping!$C$2:$C$99,MATCH(R$1&amp;"|"&amp;Customers!R211,Mapping!$D$2:$D$99,0))</f>
        <v>1</v>
      </c>
      <c r="S211" s="8" t="n">
        <f aca="false">INDEX(Mapping!$C$2:$C$99,MATCH(S$1&amp;"|"&amp;Customers!S211,Mapping!$D$2:$D$99,0))</f>
        <v>4</v>
      </c>
      <c r="T211" s="8" t="n">
        <f aca="false">INDEX(Mapping!$C$2:$C$99,MATCH(T$1&amp;"|"&amp;Customers!T211,Mapping!$D$2:$D$99,0))</f>
        <v>2</v>
      </c>
      <c r="U211" s="8" t="n">
        <f aca="false">INDEX(Mapping!$C$2:$C$99,MATCH(U$1&amp;"|"&amp;Customers!U211,Mapping!$D$2:$D$99,0))</f>
        <v>1</v>
      </c>
      <c r="V211" s="8" t="n">
        <f aca="false">INDEX(Mapping!$C$2:$C$99,MATCH(V$1&amp;"|"&amp;Customers!V211,Mapping!$D$2:$D$99,0))</f>
        <v>1</v>
      </c>
      <c r="W211" s="17" t="n">
        <f aca="false">SUMPRODUCT($C211:$V211,Weights!$C$27:$V$27)</f>
        <v>1.705</v>
      </c>
      <c r="X211" s="18" t="n">
        <f aca="false">ROUND($W211,2)</f>
        <v>1.71</v>
      </c>
      <c r="Y211" s="8" t="str">
        <f aca="false">IF($X211&lt;=2,"Low",IF($X211&lt;=3.49,"Medium","High"))</f>
        <v>Low</v>
      </c>
      <c r="Z211" s="8" t="str">
        <f aca="false">IF(OR($F211&gt;=3,$E211=5,$D211=5,$C211=5,$G211=5,$H211=5,$I211=5,$J211=5,Customers!$W211="Yes"),"Yes","No")</f>
        <v>No</v>
      </c>
      <c r="AA211" s="15" t="str">
        <f aca="false">IF($Z211="Yes","High",$Y211)</f>
        <v>Low</v>
      </c>
      <c r="AB211" s="18" t="n">
        <f aca="false">SUMPRODUCT($C211:$G211,Weights!$C$28:$G$28)</f>
        <v>1.5</v>
      </c>
      <c r="AC211" s="18" t="n">
        <f aca="false">SUMPRODUCT($H211:$J211,Weights!$H$28:$J$28)</f>
        <v>1</v>
      </c>
      <c r="AD211" s="18" t="n">
        <f aca="false">SUMPRODUCT($K211:$N211,Weights!$K$28:$N$28)</f>
        <v>1.6</v>
      </c>
      <c r="AE211" s="18" t="n">
        <f aca="false">SUMPRODUCT($O211:$Q211,Weights!$O$28:$Q$28)</f>
        <v>3.7</v>
      </c>
      <c r="AF211" s="18" t="n">
        <f aca="false">SUMPRODUCT($R211:$V211,Weights!$R$28:$V$28)</f>
        <v>2.1</v>
      </c>
      <c r="AH211" s="18" t="n">
        <f aca="false">SUMPRODUCT($AB211:$AF211,Validation!$D$7:$H$7)</f>
        <v>1.7342857142867</v>
      </c>
      <c r="AI211" s="18" t="n">
        <f aca="false">SUMPRODUCT($AB211:$AF211,Validation!$D$8:$H$8)</f>
        <v>1.6757142857133</v>
      </c>
      <c r="AJ211" s="18" t="n">
        <f aca="false">SUMPRODUCT($AB211:$AF211,Validation!$D$9:$H$9)</f>
        <v>1.7989999999993</v>
      </c>
      <c r="AK211" s="18" t="n">
        <f aca="false">SUMPRODUCT($AB211:$AF211,Validation!$D$10:$H$10)</f>
        <v>1.6110000000007</v>
      </c>
      <c r="AL211" s="18" t="n">
        <f aca="false">SUMPRODUCT($AB211:$AF211,Validation!$D$11:$H$11)</f>
        <v>1.718125</v>
      </c>
      <c r="AM211" s="18" t="n">
        <f aca="false">SUMPRODUCT($AB211:$AF211,Validation!$D$12:$H$12)</f>
        <v>1.691875</v>
      </c>
      <c r="AN211" s="18" t="n">
        <f aca="false">SUMPRODUCT($AB211:$AF211,Validation!$D$13:$H$13)</f>
        <v>1.4833333333334</v>
      </c>
      <c r="AO211" s="18" t="n">
        <f aca="false">SUMPRODUCT($AB211:$AF211,Validation!$D$14:$H$14)</f>
        <v>1.9266666666666</v>
      </c>
      <c r="AP211" s="18" t="n">
        <f aca="false">SUMPRODUCT($AB211:$AF211,Validation!$D$15:$H$15)</f>
        <v>1.6585294117639</v>
      </c>
      <c r="AQ211" s="18" t="n">
        <f aca="false">SUMPRODUCT($AB211:$AF211,Validation!$D$16:$H$16)</f>
        <v>1.7514705882361</v>
      </c>
      <c r="AR211" s="8" t="n">
        <f aca="false">COUNTIF($C211:$V211,"&gt;=4")</f>
        <v>2</v>
      </c>
      <c r="AS211" s="8" t="str">
        <f aca="false">IF($X211&lt;=1.6,"Low",IF($X211&lt;=2.2,"Medium","High"))</f>
        <v>Medium</v>
      </c>
      <c r="AT211" s="8" t="str">
        <f aca="false">IF($AR211=0,"Low",IF($AR211&lt;3,"Medium","High"))</f>
        <v>Medium</v>
      </c>
      <c r="AU211" s="8" t="str">
        <f aca="false">IF(OR($AS211="High",$AT211="High"),"High",IF(OR($AS211="Medium",$AT211="Medium"),"Medium","Low"))</f>
        <v>Medium</v>
      </c>
      <c r="AV211" s="15" t="str">
        <f aca="false">IF($Z211="Yes","High",$AU211)</f>
        <v>Medium</v>
      </c>
    </row>
    <row r="212" customFormat="false" ht="15" hidden="false" customHeight="false" outlineLevel="0" collapsed="false">
      <c r="A212" s="7" t="str">
        <f aca="false">Customers!$A212</f>
        <v>NG-10361</v>
      </c>
      <c r="B212" s="7" t="str">
        <f aca="false">Customers!$B212</f>
        <v>Limited company</v>
      </c>
      <c r="C212" s="8" t="n">
        <f aca="false">INDEX(Mapping!$C$2:$C$99,MATCH(C$1&amp;"|"&amp;Customers!C212,Mapping!$D$2:$D$99,0))</f>
        <v>3</v>
      </c>
      <c r="D212" s="8" t="n">
        <f aca="false">INDEX(Mapping!$C$2:$C$99,MATCH(D$1&amp;"|"&amp;Customers!D212,Mapping!$D$2:$D$99,0))</f>
        <v>2</v>
      </c>
      <c r="E212" s="8" t="n">
        <f aca="false">INDEX(Mapping!$C$2:$C$99,MATCH(E$1&amp;"|"&amp;Customers!E212,Mapping!$D$2:$D$99,0))</f>
        <v>2</v>
      </c>
      <c r="F212" s="8" t="n">
        <f aca="false">INDEX(Mapping!$C$2:$C$99,MATCH(F$1&amp;"|"&amp;Customers!F212,Mapping!$D$2:$D$99,0))</f>
        <v>1</v>
      </c>
      <c r="G212" s="8" t="n">
        <f aca="false">INDEX(Mapping!$C$2:$C$99,MATCH(G$1&amp;"|"&amp;Customers!G212,Mapping!$D$2:$D$99,0))</f>
        <v>1</v>
      </c>
      <c r="H212" s="8" t="n">
        <f aca="false">INDEX(Mapping!$C$2:$C$99,MATCH(H$1&amp;"|"&amp;Customers!H212,Mapping!$D$2:$D$99,0))</f>
        <v>1</v>
      </c>
      <c r="I212" s="8" t="n">
        <f aca="false">INDEX(Mapping!$C$2:$C$99,MATCH(I$1&amp;"|"&amp;Customers!I212,Mapping!$D$2:$D$99,0))</f>
        <v>1</v>
      </c>
      <c r="J212" s="8" t="n">
        <f aca="false">INDEX(Mapping!$C$2:$C$99,MATCH(J$1&amp;"|"&amp;Customers!J212,Mapping!$D$2:$D$99,0))</f>
        <v>1</v>
      </c>
      <c r="K212" s="8" t="n">
        <f aca="false">INDEX(Mapping!$C$2:$C$99,MATCH(K$1&amp;"|"&amp;Customers!K212,Mapping!$D$2:$D$99,0))</f>
        <v>5</v>
      </c>
      <c r="L212" s="8" t="n">
        <f aca="false">INDEX(Mapping!$C$2:$C$99,MATCH(L$1&amp;"|"&amp;Customers!L212,Mapping!$D$2:$D$99,0))</f>
        <v>4</v>
      </c>
      <c r="M212" s="8" t="n">
        <f aca="false">INDEX(Mapping!$C$2:$C$99,MATCH(M$1&amp;"|"&amp;Customers!M212,Mapping!$D$2:$D$99,0))</f>
        <v>3</v>
      </c>
      <c r="N212" s="8" t="n">
        <f aca="false">INDEX(Mapping!$C$2:$C$99,MATCH(N$1&amp;"|"&amp;Customers!N212,Mapping!$D$2:$D$99,0))</f>
        <v>1</v>
      </c>
      <c r="O212" s="8" t="n">
        <f aca="false">INDEX(Mapping!$C$2:$C$99,MATCH(O$1&amp;"|"&amp;Customers!O212,Mapping!$D$2:$D$99,0))</f>
        <v>3</v>
      </c>
      <c r="P212" s="8" t="n">
        <f aca="false">INDEX(Mapping!$C$2:$C$99,MATCH(P$1&amp;"|"&amp;Customers!P212,Mapping!$D$2:$D$99,0))</f>
        <v>3</v>
      </c>
      <c r="Q212" s="8" t="n">
        <f aca="false">INDEX(Mapping!$C$2:$C$99,MATCH(Q$1&amp;"|"&amp;Customers!Q212,Mapping!$D$2:$D$99,0))</f>
        <v>2</v>
      </c>
      <c r="R212" s="8" t="n">
        <f aca="false">INDEX(Mapping!$C$2:$C$99,MATCH(R$1&amp;"|"&amp;Customers!R212,Mapping!$D$2:$D$99,0))</f>
        <v>2</v>
      </c>
      <c r="S212" s="8" t="n">
        <f aca="false">INDEX(Mapping!$C$2:$C$99,MATCH(S$1&amp;"|"&amp;Customers!S212,Mapping!$D$2:$D$99,0))</f>
        <v>2</v>
      </c>
      <c r="T212" s="8" t="n">
        <f aca="false">INDEX(Mapping!$C$2:$C$99,MATCH(T$1&amp;"|"&amp;Customers!T212,Mapping!$D$2:$D$99,0))</f>
        <v>1</v>
      </c>
      <c r="U212" s="8" t="n">
        <f aca="false">INDEX(Mapping!$C$2:$C$99,MATCH(U$1&amp;"|"&amp;Customers!U212,Mapping!$D$2:$D$99,0))</f>
        <v>4</v>
      </c>
      <c r="V212" s="8" t="n">
        <f aca="false">INDEX(Mapping!$C$2:$C$99,MATCH(V$1&amp;"|"&amp;Customers!V212,Mapping!$D$2:$D$99,0))</f>
        <v>1</v>
      </c>
      <c r="W212" s="17" t="n">
        <f aca="false">SUMPRODUCT($C212:$V212,Weights!$C$27:$V$27)</f>
        <v>2.115</v>
      </c>
      <c r="X212" s="18" t="n">
        <f aca="false">ROUND($W212,2)</f>
        <v>2.12</v>
      </c>
      <c r="Y212" s="8" t="str">
        <f aca="false">IF($X212&lt;=2,"Low",IF($X212&lt;=3.49,"Medium","High"))</f>
        <v>Medium</v>
      </c>
      <c r="Z212" s="8" t="str">
        <f aca="false">IF(OR($F212&gt;=3,$E212=5,$D212=5,$C212=5,$G212=5,$H212=5,$I212=5,$J212=5,Customers!$W212="Yes"),"Yes","No")</f>
        <v>No</v>
      </c>
      <c r="AA212" s="15" t="str">
        <f aca="false">IF($Z212="Yes","High",$Y212)</f>
        <v>Medium</v>
      </c>
      <c r="AB212" s="18" t="n">
        <f aca="false">SUMPRODUCT($C212:$G212,Weights!$C$28:$G$28)</f>
        <v>1.85</v>
      </c>
      <c r="AC212" s="18" t="n">
        <f aca="false">SUMPRODUCT($H212:$J212,Weights!$H$28:$J$28)</f>
        <v>1</v>
      </c>
      <c r="AD212" s="18" t="n">
        <f aca="false">SUMPRODUCT($K212:$N212,Weights!$K$28:$N$28)</f>
        <v>3.65</v>
      </c>
      <c r="AE212" s="18" t="n">
        <f aca="false">SUMPRODUCT($O212:$Q212,Weights!$O$28:$Q$28)</f>
        <v>2.8</v>
      </c>
      <c r="AF212" s="18" t="n">
        <f aca="false">SUMPRODUCT($R212:$V212,Weights!$R$28:$V$28)</f>
        <v>2</v>
      </c>
      <c r="AH212" s="18" t="n">
        <f aca="false">SUMPRODUCT($AB212:$AF212,Validation!$D$7:$H$7)</f>
        <v>2.15285714285695</v>
      </c>
      <c r="AI212" s="18" t="n">
        <f aca="false">SUMPRODUCT($AB212:$AF212,Validation!$D$8:$H$8)</f>
        <v>2.07714285714305</v>
      </c>
      <c r="AJ212" s="18" t="n">
        <f aca="false">SUMPRODUCT($AB212:$AF212,Validation!$D$9:$H$9)</f>
        <v>2.26366666666695</v>
      </c>
      <c r="AK212" s="18" t="n">
        <f aca="false">SUMPRODUCT($AB212:$AF212,Validation!$D$10:$H$10)</f>
        <v>1.96633333333305</v>
      </c>
      <c r="AL212" s="18" t="n">
        <f aca="false">SUMPRODUCT($AB212:$AF212,Validation!$D$11:$H$11)</f>
        <v>1.923125</v>
      </c>
      <c r="AM212" s="18" t="n">
        <f aca="false">SUMPRODUCT($AB212:$AF212,Validation!$D$12:$H$12)</f>
        <v>2.306875</v>
      </c>
      <c r="AN212" s="18" t="n">
        <f aca="false">SUMPRODUCT($AB212:$AF212,Validation!$D$13:$H$13)</f>
        <v>2.03888888888835</v>
      </c>
      <c r="AO212" s="18" t="n">
        <f aca="false">SUMPRODUCT($AB212:$AF212,Validation!$D$14:$H$14)</f>
        <v>2.19111111111165</v>
      </c>
      <c r="AP212" s="18" t="n">
        <f aca="false">SUMPRODUCT($AB212:$AF212,Validation!$D$15:$H$15)</f>
        <v>2.1285294117648</v>
      </c>
      <c r="AQ212" s="18" t="n">
        <f aca="false">SUMPRODUCT($AB212:$AF212,Validation!$D$16:$H$16)</f>
        <v>2.1014705882352</v>
      </c>
      <c r="AR212" s="8" t="n">
        <f aca="false">COUNTIF($C212:$V212,"&gt;=4")</f>
        <v>3</v>
      </c>
      <c r="AS212" s="8" t="str">
        <f aca="false">IF($X212&lt;=1.6,"Low",IF($X212&lt;=2.2,"Medium","High"))</f>
        <v>Medium</v>
      </c>
      <c r="AT212" s="8" t="str">
        <f aca="false">IF($AR212=0,"Low",IF($AR212&lt;3,"Medium","High"))</f>
        <v>High</v>
      </c>
      <c r="AU212" s="8" t="str">
        <f aca="false">IF(OR($AS212="High",$AT212="High"),"High",IF(OR($AS212="Medium",$AT212="Medium"),"Medium","Low"))</f>
        <v>High</v>
      </c>
      <c r="AV212" s="15" t="str">
        <f aca="false">IF($Z212="Yes","High",$AU212)</f>
        <v>High</v>
      </c>
    </row>
    <row r="213" customFormat="false" ht="15" hidden="false" customHeight="false" outlineLevel="0" collapsed="false">
      <c r="A213" s="7" t="str">
        <f aca="false">Customers!$A213</f>
        <v>NG-10333</v>
      </c>
      <c r="B213" s="7" t="str">
        <f aca="false">Customers!$B213</f>
        <v>Sole trader</v>
      </c>
      <c r="C213" s="8" t="n">
        <f aca="false">INDEX(Mapping!$C$2:$C$99,MATCH(C$1&amp;"|"&amp;Customers!C213,Mapping!$D$2:$D$99,0))</f>
        <v>2</v>
      </c>
      <c r="D213" s="8" t="n">
        <f aca="false">INDEX(Mapping!$C$2:$C$99,MATCH(D$1&amp;"|"&amp;Customers!D213,Mapping!$D$2:$D$99,0))</f>
        <v>1</v>
      </c>
      <c r="E213" s="8" t="n">
        <f aca="false">INDEX(Mapping!$C$2:$C$99,MATCH(E$1&amp;"|"&amp;Customers!E213,Mapping!$D$2:$D$99,0))</f>
        <v>4</v>
      </c>
      <c r="F213" s="8" t="n">
        <f aca="false">INDEX(Mapping!$C$2:$C$99,MATCH(F$1&amp;"|"&amp;Customers!F213,Mapping!$D$2:$D$99,0))</f>
        <v>1</v>
      </c>
      <c r="G213" s="8" t="n">
        <f aca="false">INDEX(Mapping!$C$2:$C$99,MATCH(G$1&amp;"|"&amp;Customers!G213,Mapping!$D$2:$D$99,0))</f>
        <v>1</v>
      </c>
      <c r="H213" s="8" t="n">
        <f aca="false">INDEX(Mapping!$C$2:$C$99,MATCH(H$1&amp;"|"&amp;Customers!H213,Mapping!$D$2:$D$99,0))</f>
        <v>1</v>
      </c>
      <c r="I213" s="8" t="n">
        <f aca="false">INDEX(Mapping!$C$2:$C$99,MATCH(I$1&amp;"|"&amp;Customers!I213,Mapping!$D$2:$D$99,0))</f>
        <v>1</v>
      </c>
      <c r="J213" s="8" t="n">
        <f aca="false">INDEX(Mapping!$C$2:$C$99,MATCH(J$1&amp;"|"&amp;Customers!J213,Mapping!$D$2:$D$99,0))</f>
        <v>1</v>
      </c>
      <c r="K213" s="8" t="n">
        <f aca="false">INDEX(Mapping!$C$2:$C$99,MATCH(K$1&amp;"|"&amp;Customers!K213,Mapping!$D$2:$D$99,0))</f>
        <v>5</v>
      </c>
      <c r="L213" s="8" t="n">
        <f aca="false">INDEX(Mapping!$C$2:$C$99,MATCH(L$1&amp;"|"&amp;Customers!L213,Mapping!$D$2:$D$99,0))</f>
        <v>5</v>
      </c>
      <c r="M213" s="8" t="n">
        <f aca="false">INDEX(Mapping!$C$2:$C$99,MATCH(M$1&amp;"|"&amp;Customers!M213,Mapping!$D$2:$D$99,0))</f>
        <v>3</v>
      </c>
      <c r="N213" s="8" t="n">
        <f aca="false">INDEX(Mapping!$C$2:$C$99,MATCH(N$1&amp;"|"&amp;Customers!N213,Mapping!$D$2:$D$99,0))</f>
        <v>1</v>
      </c>
      <c r="O213" s="8" t="n">
        <f aca="false">INDEX(Mapping!$C$2:$C$99,MATCH(O$1&amp;"|"&amp;Customers!O213,Mapping!$D$2:$D$99,0))</f>
        <v>1</v>
      </c>
      <c r="P213" s="8" t="n">
        <f aca="false">INDEX(Mapping!$C$2:$C$99,MATCH(P$1&amp;"|"&amp;Customers!P213,Mapping!$D$2:$D$99,0))</f>
        <v>4</v>
      </c>
      <c r="Q213" s="8" t="n">
        <f aca="false">INDEX(Mapping!$C$2:$C$99,MATCH(Q$1&amp;"|"&amp;Customers!Q213,Mapping!$D$2:$D$99,0))</f>
        <v>1</v>
      </c>
      <c r="R213" s="8" t="n">
        <f aca="false">INDEX(Mapping!$C$2:$C$99,MATCH(R$1&amp;"|"&amp;Customers!R213,Mapping!$D$2:$D$99,0))</f>
        <v>2</v>
      </c>
      <c r="S213" s="8" t="n">
        <f aca="false">INDEX(Mapping!$C$2:$C$99,MATCH(S$1&amp;"|"&amp;Customers!S213,Mapping!$D$2:$D$99,0))</f>
        <v>4</v>
      </c>
      <c r="T213" s="8" t="n">
        <f aca="false">INDEX(Mapping!$C$2:$C$99,MATCH(T$1&amp;"|"&amp;Customers!T213,Mapping!$D$2:$D$99,0))</f>
        <v>1</v>
      </c>
      <c r="U213" s="8" t="n">
        <f aca="false">INDEX(Mapping!$C$2:$C$99,MATCH(U$1&amp;"|"&amp;Customers!U213,Mapping!$D$2:$D$99,0))</f>
        <v>4</v>
      </c>
      <c r="V213" s="8" t="n">
        <f aca="false">INDEX(Mapping!$C$2:$C$99,MATCH(V$1&amp;"|"&amp;Customers!V213,Mapping!$D$2:$D$99,0))</f>
        <v>1</v>
      </c>
      <c r="W213" s="17" t="n">
        <f aca="false">SUMPRODUCT($C213:$V213,Weights!$C$27:$V$27)</f>
        <v>2.21</v>
      </c>
      <c r="X213" s="18" t="n">
        <f aca="false">ROUND($W213,2)</f>
        <v>2.21</v>
      </c>
      <c r="Y213" s="8" t="str">
        <f aca="false">IF($X213&lt;=2,"Low",IF($X213&lt;=3.49,"Medium","High"))</f>
        <v>Medium</v>
      </c>
      <c r="Z213" s="8" t="str">
        <f aca="false">IF(OR($F213&gt;=3,$E213=5,$D213=5,$C213=5,$G213=5,$H213=5,$I213=5,$J213=5,Customers!$W213="Yes"),"Yes","No")</f>
        <v>No</v>
      </c>
      <c r="AA213" s="15" t="str">
        <f aca="false">IF($Z213="Yes","High",$Y213)</f>
        <v>Medium</v>
      </c>
      <c r="AB213" s="18" t="n">
        <f aca="false">SUMPRODUCT($C213:$G213,Weights!$C$28:$G$28)</f>
        <v>1.95</v>
      </c>
      <c r="AC213" s="18" t="n">
        <f aca="false">SUMPRODUCT($H213:$J213,Weights!$H$28:$J$28)</f>
        <v>1</v>
      </c>
      <c r="AD213" s="18" t="n">
        <f aca="false">SUMPRODUCT($K213:$N213,Weights!$K$28:$N$28)</f>
        <v>3.9</v>
      </c>
      <c r="AE213" s="18" t="n">
        <f aca="false">SUMPRODUCT($O213:$Q213,Weights!$O$28:$Q$28)</f>
        <v>2.05</v>
      </c>
      <c r="AF213" s="18" t="n">
        <f aca="false">SUMPRODUCT($R213:$V213,Weights!$R$28:$V$28)</f>
        <v>2.6</v>
      </c>
      <c r="AH213" s="18" t="n">
        <f aca="false">SUMPRODUCT($AB213:$AF213,Validation!$D$7:$H$7)</f>
        <v>2.2471428571426</v>
      </c>
      <c r="AI213" s="18" t="n">
        <f aca="false">SUMPRODUCT($AB213:$AF213,Validation!$D$8:$H$8)</f>
        <v>2.1728571428574</v>
      </c>
      <c r="AJ213" s="18" t="n">
        <f aca="false">SUMPRODUCT($AB213:$AF213,Validation!$D$9:$H$9)</f>
        <v>2.37133333333395</v>
      </c>
      <c r="AK213" s="18" t="n">
        <f aca="false">SUMPRODUCT($AB213:$AF213,Validation!$D$10:$H$10)</f>
        <v>2.04866666666605</v>
      </c>
      <c r="AL213" s="18" t="n">
        <f aca="false">SUMPRODUCT($AB213:$AF213,Validation!$D$11:$H$11)</f>
        <v>1.99875</v>
      </c>
      <c r="AM213" s="18" t="n">
        <f aca="false">SUMPRODUCT($AB213:$AF213,Validation!$D$12:$H$12)</f>
        <v>2.42125</v>
      </c>
      <c r="AN213" s="18" t="n">
        <f aca="false">SUMPRODUCT($AB213:$AF213,Validation!$D$13:$H$13)</f>
        <v>2.22777777777735</v>
      </c>
      <c r="AO213" s="18" t="n">
        <f aca="false">SUMPRODUCT($AB213:$AF213,Validation!$D$14:$H$14)</f>
        <v>2.19222222222265</v>
      </c>
      <c r="AP213" s="18" t="n">
        <f aca="false">SUMPRODUCT($AB213:$AF213,Validation!$D$15:$H$15)</f>
        <v>2.16411764705925</v>
      </c>
      <c r="AQ213" s="18" t="n">
        <f aca="false">SUMPRODUCT($AB213:$AF213,Validation!$D$16:$H$16)</f>
        <v>2.25588235294075</v>
      </c>
      <c r="AR213" s="8" t="n">
        <f aca="false">COUNTIF($C213:$V213,"&gt;=4")</f>
        <v>6</v>
      </c>
      <c r="AS213" s="8" t="str">
        <f aca="false">IF($X213&lt;=1.6,"Low",IF($X213&lt;=2.2,"Medium","High"))</f>
        <v>High</v>
      </c>
      <c r="AT213" s="8" t="str">
        <f aca="false">IF($AR213=0,"Low",IF($AR213&lt;3,"Medium","High"))</f>
        <v>High</v>
      </c>
      <c r="AU213" s="8" t="str">
        <f aca="false">IF(OR($AS213="High",$AT213="High"),"High",IF(OR($AS213="Medium",$AT213="Medium"),"Medium","Low"))</f>
        <v>High</v>
      </c>
      <c r="AV213" s="15" t="str">
        <f aca="false">IF($Z213="Yes","High",$AU213)</f>
        <v>High</v>
      </c>
    </row>
    <row r="214" customFormat="false" ht="15" hidden="false" customHeight="false" outlineLevel="0" collapsed="false">
      <c r="A214" s="7" t="str">
        <f aca="false">Customers!$A214</f>
        <v>NG-10245</v>
      </c>
      <c r="B214" s="7" t="str">
        <f aca="false">Customers!$B214</f>
        <v>Personal</v>
      </c>
      <c r="C214" s="8" t="n">
        <f aca="false">INDEX(Mapping!$C$2:$C$99,MATCH(C$1&amp;"|"&amp;Customers!C214,Mapping!$D$2:$D$99,0))</f>
        <v>1</v>
      </c>
      <c r="D214" s="8" t="n">
        <f aca="false">INDEX(Mapping!$C$2:$C$99,MATCH(D$1&amp;"|"&amp;Customers!D214,Mapping!$D$2:$D$99,0))</f>
        <v>1</v>
      </c>
      <c r="E214" s="8" t="n">
        <f aca="false">INDEX(Mapping!$C$2:$C$99,MATCH(E$1&amp;"|"&amp;Customers!E214,Mapping!$D$2:$D$99,0))</f>
        <v>3</v>
      </c>
      <c r="F214" s="8" t="n">
        <f aca="false">INDEX(Mapping!$C$2:$C$99,MATCH(F$1&amp;"|"&amp;Customers!F214,Mapping!$D$2:$D$99,0))</f>
        <v>1</v>
      </c>
      <c r="G214" s="8" t="n">
        <f aca="false">INDEX(Mapping!$C$2:$C$99,MATCH(G$1&amp;"|"&amp;Customers!G214,Mapping!$D$2:$D$99,0))</f>
        <v>4</v>
      </c>
      <c r="H214" s="8" t="n">
        <f aca="false">INDEX(Mapping!$C$2:$C$99,MATCH(H$1&amp;"|"&amp;Customers!H214,Mapping!$D$2:$D$99,0))</f>
        <v>1</v>
      </c>
      <c r="I214" s="8" t="n">
        <f aca="false">INDEX(Mapping!$C$2:$C$99,MATCH(I$1&amp;"|"&amp;Customers!I214,Mapping!$D$2:$D$99,0))</f>
        <v>1</v>
      </c>
      <c r="J214" s="8" t="n">
        <f aca="false">INDEX(Mapping!$C$2:$C$99,MATCH(J$1&amp;"|"&amp;Customers!J214,Mapping!$D$2:$D$99,0))</f>
        <v>1</v>
      </c>
      <c r="K214" s="8" t="n">
        <f aca="false">INDEX(Mapping!$C$2:$C$99,MATCH(K$1&amp;"|"&amp;Customers!K214,Mapping!$D$2:$D$99,0))</f>
        <v>3</v>
      </c>
      <c r="L214" s="8" t="n">
        <f aca="false">INDEX(Mapping!$C$2:$C$99,MATCH(L$1&amp;"|"&amp;Customers!L214,Mapping!$D$2:$D$99,0))</f>
        <v>3</v>
      </c>
      <c r="M214" s="8" t="n">
        <f aca="false">INDEX(Mapping!$C$2:$C$99,MATCH(M$1&amp;"|"&amp;Customers!M214,Mapping!$D$2:$D$99,0))</f>
        <v>1</v>
      </c>
      <c r="N214" s="8" t="n">
        <f aca="false">INDEX(Mapping!$C$2:$C$99,MATCH(N$1&amp;"|"&amp;Customers!N214,Mapping!$D$2:$D$99,0))</f>
        <v>1</v>
      </c>
      <c r="O214" s="8" t="n">
        <f aca="false">INDEX(Mapping!$C$2:$C$99,MATCH(O$1&amp;"|"&amp;Customers!O214,Mapping!$D$2:$D$99,0))</f>
        <v>3</v>
      </c>
      <c r="P214" s="8" t="n">
        <f aca="false">INDEX(Mapping!$C$2:$C$99,MATCH(P$1&amp;"|"&amp;Customers!P214,Mapping!$D$2:$D$99,0))</f>
        <v>4</v>
      </c>
      <c r="Q214" s="8" t="n">
        <f aca="false">INDEX(Mapping!$C$2:$C$99,MATCH(Q$1&amp;"|"&amp;Customers!Q214,Mapping!$D$2:$D$99,0))</f>
        <v>4</v>
      </c>
      <c r="R214" s="8" t="n">
        <f aca="false">INDEX(Mapping!$C$2:$C$99,MATCH(R$1&amp;"|"&amp;Customers!R214,Mapping!$D$2:$D$99,0))</f>
        <v>3</v>
      </c>
      <c r="S214" s="8" t="n">
        <f aca="false">INDEX(Mapping!$C$2:$C$99,MATCH(S$1&amp;"|"&amp;Customers!S214,Mapping!$D$2:$D$99,0))</f>
        <v>2</v>
      </c>
      <c r="T214" s="8" t="n">
        <f aca="false">INDEX(Mapping!$C$2:$C$99,MATCH(T$1&amp;"|"&amp;Customers!T214,Mapping!$D$2:$D$99,0))</f>
        <v>1</v>
      </c>
      <c r="U214" s="8" t="n">
        <f aca="false">INDEX(Mapping!$C$2:$C$99,MATCH(U$1&amp;"|"&amp;Customers!U214,Mapping!$D$2:$D$99,0))</f>
        <v>1</v>
      </c>
      <c r="V214" s="8" t="n">
        <f aca="false">INDEX(Mapping!$C$2:$C$99,MATCH(V$1&amp;"|"&amp;Customers!V214,Mapping!$D$2:$D$99,0))</f>
        <v>2</v>
      </c>
      <c r="W214" s="17" t="n">
        <f aca="false">SUMPRODUCT($C214:$V214,Weights!$C$27:$V$27)</f>
        <v>1.915</v>
      </c>
      <c r="X214" s="18" t="n">
        <f aca="false">ROUND($W214,2)</f>
        <v>1.92</v>
      </c>
      <c r="Y214" s="8" t="str">
        <f aca="false">IF($X214&lt;=2,"Low",IF($X214&lt;=3.49,"Medium","High"))</f>
        <v>Low</v>
      </c>
      <c r="Z214" s="8" t="str">
        <f aca="false">IF(OR($F214&gt;=3,$E214=5,$D214=5,$C214=5,$G214=5,$H214=5,$I214=5,$J214=5,Customers!$W214="Yes"),"Yes","No")</f>
        <v>No</v>
      </c>
      <c r="AA214" s="15" t="str">
        <f aca="false">IF($Z214="Yes","High",$Y214)</f>
        <v>Low</v>
      </c>
      <c r="AB214" s="18" t="n">
        <f aca="false">SUMPRODUCT($C214:$G214,Weights!$C$28:$G$28)</f>
        <v>1.95</v>
      </c>
      <c r="AC214" s="18" t="n">
        <f aca="false">SUMPRODUCT($H214:$J214,Weights!$H$28:$J$28)</f>
        <v>1</v>
      </c>
      <c r="AD214" s="18" t="n">
        <f aca="false">SUMPRODUCT($K214:$N214,Weights!$K$28:$N$28)</f>
        <v>2.2</v>
      </c>
      <c r="AE214" s="18" t="n">
        <f aca="false">SUMPRODUCT($O214:$Q214,Weights!$O$28:$Q$28)</f>
        <v>3.55</v>
      </c>
      <c r="AF214" s="18" t="n">
        <f aca="false">SUMPRODUCT($R214:$V214,Weights!$R$28:$V$28)</f>
        <v>1.9</v>
      </c>
      <c r="AH214" s="18" t="n">
        <f aca="false">SUMPRODUCT($AB214:$AF214,Validation!$D$7:$H$7)</f>
        <v>1.9100000000006</v>
      </c>
      <c r="AI214" s="18" t="n">
        <f aca="false">SUMPRODUCT($AB214:$AF214,Validation!$D$8:$H$8)</f>
        <v>1.9199999999994</v>
      </c>
      <c r="AJ214" s="18" t="n">
        <f aca="false">SUMPRODUCT($AB214:$AF214,Validation!$D$9:$H$9)</f>
        <v>2.03699999999955</v>
      </c>
      <c r="AK214" s="18" t="n">
        <f aca="false">SUMPRODUCT($AB214:$AF214,Validation!$D$10:$H$10)</f>
        <v>1.79300000000045</v>
      </c>
      <c r="AL214" s="18" t="n">
        <f aca="false">SUMPRODUCT($AB214:$AF214,Validation!$D$11:$H$11)</f>
        <v>1.879375</v>
      </c>
      <c r="AM214" s="18" t="n">
        <f aca="false">SUMPRODUCT($AB214:$AF214,Validation!$D$12:$H$12)</f>
        <v>1.950625</v>
      </c>
      <c r="AN214" s="18" t="n">
        <f aca="false">SUMPRODUCT($AB214:$AF214,Validation!$D$13:$H$13)</f>
        <v>1.73333333333305</v>
      </c>
      <c r="AO214" s="18" t="n">
        <f aca="false">SUMPRODUCT($AB214:$AF214,Validation!$D$14:$H$14)</f>
        <v>2.09666666666695</v>
      </c>
      <c r="AP214" s="18" t="n">
        <f aca="false">SUMPRODUCT($AB214:$AF214,Validation!$D$15:$H$15)</f>
        <v>1.91676470588175</v>
      </c>
      <c r="AQ214" s="18" t="n">
        <f aca="false">SUMPRODUCT($AB214:$AF214,Validation!$D$16:$H$16)</f>
        <v>1.91323529411825</v>
      </c>
      <c r="AR214" s="8" t="n">
        <f aca="false">COUNTIF($C214:$V214,"&gt;=4")</f>
        <v>3</v>
      </c>
      <c r="AS214" s="8" t="str">
        <f aca="false">IF($X214&lt;=1.6,"Low",IF($X214&lt;=2.2,"Medium","High"))</f>
        <v>Medium</v>
      </c>
      <c r="AT214" s="8" t="str">
        <f aca="false">IF($AR214=0,"Low",IF($AR214&lt;3,"Medium","High"))</f>
        <v>High</v>
      </c>
      <c r="AU214" s="8" t="str">
        <f aca="false">IF(OR($AS214="High",$AT214="High"),"High",IF(OR($AS214="Medium",$AT214="Medium"),"Medium","Low"))</f>
        <v>High</v>
      </c>
      <c r="AV214" s="15" t="str">
        <f aca="false">IF($Z214="Yes","High",$AU214)</f>
        <v>High</v>
      </c>
    </row>
    <row r="215" customFormat="false" ht="15" hidden="false" customHeight="false" outlineLevel="0" collapsed="false">
      <c r="A215" s="7" t="str">
        <f aca="false">Customers!$A215</f>
        <v>NG-10340</v>
      </c>
      <c r="B215" s="7" t="str">
        <f aca="false">Customers!$B215</f>
        <v>Sole trader</v>
      </c>
      <c r="C215" s="8" t="n">
        <f aca="false">INDEX(Mapping!$C$2:$C$99,MATCH(C$1&amp;"|"&amp;Customers!C215,Mapping!$D$2:$D$99,0))</f>
        <v>2</v>
      </c>
      <c r="D215" s="8" t="n">
        <f aca="false">INDEX(Mapping!$C$2:$C$99,MATCH(D$1&amp;"|"&amp;Customers!D215,Mapping!$D$2:$D$99,0))</f>
        <v>1</v>
      </c>
      <c r="E215" s="8" t="n">
        <f aca="false">INDEX(Mapping!$C$2:$C$99,MATCH(E$1&amp;"|"&amp;Customers!E215,Mapping!$D$2:$D$99,0))</f>
        <v>3</v>
      </c>
      <c r="F215" s="8" t="n">
        <f aca="false">INDEX(Mapping!$C$2:$C$99,MATCH(F$1&amp;"|"&amp;Customers!F215,Mapping!$D$2:$D$99,0))</f>
        <v>1</v>
      </c>
      <c r="G215" s="8" t="n">
        <f aca="false">INDEX(Mapping!$C$2:$C$99,MATCH(G$1&amp;"|"&amp;Customers!G215,Mapping!$D$2:$D$99,0))</f>
        <v>4</v>
      </c>
      <c r="H215" s="8" t="n">
        <f aca="false">INDEX(Mapping!$C$2:$C$99,MATCH(H$1&amp;"|"&amp;Customers!H215,Mapping!$D$2:$D$99,0))</f>
        <v>1</v>
      </c>
      <c r="I215" s="8" t="n">
        <f aca="false">INDEX(Mapping!$C$2:$C$99,MATCH(I$1&amp;"|"&amp;Customers!I215,Mapping!$D$2:$D$99,0))</f>
        <v>1</v>
      </c>
      <c r="J215" s="8" t="n">
        <f aca="false">INDEX(Mapping!$C$2:$C$99,MATCH(J$1&amp;"|"&amp;Customers!J215,Mapping!$D$2:$D$99,0))</f>
        <v>2</v>
      </c>
      <c r="K215" s="8" t="n">
        <f aca="false">INDEX(Mapping!$C$2:$C$99,MATCH(K$1&amp;"|"&amp;Customers!K215,Mapping!$D$2:$D$99,0))</f>
        <v>4</v>
      </c>
      <c r="L215" s="8" t="n">
        <f aca="false">INDEX(Mapping!$C$2:$C$99,MATCH(L$1&amp;"|"&amp;Customers!L215,Mapping!$D$2:$D$99,0))</f>
        <v>5</v>
      </c>
      <c r="M215" s="8" t="n">
        <f aca="false">INDEX(Mapping!$C$2:$C$99,MATCH(M$1&amp;"|"&amp;Customers!M215,Mapping!$D$2:$D$99,0))</f>
        <v>5</v>
      </c>
      <c r="N215" s="8" t="n">
        <f aca="false">INDEX(Mapping!$C$2:$C$99,MATCH(N$1&amp;"|"&amp;Customers!N215,Mapping!$D$2:$D$99,0))</f>
        <v>1</v>
      </c>
      <c r="O215" s="8" t="n">
        <f aca="false">INDEX(Mapping!$C$2:$C$99,MATCH(O$1&amp;"|"&amp;Customers!O215,Mapping!$D$2:$D$99,0))</f>
        <v>4</v>
      </c>
      <c r="P215" s="8" t="n">
        <f aca="false">INDEX(Mapping!$C$2:$C$99,MATCH(P$1&amp;"|"&amp;Customers!P215,Mapping!$D$2:$D$99,0))</f>
        <v>3</v>
      </c>
      <c r="Q215" s="8" t="n">
        <f aca="false">INDEX(Mapping!$C$2:$C$99,MATCH(Q$1&amp;"|"&amp;Customers!Q215,Mapping!$D$2:$D$99,0))</f>
        <v>2</v>
      </c>
      <c r="R215" s="8" t="n">
        <f aca="false">INDEX(Mapping!$C$2:$C$99,MATCH(R$1&amp;"|"&amp;Customers!R215,Mapping!$D$2:$D$99,0))</f>
        <v>2</v>
      </c>
      <c r="S215" s="8" t="n">
        <f aca="false">INDEX(Mapping!$C$2:$C$99,MATCH(S$1&amp;"|"&amp;Customers!S215,Mapping!$D$2:$D$99,0))</f>
        <v>3</v>
      </c>
      <c r="T215" s="8" t="n">
        <f aca="false">INDEX(Mapping!$C$2:$C$99,MATCH(T$1&amp;"|"&amp;Customers!T215,Mapping!$D$2:$D$99,0))</f>
        <v>2</v>
      </c>
      <c r="U215" s="8" t="n">
        <f aca="false">INDEX(Mapping!$C$2:$C$99,MATCH(U$1&amp;"|"&amp;Customers!U215,Mapping!$D$2:$D$99,0))</f>
        <v>3</v>
      </c>
      <c r="V215" s="8" t="n">
        <f aca="false">INDEX(Mapping!$C$2:$C$99,MATCH(V$1&amp;"|"&amp;Customers!V215,Mapping!$D$2:$D$99,0))</f>
        <v>1</v>
      </c>
      <c r="W215" s="17" t="n">
        <f aca="false">SUMPRODUCT($C215:$V215,Weights!$C$27:$V$27)</f>
        <v>2.4825</v>
      </c>
      <c r="X215" s="18" t="n">
        <f aca="false">ROUND($W215,2)</f>
        <v>2.48</v>
      </c>
      <c r="Y215" s="8" t="str">
        <f aca="false">IF($X215&lt;=2,"Low",IF($X215&lt;=3.49,"Medium","High"))</f>
        <v>Medium</v>
      </c>
      <c r="Z215" s="8" t="str">
        <f aca="false">IF(OR($F215&gt;=3,$E215=5,$D215=5,$C215=5,$G215=5,$H215=5,$I215=5,$J215=5,Customers!$W215="Yes"),"Yes","No")</f>
        <v>Yes</v>
      </c>
      <c r="AA215" s="15" t="str">
        <f aca="false">IF($Z215="Yes","High",$Y215)</f>
        <v>High</v>
      </c>
      <c r="AB215" s="18" t="n">
        <f aca="false">SUMPRODUCT($C215:$G215,Weights!$C$28:$G$28)</f>
        <v>2.15</v>
      </c>
      <c r="AC215" s="18" t="n">
        <f aca="false">SUMPRODUCT($H215:$J215,Weights!$H$28:$J$28)</f>
        <v>1.4</v>
      </c>
      <c r="AD215" s="18" t="n">
        <f aca="false">SUMPRODUCT($K215:$N215,Weights!$K$28:$N$28)</f>
        <v>4.05</v>
      </c>
      <c r="AE215" s="18" t="n">
        <f aca="false">SUMPRODUCT($O215:$Q215,Weights!$O$28:$Q$28)</f>
        <v>3.25</v>
      </c>
      <c r="AF215" s="18" t="n">
        <f aca="false">SUMPRODUCT($R215:$V215,Weights!$R$28:$V$28)</f>
        <v>2.35</v>
      </c>
      <c r="AH215" s="18" t="n">
        <f aca="false">SUMPRODUCT($AB215:$AF215,Validation!$D$7:$H$7)</f>
        <v>2.5299999999998</v>
      </c>
      <c r="AI215" s="18" t="n">
        <f aca="false">SUMPRODUCT($AB215:$AF215,Validation!$D$8:$H$8)</f>
        <v>2.4350000000002</v>
      </c>
      <c r="AJ215" s="18" t="n">
        <f aca="false">SUMPRODUCT($AB215:$AF215,Validation!$D$9:$H$9)</f>
        <v>2.6268333333336</v>
      </c>
      <c r="AK215" s="18" t="n">
        <f aca="false">SUMPRODUCT($AB215:$AF215,Validation!$D$10:$H$10)</f>
        <v>2.3381666666664</v>
      </c>
      <c r="AL215" s="18" t="n">
        <f aca="false">SUMPRODUCT($AB215:$AF215,Validation!$D$11:$H$11)</f>
        <v>2.2865625</v>
      </c>
      <c r="AM215" s="18" t="n">
        <f aca="false">SUMPRODUCT($AB215:$AF215,Validation!$D$12:$H$12)</f>
        <v>2.6784375</v>
      </c>
      <c r="AN215" s="18" t="n">
        <f aca="false">SUMPRODUCT($AB215:$AF215,Validation!$D$13:$H$13)</f>
        <v>2.3972222222217</v>
      </c>
      <c r="AO215" s="18" t="n">
        <f aca="false">SUMPRODUCT($AB215:$AF215,Validation!$D$14:$H$14)</f>
        <v>2.5677777777783</v>
      </c>
      <c r="AP215" s="18" t="n">
        <f aca="false">SUMPRODUCT($AB215:$AF215,Validation!$D$15:$H$15)</f>
        <v>2.4980882352942</v>
      </c>
      <c r="AQ215" s="18" t="n">
        <f aca="false">SUMPRODUCT($AB215:$AF215,Validation!$D$16:$H$16)</f>
        <v>2.4669117647058</v>
      </c>
      <c r="AR215" s="8" t="n">
        <f aca="false">COUNTIF($C215:$V215,"&gt;=4")</f>
        <v>5</v>
      </c>
      <c r="AS215" s="8" t="str">
        <f aca="false">IF($X215&lt;=1.6,"Low",IF($X215&lt;=2.2,"Medium","High"))</f>
        <v>High</v>
      </c>
      <c r="AT215" s="8" t="str">
        <f aca="false">IF($AR215=0,"Low",IF($AR215&lt;3,"Medium","High"))</f>
        <v>High</v>
      </c>
      <c r="AU215" s="8" t="str">
        <f aca="false">IF(OR($AS215="High",$AT215="High"),"High",IF(OR($AS215="Medium",$AT215="Medium"),"Medium","Low"))</f>
        <v>High</v>
      </c>
      <c r="AV215" s="15" t="str">
        <f aca="false">IF($Z215="Yes","High",$AU215)</f>
        <v>High</v>
      </c>
    </row>
    <row r="216" customFormat="false" ht="15" hidden="false" customHeight="false" outlineLevel="0" collapsed="false">
      <c r="A216" s="7" t="str">
        <f aca="false">Customers!$A216</f>
        <v>NG-10290</v>
      </c>
      <c r="B216" s="7" t="str">
        <f aca="false">Customers!$B216</f>
        <v>Personal</v>
      </c>
      <c r="C216" s="8" t="n">
        <f aca="false">INDEX(Mapping!$C$2:$C$99,MATCH(C$1&amp;"|"&amp;Customers!C216,Mapping!$D$2:$D$99,0))</f>
        <v>1</v>
      </c>
      <c r="D216" s="8" t="n">
        <f aca="false">INDEX(Mapping!$C$2:$C$99,MATCH(D$1&amp;"|"&amp;Customers!D216,Mapping!$D$2:$D$99,0))</f>
        <v>1</v>
      </c>
      <c r="E216" s="8" t="n">
        <f aca="false">INDEX(Mapping!$C$2:$C$99,MATCH(E$1&amp;"|"&amp;Customers!E216,Mapping!$D$2:$D$99,0))</f>
        <v>1</v>
      </c>
      <c r="F216" s="8" t="n">
        <f aca="false">INDEX(Mapping!$C$2:$C$99,MATCH(F$1&amp;"|"&amp;Customers!F216,Mapping!$D$2:$D$99,0))</f>
        <v>1</v>
      </c>
      <c r="G216" s="8" t="n">
        <f aca="false">INDEX(Mapping!$C$2:$C$99,MATCH(G$1&amp;"|"&amp;Customers!G216,Mapping!$D$2:$D$99,0))</f>
        <v>1</v>
      </c>
      <c r="H216" s="8" t="n">
        <f aca="false">INDEX(Mapping!$C$2:$C$99,MATCH(H$1&amp;"|"&amp;Customers!H216,Mapping!$D$2:$D$99,0))</f>
        <v>1</v>
      </c>
      <c r="I216" s="8" t="n">
        <f aca="false">INDEX(Mapping!$C$2:$C$99,MATCH(I$1&amp;"|"&amp;Customers!I216,Mapping!$D$2:$D$99,0))</f>
        <v>1</v>
      </c>
      <c r="J216" s="8" t="n">
        <f aca="false">INDEX(Mapping!$C$2:$C$99,MATCH(J$1&amp;"|"&amp;Customers!J216,Mapping!$D$2:$D$99,0))</f>
        <v>1</v>
      </c>
      <c r="K216" s="8" t="n">
        <f aca="false">INDEX(Mapping!$C$2:$C$99,MATCH(K$1&amp;"|"&amp;Customers!K216,Mapping!$D$2:$D$99,0))</f>
        <v>1</v>
      </c>
      <c r="L216" s="8" t="n">
        <f aca="false">INDEX(Mapping!$C$2:$C$99,MATCH(L$1&amp;"|"&amp;Customers!L216,Mapping!$D$2:$D$99,0))</f>
        <v>3</v>
      </c>
      <c r="M216" s="8" t="n">
        <f aca="false">INDEX(Mapping!$C$2:$C$99,MATCH(M$1&amp;"|"&amp;Customers!M216,Mapping!$D$2:$D$99,0))</f>
        <v>2</v>
      </c>
      <c r="N216" s="8" t="n">
        <f aca="false">INDEX(Mapping!$C$2:$C$99,MATCH(N$1&amp;"|"&amp;Customers!N216,Mapping!$D$2:$D$99,0))</f>
        <v>1</v>
      </c>
      <c r="O216" s="8" t="n">
        <f aca="false">INDEX(Mapping!$C$2:$C$99,MATCH(O$1&amp;"|"&amp;Customers!O216,Mapping!$D$2:$D$99,0))</f>
        <v>3</v>
      </c>
      <c r="P216" s="8" t="n">
        <f aca="false">INDEX(Mapping!$C$2:$C$99,MATCH(P$1&amp;"|"&amp;Customers!P216,Mapping!$D$2:$D$99,0))</f>
        <v>3</v>
      </c>
      <c r="Q216" s="8" t="n">
        <f aca="false">INDEX(Mapping!$C$2:$C$99,MATCH(Q$1&amp;"|"&amp;Customers!Q216,Mapping!$D$2:$D$99,0))</f>
        <v>1</v>
      </c>
      <c r="R216" s="8" t="n">
        <f aca="false">INDEX(Mapping!$C$2:$C$99,MATCH(R$1&amp;"|"&amp;Customers!R216,Mapping!$D$2:$D$99,0))</f>
        <v>1</v>
      </c>
      <c r="S216" s="8" t="n">
        <f aca="false">INDEX(Mapping!$C$2:$C$99,MATCH(S$1&amp;"|"&amp;Customers!S216,Mapping!$D$2:$D$99,0))</f>
        <v>3</v>
      </c>
      <c r="T216" s="8" t="n">
        <f aca="false">INDEX(Mapping!$C$2:$C$99,MATCH(T$1&amp;"|"&amp;Customers!T216,Mapping!$D$2:$D$99,0))</f>
        <v>1</v>
      </c>
      <c r="U216" s="8" t="n">
        <f aca="false">INDEX(Mapping!$C$2:$C$99,MATCH(U$1&amp;"|"&amp;Customers!U216,Mapping!$D$2:$D$99,0))</f>
        <v>1</v>
      </c>
      <c r="V216" s="8" t="n">
        <f aca="false">INDEX(Mapping!$C$2:$C$99,MATCH(V$1&amp;"|"&amp;Customers!V216,Mapping!$D$2:$D$99,0))</f>
        <v>1</v>
      </c>
      <c r="W216" s="17" t="n">
        <f aca="false">SUMPRODUCT($C216:$V216,Weights!$C$27:$V$27)</f>
        <v>1.4</v>
      </c>
      <c r="X216" s="18" t="n">
        <f aca="false">ROUND($W216,2)</f>
        <v>1.4</v>
      </c>
      <c r="Y216" s="8" t="str">
        <f aca="false">IF($X216&lt;=2,"Low",IF($X216&lt;=3.49,"Medium","High"))</f>
        <v>Low</v>
      </c>
      <c r="Z216" s="8" t="str">
        <f aca="false">IF(OR($F216&gt;=3,$E216=5,$D216=5,$C216=5,$G216=5,$H216=5,$I216=5,$J216=5,Customers!$W216="Yes"),"Yes","No")</f>
        <v>No</v>
      </c>
      <c r="AA216" s="15" t="str">
        <f aca="false">IF($Z216="Yes","High",$Y216)</f>
        <v>Low</v>
      </c>
      <c r="AB216" s="18" t="n">
        <f aca="false">SUMPRODUCT($C216:$G216,Weights!$C$28:$G$28)</f>
        <v>1</v>
      </c>
      <c r="AC216" s="18" t="n">
        <f aca="false">SUMPRODUCT($H216:$J216,Weights!$H$28:$J$28)</f>
        <v>1</v>
      </c>
      <c r="AD216" s="18" t="n">
        <f aca="false">SUMPRODUCT($K216:$N216,Weights!$K$28:$N$28)</f>
        <v>1.75</v>
      </c>
      <c r="AE216" s="18" t="n">
        <f aca="false">SUMPRODUCT($O216:$Q216,Weights!$O$28:$Q$28)</f>
        <v>2.6</v>
      </c>
      <c r="AF216" s="18" t="n">
        <f aca="false">SUMPRODUCT($R216:$V216,Weights!$R$28:$V$28)</f>
        <v>1.6</v>
      </c>
      <c r="AH216" s="18" t="n">
        <f aca="false">SUMPRODUCT($AB216:$AF216,Validation!$D$7:$H$7)</f>
        <v>1.45714285714325</v>
      </c>
      <c r="AI216" s="18" t="n">
        <f aca="false">SUMPRODUCT($AB216:$AF216,Validation!$D$8:$H$8)</f>
        <v>1.34285714285675</v>
      </c>
      <c r="AJ216" s="18" t="n">
        <f aca="false">SUMPRODUCT($AB216:$AF216,Validation!$D$9:$H$9)</f>
        <v>1.45333333333305</v>
      </c>
      <c r="AK216" s="18" t="n">
        <f aca="false">SUMPRODUCT($AB216:$AF216,Validation!$D$10:$H$10)</f>
        <v>1.34666666666695</v>
      </c>
      <c r="AL216" s="18" t="n">
        <f aca="false">SUMPRODUCT($AB216:$AF216,Validation!$D$11:$H$11)</f>
        <v>1.35625</v>
      </c>
      <c r="AM216" s="18" t="n">
        <f aca="false">SUMPRODUCT($AB216:$AF216,Validation!$D$12:$H$12)</f>
        <v>1.44375</v>
      </c>
      <c r="AN216" s="18" t="n">
        <f aca="false">SUMPRODUCT($AB216:$AF216,Validation!$D$13:$H$13)</f>
        <v>1.2666666666667</v>
      </c>
      <c r="AO216" s="18" t="n">
        <f aca="false">SUMPRODUCT($AB216:$AF216,Validation!$D$14:$H$14)</f>
        <v>1.5333333333333</v>
      </c>
      <c r="AP216" s="18" t="n">
        <f aca="false">SUMPRODUCT($AB216:$AF216,Validation!$D$15:$H$15)</f>
        <v>1.37647058823495</v>
      </c>
      <c r="AQ216" s="18" t="n">
        <f aca="false">SUMPRODUCT($AB216:$AF216,Validation!$D$16:$H$16)</f>
        <v>1.42352941176505</v>
      </c>
      <c r="AR216" s="8" t="n">
        <f aca="false">COUNTIF($C216:$V216,"&gt;=4")</f>
        <v>0</v>
      </c>
      <c r="AS216" s="8" t="str">
        <f aca="false">IF($X216&lt;=1.6,"Low",IF($X216&lt;=2.2,"Medium","High"))</f>
        <v>Low</v>
      </c>
      <c r="AT216" s="8" t="str">
        <f aca="false">IF($AR216=0,"Low",IF($AR216&lt;3,"Medium","High"))</f>
        <v>Low</v>
      </c>
      <c r="AU216" s="8" t="str">
        <f aca="false">IF(OR($AS216="High",$AT216="High"),"High",IF(OR($AS216="Medium",$AT216="Medium"),"Medium","Low"))</f>
        <v>Low</v>
      </c>
      <c r="AV216" s="15" t="str">
        <f aca="false">IF($Z216="Yes","High",$AU216)</f>
        <v>Low</v>
      </c>
    </row>
    <row r="217" customFormat="false" ht="15" hidden="false" customHeight="false" outlineLevel="0" collapsed="false">
      <c r="A217" s="7" t="str">
        <f aca="false">Customers!$A217</f>
        <v>NG-10038</v>
      </c>
      <c r="B217" s="7" t="str">
        <f aca="false">Customers!$B217</f>
        <v>Personal</v>
      </c>
      <c r="C217" s="8" t="n">
        <f aca="false">INDEX(Mapping!$C$2:$C$99,MATCH(C$1&amp;"|"&amp;Customers!C217,Mapping!$D$2:$D$99,0))</f>
        <v>1</v>
      </c>
      <c r="D217" s="8" t="n">
        <f aca="false">INDEX(Mapping!$C$2:$C$99,MATCH(D$1&amp;"|"&amp;Customers!D217,Mapping!$D$2:$D$99,0))</f>
        <v>1</v>
      </c>
      <c r="E217" s="8" t="n">
        <f aca="false">INDEX(Mapping!$C$2:$C$99,MATCH(E$1&amp;"|"&amp;Customers!E217,Mapping!$D$2:$D$99,0))</f>
        <v>1</v>
      </c>
      <c r="F217" s="8" t="n">
        <f aca="false">INDEX(Mapping!$C$2:$C$99,MATCH(F$1&amp;"|"&amp;Customers!F217,Mapping!$D$2:$D$99,0))</f>
        <v>1</v>
      </c>
      <c r="G217" s="8" t="n">
        <f aca="false">INDEX(Mapping!$C$2:$C$99,MATCH(G$1&amp;"|"&amp;Customers!G217,Mapping!$D$2:$D$99,0))</f>
        <v>1</v>
      </c>
      <c r="H217" s="8" t="n">
        <f aca="false">INDEX(Mapping!$C$2:$C$99,MATCH(H$1&amp;"|"&amp;Customers!H217,Mapping!$D$2:$D$99,0))</f>
        <v>1</v>
      </c>
      <c r="I217" s="8" t="n">
        <f aca="false">INDEX(Mapping!$C$2:$C$99,MATCH(I$1&amp;"|"&amp;Customers!I217,Mapping!$D$2:$D$99,0))</f>
        <v>1</v>
      </c>
      <c r="J217" s="8" t="n">
        <f aca="false">INDEX(Mapping!$C$2:$C$99,MATCH(J$1&amp;"|"&amp;Customers!J217,Mapping!$D$2:$D$99,0))</f>
        <v>1</v>
      </c>
      <c r="K217" s="8" t="n">
        <f aca="false">INDEX(Mapping!$C$2:$C$99,MATCH(K$1&amp;"|"&amp;Customers!K217,Mapping!$D$2:$D$99,0))</f>
        <v>3</v>
      </c>
      <c r="L217" s="8" t="n">
        <f aca="false">INDEX(Mapping!$C$2:$C$99,MATCH(L$1&amp;"|"&amp;Customers!L217,Mapping!$D$2:$D$99,0))</f>
        <v>1</v>
      </c>
      <c r="M217" s="8" t="n">
        <f aca="false">INDEX(Mapping!$C$2:$C$99,MATCH(M$1&amp;"|"&amp;Customers!M217,Mapping!$D$2:$D$99,0))</f>
        <v>2</v>
      </c>
      <c r="N217" s="8" t="n">
        <f aca="false">INDEX(Mapping!$C$2:$C$99,MATCH(N$1&amp;"|"&amp;Customers!N217,Mapping!$D$2:$D$99,0))</f>
        <v>1</v>
      </c>
      <c r="O217" s="8" t="n">
        <f aca="false">INDEX(Mapping!$C$2:$C$99,MATCH(O$1&amp;"|"&amp;Customers!O217,Mapping!$D$2:$D$99,0))</f>
        <v>3</v>
      </c>
      <c r="P217" s="8" t="n">
        <f aca="false">INDEX(Mapping!$C$2:$C$99,MATCH(P$1&amp;"|"&amp;Customers!P217,Mapping!$D$2:$D$99,0))</f>
        <v>3</v>
      </c>
      <c r="Q217" s="8" t="n">
        <f aca="false">INDEX(Mapping!$C$2:$C$99,MATCH(Q$1&amp;"|"&amp;Customers!Q217,Mapping!$D$2:$D$99,0))</f>
        <v>1</v>
      </c>
      <c r="R217" s="8" t="n">
        <f aca="false">INDEX(Mapping!$C$2:$C$99,MATCH(R$1&amp;"|"&amp;Customers!R217,Mapping!$D$2:$D$99,0))</f>
        <v>1</v>
      </c>
      <c r="S217" s="8" t="n">
        <f aca="false">INDEX(Mapping!$C$2:$C$99,MATCH(S$1&amp;"|"&amp;Customers!S217,Mapping!$D$2:$D$99,0))</f>
        <v>5</v>
      </c>
      <c r="T217" s="8" t="n">
        <f aca="false">INDEX(Mapping!$C$2:$C$99,MATCH(T$1&amp;"|"&amp;Customers!T217,Mapping!$D$2:$D$99,0))</f>
        <v>1</v>
      </c>
      <c r="U217" s="8" t="n">
        <f aca="false">INDEX(Mapping!$C$2:$C$99,MATCH(U$1&amp;"|"&amp;Customers!U217,Mapping!$D$2:$D$99,0))</f>
        <v>3</v>
      </c>
      <c r="V217" s="8" t="n">
        <f aca="false">INDEX(Mapping!$C$2:$C$99,MATCH(V$1&amp;"|"&amp;Customers!V217,Mapping!$D$2:$D$99,0))</f>
        <v>2</v>
      </c>
      <c r="W217" s="17" t="n">
        <f aca="false">SUMPRODUCT($C217:$V217,Weights!$C$27:$V$27)</f>
        <v>1.59</v>
      </c>
      <c r="X217" s="18" t="n">
        <f aca="false">ROUND($W217,2)</f>
        <v>1.59</v>
      </c>
      <c r="Y217" s="8" t="str">
        <f aca="false">IF($X217&lt;=2,"Low",IF($X217&lt;=3.49,"Medium","High"))</f>
        <v>Low</v>
      </c>
      <c r="Z217" s="8" t="str">
        <f aca="false">IF(OR($F217&gt;=3,$E217=5,$D217=5,$C217=5,$G217=5,$H217=5,$I217=5,$J217=5,Customers!$W217="Yes"),"Yes","No")</f>
        <v>No</v>
      </c>
      <c r="AA217" s="15" t="str">
        <f aca="false">IF($Z217="Yes","High",$Y217)</f>
        <v>Low</v>
      </c>
      <c r="AB217" s="18" t="n">
        <f aca="false">SUMPRODUCT($C217:$G217,Weights!$C$28:$G$28)</f>
        <v>1</v>
      </c>
      <c r="AC217" s="18" t="n">
        <f aca="false">SUMPRODUCT($H217:$J217,Weights!$H$28:$J$28)</f>
        <v>1</v>
      </c>
      <c r="AD217" s="18" t="n">
        <f aca="false">SUMPRODUCT($K217:$N217,Weights!$K$28:$N$28)</f>
        <v>1.95</v>
      </c>
      <c r="AE217" s="18" t="n">
        <f aca="false">SUMPRODUCT($O217:$Q217,Weights!$O$28:$Q$28)</f>
        <v>2.6</v>
      </c>
      <c r="AF217" s="18" t="n">
        <f aca="false">SUMPRODUCT($R217:$V217,Weights!$R$28:$V$28)</f>
        <v>2.6</v>
      </c>
      <c r="AH217" s="18" t="n">
        <f aca="false">SUMPRODUCT($AB217:$AF217,Validation!$D$7:$H$7)</f>
        <v>1.67428571428645</v>
      </c>
      <c r="AI217" s="18" t="n">
        <f aca="false">SUMPRODUCT($AB217:$AF217,Validation!$D$8:$H$8)</f>
        <v>1.50571428571355</v>
      </c>
      <c r="AJ217" s="18" t="n">
        <f aca="false">SUMPRODUCT($AB217:$AF217,Validation!$D$9:$H$9)</f>
        <v>1.66866666666645</v>
      </c>
      <c r="AK217" s="18" t="n">
        <f aca="false">SUMPRODUCT($AB217:$AF217,Validation!$D$10:$H$10)</f>
        <v>1.51133333333355</v>
      </c>
      <c r="AL217" s="18" t="n">
        <f aca="false">SUMPRODUCT($AB217:$AF217,Validation!$D$11:$H$11)</f>
        <v>1.545</v>
      </c>
      <c r="AM217" s="18" t="n">
        <f aca="false">SUMPRODUCT($AB217:$AF217,Validation!$D$12:$H$12)</f>
        <v>1.635</v>
      </c>
      <c r="AN217" s="18" t="n">
        <f aca="false">SUMPRODUCT($AB217:$AF217,Validation!$D$13:$H$13)</f>
        <v>1.4777777777781</v>
      </c>
      <c r="AO217" s="18" t="n">
        <f aca="false">SUMPRODUCT($AB217:$AF217,Validation!$D$14:$H$14)</f>
        <v>1.7022222222219</v>
      </c>
      <c r="AP217" s="18" t="n">
        <f aca="false">SUMPRODUCT($AB217:$AF217,Validation!$D$15:$H$15)</f>
        <v>1.47117647058795</v>
      </c>
      <c r="AQ217" s="18" t="n">
        <f aca="false">SUMPRODUCT($AB217:$AF217,Validation!$D$16:$H$16)</f>
        <v>1.70882352941205</v>
      </c>
      <c r="AR217" s="8" t="n">
        <f aca="false">COUNTIF($C217:$V217,"&gt;=4")</f>
        <v>1</v>
      </c>
      <c r="AS217" s="8" t="str">
        <f aca="false">IF($X217&lt;=1.6,"Low",IF($X217&lt;=2.2,"Medium","High"))</f>
        <v>Low</v>
      </c>
      <c r="AT217" s="8" t="str">
        <f aca="false">IF($AR217=0,"Low",IF($AR217&lt;3,"Medium","High"))</f>
        <v>Medium</v>
      </c>
      <c r="AU217" s="8" t="str">
        <f aca="false">IF(OR($AS217="High",$AT217="High"),"High",IF(OR($AS217="Medium",$AT217="Medium"),"Medium","Low"))</f>
        <v>Medium</v>
      </c>
      <c r="AV217" s="15" t="str">
        <f aca="false">IF($Z217="Yes","High",$AU217)</f>
        <v>Medium</v>
      </c>
    </row>
    <row r="218" customFormat="false" ht="15" hidden="false" customHeight="false" outlineLevel="0" collapsed="false">
      <c r="A218" s="7" t="str">
        <f aca="false">Customers!$A218</f>
        <v>NG-10018</v>
      </c>
      <c r="B218" s="7" t="str">
        <f aca="false">Customers!$B218</f>
        <v>Personal</v>
      </c>
      <c r="C218" s="8" t="n">
        <f aca="false">INDEX(Mapping!$C$2:$C$99,MATCH(C$1&amp;"|"&amp;Customers!C218,Mapping!$D$2:$D$99,0))</f>
        <v>1</v>
      </c>
      <c r="D218" s="8" t="n">
        <f aca="false">INDEX(Mapping!$C$2:$C$99,MATCH(D$1&amp;"|"&amp;Customers!D218,Mapping!$D$2:$D$99,0))</f>
        <v>1</v>
      </c>
      <c r="E218" s="8" t="n">
        <f aca="false">INDEX(Mapping!$C$2:$C$99,MATCH(E$1&amp;"|"&amp;Customers!E218,Mapping!$D$2:$D$99,0))</f>
        <v>1</v>
      </c>
      <c r="F218" s="8" t="n">
        <f aca="false">INDEX(Mapping!$C$2:$C$99,MATCH(F$1&amp;"|"&amp;Customers!F218,Mapping!$D$2:$D$99,0))</f>
        <v>1</v>
      </c>
      <c r="G218" s="8" t="n">
        <f aca="false">INDEX(Mapping!$C$2:$C$99,MATCH(G$1&amp;"|"&amp;Customers!G218,Mapping!$D$2:$D$99,0))</f>
        <v>1</v>
      </c>
      <c r="H218" s="8" t="n">
        <f aca="false">INDEX(Mapping!$C$2:$C$99,MATCH(H$1&amp;"|"&amp;Customers!H218,Mapping!$D$2:$D$99,0))</f>
        <v>1</v>
      </c>
      <c r="I218" s="8" t="n">
        <f aca="false">INDEX(Mapping!$C$2:$C$99,MATCH(I$1&amp;"|"&amp;Customers!I218,Mapping!$D$2:$D$99,0))</f>
        <v>1</v>
      </c>
      <c r="J218" s="8" t="n">
        <f aca="false">INDEX(Mapping!$C$2:$C$99,MATCH(J$1&amp;"|"&amp;Customers!J218,Mapping!$D$2:$D$99,0))</f>
        <v>1</v>
      </c>
      <c r="K218" s="8" t="n">
        <f aca="false">INDEX(Mapping!$C$2:$C$99,MATCH(K$1&amp;"|"&amp;Customers!K218,Mapping!$D$2:$D$99,0))</f>
        <v>3</v>
      </c>
      <c r="L218" s="8" t="n">
        <f aca="false">INDEX(Mapping!$C$2:$C$99,MATCH(L$1&amp;"|"&amp;Customers!L218,Mapping!$D$2:$D$99,0))</f>
        <v>2</v>
      </c>
      <c r="M218" s="8" t="n">
        <f aca="false">INDEX(Mapping!$C$2:$C$99,MATCH(M$1&amp;"|"&amp;Customers!M218,Mapping!$D$2:$D$99,0))</f>
        <v>1</v>
      </c>
      <c r="N218" s="8" t="n">
        <f aca="false">INDEX(Mapping!$C$2:$C$99,MATCH(N$1&amp;"|"&amp;Customers!N218,Mapping!$D$2:$D$99,0))</f>
        <v>1</v>
      </c>
      <c r="O218" s="8" t="n">
        <f aca="false">INDEX(Mapping!$C$2:$C$99,MATCH(O$1&amp;"|"&amp;Customers!O218,Mapping!$D$2:$D$99,0))</f>
        <v>3</v>
      </c>
      <c r="P218" s="8" t="n">
        <f aca="false">INDEX(Mapping!$C$2:$C$99,MATCH(P$1&amp;"|"&amp;Customers!P218,Mapping!$D$2:$D$99,0))</f>
        <v>4</v>
      </c>
      <c r="Q218" s="8" t="n">
        <f aca="false">INDEX(Mapping!$C$2:$C$99,MATCH(Q$1&amp;"|"&amp;Customers!Q218,Mapping!$D$2:$D$99,0))</f>
        <v>1</v>
      </c>
      <c r="R218" s="8" t="n">
        <f aca="false">INDEX(Mapping!$C$2:$C$99,MATCH(R$1&amp;"|"&amp;Customers!R218,Mapping!$D$2:$D$99,0))</f>
        <v>1</v>
      </c>
      <c r="S218" s="8" t="n">
        <f aca="false">INDEX(Mapping!$C$2:$C$99,MATCH(S$1&amp;"|"&amp;Customers!S218,Mapping!$D$2:$D$99,0))</f>
        <v>2</v>
      </c>
      <c r="T218" s="8" t="n">
        <f aca="false">INDEX(Mapping!$C$2:$C$99,MATCH(T$1&amp;"|"&amp;Customers!T218,Mapping!$D$2:$D$99,0))</f>
        <v>1</v>
      </c>
      <c r="U218" s="8" t="n">
        <f aca="false">INDEX(Mapping!$C$2:$C$99,MATCH(U$1&amp;"|"&amp;Customers!U218,Mapping!$D$2:$D$99,0))</f>
        <v>1</v>
      </c>
      <c r="V218" s="8" t="n">
        <f aca="false">INDEX(Mapping!$C$2:$C$99,MATCH(V$1&amp;"|"&amp;Customers!V218,Mapping!$D$2:$D$99,0))</f>
        <v>1</v>
      </c>
      <c r="W218" s="17" t="n">
        <f aca="false">SUMPRODUCT($C218:$V218,Weights!$C$27:$V$27)</f>
        <v>1.43</v>
      </c>
      <c r="X218" s="18" t="n">
        <f aca="false">ROUND($W218,2)</f>
        <v>1.43</v>
      </c>
      <c r="Y218" s="8" t="str">
        <f aca="false">IF($X218&lt;=2,"Low",IF($X218&lt;=3.49,"Medium","High"))</f>
        <v>Low</v>
      </c>
      <c r="Z218" s="8" t="str">
        <f aca="false">IF(OR($F218&gt;=3,$E218=5,$D218=5,$C218=5,$G218=5,$H218=5,$I218=5,$J218=5,Customers!$W218="Yes"),"Yes","No")</f>
        <v>No</v>
      </c>
      <c r="AA218" s="15" t="str">
        <f aca="false">IF($Z218="Yes","High",$Y218)</f>
        <v>Low</v>
      </c>
      <c r="AB218" s="18" t="n">
        <f aca="false">SUMPRODUCT($C218:$G218,Weights!$C$28:$G$28)</f>
        <v>1</v>
      </c>
      <c r="AC218" s="18" t="n">
        <f aca="false">SUMPRODUCT($H218:$J218,Weights!$H$28:$J$28)</f>
        <v>1</v>
      </c>
      <c r="AD218" s="18" t="n">
        <f aca="false">SUMPRODUCT($K218:$N218,Weights!$K$28:$N$28)</f>
        <v>1.95</v>
      </c>
      <c r="AE218" s="18" t="n">
        <f aca="false">SUMPRODUCT($O218:$Q218,Weights!$O$28:$Q$28)</f>
        <v>2.95</v>
      </c>
      <c r="AF218" s="18" t="n">
        <f aca="false">SUMPRODUCT($R218:$V218,Weights!$R$28:$V$28)</f>
        <v>1.3</v>
      </c>
      <c r="AH218" s="18" t="n">
        <f aca="false">SUMPRODUCT($AB218:$AF218,Validation!$D$7:$H$7)</f>
        <v>1.49142857142885</v>
      </c>
      <c r="AI218" s="18" t="n">
        <f aca="false">SUMPRODUCT($AB218:$AF218,Validation!$D$8:$H$8)</f>
        <v>1.36857142857115</v>
      </c>
      <c r="AJ218" s="18" t="n">
        <f aca="false">SUMPRODUCT($AB218:$AF218,Validation!$D$9:$H$9)</f>
        <v>1.487333333333</v>
      </c>
      <c r="AK218" s="18" t="n">
        <f aca="false">SUMPRODUCT($AB218:$AF218,Validation!$D$10:$H$10)</f>
        <v>1.372666666667</v>
      </c>
      <c r="AL218" s="18" t="n">
        <f aca="false">SUMPRODUCT($AB218:$AF218,Validation!$D$11:$H$11)</f>
        <v>1.365</v>
      </c>
      <c r="AM218" s="18" t="n">
        <f aca="false">SUMPRODUCT($AB218:$AF218,Validation!$D$12:$H$12)</f>
        <v>1.495</v>
      </c>
      <c r="AN218" s="18" t="n">
        <f aca="false">SUMPRODUCT($AB218:$AF218,Validation!$D$13:$H$13)</f>
        <v>1.261111111111</v>
      </c>
      <c r="AO218" s="18" t="n">
        <f aca="false">SUMPRODUCT($AB218:$AF218,Validation!$D$14:$H$14)</f>
        <v>1.598888888889</v>
      </c>
      <c r="AP218" s="18" t="n">
        <f aca="false">SUMPRODUCT($AB218:$AF218,Validation!$D$15:$H$15)</f>
        <v>1.44529411764665</v>
      </c>
      <c r="AQ218" s="18" t="n">
        <f aca="false">SUMPRODUCT($AB218:$AF218,Validation!$D$16:$H$16)</f>
        <v>1.41470588235335</v>
      </c>
      <c r="AR218" s="8" t="n">
        <f aca="false">COUNTIF($C218:$V218,"&gt;=4")</f>
        <v>1</v>
      </c>
      <c r="AS218" s="8" t="str">
        <f aca="false">IF($X218&lt;=1.6,"Low",IF($X218&lt;=2.2,"Medium","High"))</f>
        <v>Low</v>
      </c>
      <c r="AT218" s="8" t="str">
        <f aca="false">IF($AR218=0,"Low",IF($AR218&lt;3,"Medium","High"))</f>
        <v>Medium</v>
      </c>
      <c r="AU218" s="8" t="str">
        <f aca="false">IF(OR($AS218="High",$AT218="High"),"High",IF(OR($AS218="Medium",$AT218="Medium"),"Medium","Low"))</f>
        <v>Medium</v>
      </c>
      <c r="AV218" s="15" t="str">
        <f aca="false">IF($Z218="Yes","High",$AU218)</f>
        <v>Medium</v>
      </c>
    </row>
    <row r="219" customFormat="false" ht="15" hidden="false" customHeight="false" outlineLevel="0" collapsed="false">
      <c r="A219" s="7" t="str">
        <f aca="false">Customers!$A219</f>
        <v>NG-10099</v>
      </c>
      <c r="B219" s="7" t="str">
        <f aca="false">Customers!$B219</f>
        <v>Personal</v>
      </c>
      <c r="C219" s="8" t="n">
        <f aca="false">INDEX(Mapping!$C$2:$C$99,MATCH(C$1&amp;"|"&amp;Customers!C219,Mapping!$D$2:$D$99,0))</f>
        <v>1</v>
      </c>
      <c r="D219" s="8" t="n">
        <f aca="false">INDEX(Mapping!$C$2:$C$99,MATCH(D$1&amp;"|"&amp;Customers!D219,Mapping!$D$2:$D$99,0))</f>
        <v>1</v>
      </c>
      <c r="E219" s="8" t="n">
        <f aca="false">INDEX(Mapping!$C$2:$C$99,MATCH(E$1&amp;"|"&amp;Customers!E219,Mapping!$D$2:$D$99,0))</f>
        <v>1</v>
      </c>
      <c r="F219" s="8" t="n">
        <f aca="false">INDEX(Mapping!$C$2:$C$99,MATCH(F$1&amp;"|"&amp;Customers!F219,Mapping!$D$2:$D$99,0))</f>
        <v>1</v>
      </c>
      <c r="G219" s="8" t="n">
        <f aca="false">INDEX(Mapping!$C$2:$C$99,MATCH(G$1&amp;"|"&amp;Customers!G219,Mapping!$D$2:$D$99,0))</f>
        <v>2</v>
      </c>
      <c r="H219" s="8" t="n">
        <f aca="false">INDEX(Mapping!$C$2:$C$99,MATCH(H$1&amp;"|"&amp;Customers!H219,Mapping!$D$2:$D$99,0))</f>
        <v>1</v>
      </c>
      <c r="I219" s="8" t="n">
        <f aca="false">INDEX(Mapping!$C$2:$C$99,MATCH(I$1&amp;"|"&amp;Customers!I219,Mapping!$D$2:$D$99,0))</f>
        <v>1</v>
      </c>
      <c r="J219" s="8" t="n">
        <f aca="false">INDEX(Mapping!$C$2:$C$99,MATCH(J$1&amp;"|"&amp;Customers!J219,Mapping!$D$2:$D$99,0))</f>
        <v>1</v>
      </c>
      <c r="K219" s="8" t="n">
        <f aca="false">INDEX(Mapping!$C$2:$C$99,MATCH(K$1&amp;"|"&amp;Customers!K219,Mapping!$D$2:$D$99,0))</f>
        <v>2</v>
      </c>
      <c r="L219" s="8" t="n">
        <f aca="false">INDEX(Mapping!$C$2:$C$99,MATCH(L$1&amp;"|"&amp;Customers!L219,Mapping!$D$2:$D$99,0))</f>
        <v>4</v>
      </c>
      <c r="M219" s="8" t="n">
        <f aca="false">INDEX(Mapping!$C$2:$C$99,MATCH(M$1&amp;"|"&amp;Customers!M219,Mapping!$D$2:$D$99,0))</f>
        <v>3</v>
      </c>
      <c r="N219" s="8" t="n">
        <f aca="false">INDEX(Mapping!$C$2:$C$99,MATCH(N$1&amp;"|"&amp;Customers!N219,Mapping!$D$2:$D$99,0))</f>
        <v>3</v>
      </c>
      <c r="O219" s="8" t="n">
        <f aca="false">INDEX(Mapping!$C$2:$C$99,MATCH(O$1&amp;"|"&amp;Customers!O219,Mapping!$D$2:$D$99,0))</f>
        <v>4</v>
      </c>
      <c r="P219" s="8" t="n">
        <f aca="false">INDEX(Mapping!$C$2:$C$99,MATCH(P$1&amp;"|"&amp;Customers!P219,Mapping!$D$2:$D$99,0))</f>
        <v>3</v>
      </c>
      <c r="Q219" s="8" t="n">
        <f aca="false">INDEX(Mapping!$C$2:$C$99,MATCH(Q$1&amp;"|"&amp;Customers!Q219,Mapping!$D$2:$D$99,0))</f>
        <v>1</v>
      </c>
      <c r="R219" s="8" t="n">
        <f aca="false">INDEX(Mapping!$C$2:$C$99,MATCH(R$1&amp;"|"&amp;Customers!R219,Mapping!$D$2:$D$99,0))</f>
        <v>2</v>
      </c>
      <c r="S219" s="8" t="n">
        <f aca="false">INDEX(Mapping!$C$2:$C$99,MATCH(S$1&amp;"|"&amp;Customers!S219,Mapping!$D$2:$D$99,0))</f>
        <v>2</v>
      </c>
      <c r="T219" s="8" t="n">
        <f aca="false">INDEX(Mapping!$C$2:$C$99,MATCH(T$1&amp;"|"&amp;Customers!T219,Mapping!$D$2:$D$99,0))</f>
        <v>1</v>
      </c>
      <c r="U219" s="8" t="n">
        <f aca="false">INDEX(Mapping!$C$2:$C$99,MATCH(U$1&amp;"|"&amp;Customers!U219,Mapping!$D$2:$D$99,0))</f>
        <v>1</v>
      </c>
      <c r="V219" s="8" t="n">
        <f aca="false">INDEX(Mapping!$C$2:$C$99,MATCH(V$1&amp;"|"&amp;Customers!V219,Mapping!$D$2:$D$99,0))</f>
        <v>1</v>
      </c>
      <c r="W219" s="17" t="n">
        <f aca="false">SUMPRODUCT($C219:$V219,Weights!$C$27:$V$27)</f>
        <v>1.7125</v>
      </c>
      <c r="X219" s="18" t="n">
        <f aca="false">ROUND($W219,2)</f>
        <v>1.71</v>
      </c>
      <c r="Y219" s="8" t="str">
        <f aca="false">IF($X219&lt;=2,"Low",IF($X219&lt;=3.49,"Medium","High"))</f>
        <v>Low</v>
      </c>
      <c r="Z219" s="8" t="str">
        <f aca="false">IF(OR($F219&gt;=3,$E219=5,$D219=5,$C219=5,$G219=5,$H219=5,$I219=5,$J219=5,Customers!$W219="Yes"),"Yes","No")</f>
        <v>No</v>
      </c>
      <c r="AA219" s="15" t="str">
        <f aca="false">IF($Z219="Yes","High",$Y219)</f>
        <v>Low</v>
      </c>
      <c r="AB219" s="18" t="n">
        <f aca="false">SUMPRODUCT($C219:$G219,Weights!$C$28:$G$28)</f>
        <v>1.15</v>
      </c>
      <c r="AC219" s="18" t="n">
        <f aca="false">SUMPRODUCT($H219:$J219,Weights!$H$28:$J$28)</f>
        <v>1</v>
      </c>
      <c r="AD219" s="18" t="n">
        <f aca="false">SUMPRODUCT($K219:$N219,Weights!$K$28:$N$28)</f>
        <v>2.9</v>
      </c>
      <c r="AE219" s="18" t="n">
        <f aca="false">SUMPRODUCT($O219:$Q219,Weights!$O$28:$Q$28)</f>
        <v>3.05</v>
      </c>
      <c r="AF219" s="18" t="n">
        <f aca="false">SUMPRODUCT($R219:$V219,Weights!$R$28:$V$28)</f>
        <v>1.55</v>
      </c>
      <c r="AH219" s="18" t="n">
        <f aca="false">SUMPRODUCT($AB219:$AF219,Validation!$D$7:$H$7)</f>
        <v>1.79285714285715</v>
      </c>
      <c r="AI219" s="18" t="n">
        <f aca="false">SUMPRODUCT($AB219:$AF219,Validation!$D$8:$H$8)</f>
        <v>1.63214285714285</v>
      </c>
      <c r="AJ219" s="18" t="n">
        <f aca="false">SUMPRODUCT($AB219:$AF219,Validation!$D$9:$H$9)</f>
        <v>1.80749999999995</v>
      </c>
      <c r="AK219" s="18" t="n">
        <f aca="false">SUMPRODUCT($AB219:$AF219,Validation!$D$10:$H$10)</f>
        <v>1.61750000000005</v>
      </c>
      <c r="AL219" s="18" t="n">
        <f aca="false">SUMPRODUCT($AB219:$AF219,Validation!$D$11:$H$11)</f>
        <v>1.5640625</v>
      </c>
      <c r="AM219" s="18" t="n">
        <f aca="false">SUMPRODUCT($AB219:$AF219,Validation!$D$12:$H$12)</f>
        <v>1.8609375</v>
      </c>
      <c r="AN219" s="18" t="n">
        <f aca="false">SUMPRODUCT($AB219:$AF219,Validation!$D$13:$H$13)</f>
        <v>1.5638888888886</v>
      </c>
      <c r="AO219" s="18" t="n">
        <f aca="false">SUMPRODUCT($AB219:$AF219,Validation!$D$14:$H$14)</f>
        <v>1.8611111111114</v>
      </c>
      <c r="AP219" s="18" t="n">
        <f aca="false">SUMPRODUCT($AB219:$AF219,Validation!$D$15:$H$15)</f>
        <v>1.73161764705865</v>
      </c>
      <c r="AQ219" s="18" t="n">
        <f aca="false">SUMPRODUCT($AB219:$AF219,Validation!$D$16:$H$16)</f>
        <v>1.69338235294135</v>
      </c>
      <c r="AR219" s="8" t="n">
        <f aca="false">COUNTIF($C219:$V219,"&gt;=4")</f>
        <v>2</v>
      </c>
      <c r="AS219" s="8" t="str">
        <f aca="false">IF($X219&lt;=1.6,"Low",IF($X219&lt;=2.2,"Medium","High"))</f>
        <v>Medium</v>
      </c>
      <c r="AT219" s="8" t="str">
        <f aca="false">IF($AR219=0,"Low",IF($AR219&lt;3,"Medium","High"))</f>
        <v>Medium</v>
      </c>
      <c r="AU219" s="8" t="str">
        <f aca="false">IF(OR($AS219="High",$AT219="High"),"High",IF(OR($AS219="Medium",$AT219="Medium"),"Medium","Low"))</f>
        <v>Medium</v>
      </c>
      <c r="AV219" s="15" t="str">
        <f aca="false">IF($Z219="Yes","High",$AU219)</f>
        <v>Medium</v>
      </c>
    </row>
    <row r="220" customFormat="false" ht="15" hidden="false" customHeight="false" outlineLevel="0" collapsed="false">
      <c r="A220" s="7" t="str">
        <f aca="false">Customers!$A220</f>
        <v>NG-10031</v>
      </c>
      <c r="B220" s="7" t="str">
        <f aca="false">Customers!$B220</f>
        <v>Personal</v>
      </c>
      <c r="C220" s="8" t="n">
        <f aca="false">INDEX(Mapping!$C$2:$C$99,MATCH(C$1&amp;"|"&amp;Customers!C220,Mapping!$D$2:$D$99,0))</f>
        <v>1</v>
      </c>
      <c r="D220" s="8" t="n">
        <f aca="false">INDEX(Mapping!$C$2:$C$99,MATCH(D$1&amp;"|"&amp;Customers!D220,Mapping!$D$2:$D$99,0))</f>
        <v>1</v>
      </c>
      <c r="E220" s="8" t="n">
        <f aca="false">INDEX(Mapping!$C$2:$C$99,MATCH(E$1&amp;"|"&amp;Customers!E220,Mapping!$D$2:$D$99,0))</f>
        <v>1</v>
      </c>
      <c r="F220" s="8" t="n">
        <f aca="false">INDEX(Mapping!$C$2:$C$99,MATCH(F$1&amp;"|"&amp;Customers!F220,Mapping!$D$2:$D$99,0))</f>
        <v>1</v>
      </c>
      <c r="G220" s="8" t="n">
        <f aca="false">INDEX(Mapping!$C$2:$C$99,MATCH(G$1&amp;"|"&amp;Customers!G220,Mapping!$D$2:$D$99,0))</f>
        <v>2</v>
      </c>
      <c r="H220" s="8" t="n">
        <f aca="false">INDEX(Mapping!$C$2:$C$99,MATCH(H$1&amp;"|"&amp;Customers!H220,Mapping!$D$2:$D$99,0))</f>
        <v>1</v>
      </c>
      <c r="I220" s="8" t="n">
        <f aca="false">INDEX(Mapping!$C$2:$C$99,MATCH(I$1&amp;"|"&amp;Customers!I220,Mapping!$D$2:$D$99,0))</f>
        <v>1</v>
      </c>
      <c r="J220" s="8" t="n">
        <f aca="false">INDEX(Mapping!$C$2:$C$99,MATCH(J$1&amp;"|"&amp;Customers!J220,Mapping!$D$2:$D$99,0))</f>
        <v>2</v>
      </c>
      <c r="K220" s="8" t="n">
        <f aca="false">INDEX(Mapping!$C$2:$C$99,MATCH(K$1&amp;"|"&amp;Customers!K220,Mapping!$D$2:$D$99,0))</f>
        <v>3</v>
      </c>
      <c r="L220" s="8" t="n">
        <f aca="false">INDEX(Mapping!$C$2:$C$99,MATCH(L$1&amp;"|"&amp;Customers!L220,Mapping!$D$2:$D$99,0))</f>
        <v>3</v>
      </c>
      <c r="M220" s="8" t="n">
        <f aca="false">INDEX(Mapping!$C$2:$C$99,MATCH(M$1&amp;"|"&amp;Customers!M220,Mapping!$D$2:$D$99,0))</f>
        <v>3</v>
      </c>
      <c r="N220" s="8" t="n">
        <f aca="false">INDEX(Mapping!$C$2:$C$99,MATCH(N$1&amp;"|"&amp;Customers!N220,Mapping!$D$2:$D$99,0))</f>
        <v>2</v>
      </c>
      <c r="O220" s="8" t="n">
        <f aca="false">INDEX(Mapping!$C$2:$C$99,MATCH(O$1&amp;"|"&amp;Customers!O220,Mapping!$D$2:$D$99,0))</f>
        <v>3</v>
      </c>
      <c r="P220" s="8" t="n">
        <f aca="false">INDEX(Mapping!$C$2:$C$99,MATCH(P$1&amp;"|"&amp;Customers!P220,Mapping!$D$2:$D$99,0))</f>
        <v>4</v>
      </c>
      <c r="Q220" s="8" t="n">
        <f aca="false">INDEX(Mapping!$C$2:$C$99,MATCH(Q$1&amp;"|"&amp;Customers!Q220,Mapping!$D$2:$D$99,0))</f>
        <v>1</v>
      </c>
      <c r="R220" s="8" t="n">
        <f aca="false">INDEX(Mapping!$C$2:$C$99,MATCH(R$1&amp;"|"&amp;Customers!R220,Mapping!$D$2:$D$99,0))</f>
        <v>2</v>
      </c>
      <c r="S220" s="8" t="n">
        <f aca="false">INDEX(Mapping!$C$2:$C$99,MATCH(S$1&amp;"|"&amp;Customers!S220,Mapping!$D$2:$D$99,0))</f>
        <v>2</v>
      </c>
      <c r="T220" s="8" t="n">
        <f aca="false">INDEX(Mapping!$C$2:$C$99,MATCH(T$1&amp;"|"&amp;Customers!T220,Mapping!$D$2:$D$99,0))</f>
        <v>1</v>
      </c>
      <c r="U220" s="8" t="n">
        <f aca="false">INDEX(Mapping!$C$2:$C$99,MATCH(U$1&amp;"|"&amp;Customers!U220,Mapping!$D$2:$D$99,0))</f>
        <v>1</v>
      </c>
      <c r="V220" s="8" t="n">
        <f aca="false">INDEX(Mapping!$C$2:$C$99,MATCH(V$1&amp;"|"&amp;Customers!V220,Mapping!$D$2:$D$99,0))</f>
        <v>1</v>
      </c>
      <c r="W220" s="17" t="n">
        <f aca="false">SUMPRODUCT($C220:$V220,Weights!$C$27:$V$27)</f>
        <v>1.7925</v>
      </c>
      <c r="X220" s="18" t="n">
        <f aca="false">ROUND($W220,2)</f>
        <v>1.79</v>
      </c>
      <c r="Y220" s="8" t="str">
        <f aca="false">IF($X220&lt;=2,"Low",IF($X220&lt;=3.49,"Medium","High"))</f>
        <v>Low</v>
      </c>
      <c r="Z220" s="8" t="str">
        <f aca="false">IF(OR($F220&gt;=3,$E220=5,$D220=5,$C220=5,$G220=5,$H220=5,$I220=5,$J220=5,Customers!$W220="Yes"),"Yes","No")</f>
        <v>No</v>
      </c>
      <c r="AA220" s="15" t="str">
        <f aca="false">IF($Z220="Yes","High",$Y220)</f>
        <v>Low</v>
      </c>
      <c r="AB220" s="18" t="n">
        <f aca="false">SUMPRODUCT($C220:$G220,Weights!$C$28:$G$28)</f>
        <v>1.15</v>
      </c>
      <c r="AC220" s="18" t="n">
        <f aca="false">SUMPRODUCT($H220:$J220,Weights!$H$28:$J$28)</f>
        <v>1.4</v>
      </c>
      <c r="AD220" s="18" t="n">
        <f aca="false">SUMPRODUCT($K220:$N220,Weights!$K$28:$N$28)</f>
        <v>2.85</v>
      </c>
      <c r="AE220" s="18" t="n">
        <f aca="false">SUMPRODUCT($O220:$Q220,Weights!$O$28:$Q$28)</f>
        <v>2.95</v>
      </c>
      <c r="AF220" s="18" t="n">
        <f aca="false">SUMPRODUCT($R220:$V220,Weights!$R$28:$V$28)</f>
        <v>1.55</v>
      </c>
      <c r="AH220" s="18" t="n">
        <f aca="false">SUMPRODUCT($AB220:$AF220,Validation!$D$7:$H$7)</f>
        <v>1.8842857142856</v>
      </c>
      <c r="AI220" s="18" t="n">
        <f aca="false">SUMPRODUCT($AB220:$AF220,Validation!$D$8:$H$8)</f>
        <v>1.7007142857144</v>
      </c>
      <c r="AJ220" s="18" t="n">
        <f aca="false">SUMPRODUCT($AB220:$AF220,Validation!$D$9:$H$9)</f>
        <v>1.8448333333333</v>
      </c>
      <c r="AK220" s="18" t="n">
        <f aca="false">SUMPRODUCT($AB220:$AF220,Validation!$D$10:$H$10)</f>
        <v>1.7401666666667</v>
      </c>
      <c r="AL220" s="18" t="n">
        <f aca="false">SUMPRODUCT($AB220:$AF220,Validation!$D$11:$H$11)</f>
        <v>1.6603125</v>
      </c>
      <c r="AM220" s="18" t="n">
        <f aca="false">SUMPRODUCT($AB220:$AF220,Validation!$D$12:$H$12)</f>
        <v>1.9246875</v>
      </c>
      <c r="AN220" s="18" t="n">
        <f aca="false">SUMPRODUCT($AB220:$AF220,Validation!$D$13:$H$13)</f>
        <v>1.6638888888887</v>
      </c>
      <c r="AO220" s="18" t="n">
        <f aca="false">SUMPRODUCT($AB220:$AF220,Validation!$D$14:$H$14)</f>
        <v>1.9211111111113</v>
      </c>
      <c r="AP220" s="18" t="n">
        <f aca="false">SUMPRODUCT($AB220:$AF220,Validation!$D$15:$H$15)</f>
        <v>1.8210294117646</v>
      </c>
      <c r="AQ220" s="18" t="n">
        <f aca="false">SUMPRODUCT($AB220:$AF220,Validation!$D$16:$H$16)</f>
        <v>1.7639705882354</v>
      </c>
      <c r="AR220" s="8" t="n">
        <f aca="false">COUNTIF($C220:$V220,"&gt;=4")</f>
        <v>1</v>
      </c>
      <c r="AS220" s="8" t="str">
        <f aca="false">IF($X220&lt;=1.6,"Low",IF($X220&lt;=2.2,"Medium","High"))</f>
        <v>Medium</v>
      </c>
      <c r="AT220" s="8" t="str">
        <f aca="false">IF($AR220=0,"Low",IF($AR220&lt;3,"Medium","High"))</f>
        <v>Medium</v>
      </c>
      <c r="AU220" s="8" t="str">
        <f aca="false">IF(OR($AS220="High",$AT220="High"),"High",IF(OR($AS220="Medium",$AT220="Medium"),"Medium","Low"))</f>
        <v>Medium</v>
      </c>
      <c r="AV220" s="15" t="str">
        <f aca="false">IF($Z220="Yes","High",$AU220)</f>
        <v>Medium</v>
      </c>
    </row>
    <row r="221" customFormat="false" ht="15" hidden="false" customHeight="false" outlineLevel="0" collapsed="false">
      <c r="A221" s="7" t="str">
        <f aca="false">Customers!$A221</f>
        <v>NG-10229</v>
      </c>
      <c r="B221" s="7" t="str">
        <f aca="false">Customers!$B221</f>
        <v>Personal</v>
      </c>
      <c r="C221" s="8" t="n">
        <f aca="false">INDEX(Mapping!$C$2:$C$99,MATCH(C$1&amp;"|"&amp;Customers!C221,Mapping!$D$2:$D$99,0))</f>
        <v>2</v>
      </c>
      <c r="D221" s="8" t="n">
        <f aca="false">INDEX(Mapping!$C$2:$C$99,MATCH(D$1&amp;"|"&amp;Customers!D221,Mapping!$D$2:$D$99,0))</f>
        <v>1</v>
      </c>
      <c r="E221" s="8" t="n">
        <f aca="false">INDEX(Mapping!$C$2:$C$99,MATCH(E$1&amp;"|"&amp;Customers!E221,Mapping!$D$2:$D$99,0))</f>
        <v>2</v>
      </c>
      <c r="F221" s="8" t="n">
        <f aca="false">INDEX(Mapping!$C$2:$C$99,MATCH(F$1&amp;"|"&amp;Customers!F221,Mapping!$D$2:$D$99,0))</f>
        <v>1</v>
      </c>
      <c r="G221" s="8" t="n">
        <f aca="false">INDEX(Mapping!$C$2:$C$99,MATCH(G$1&amp;"|"&amp;Customers!G221,Mapping!$D$2:$D$99,0))</f>
        <v>1</v>
      </c>
      <c r="H221" s="8" t="n">
        <f aca="false">INDEX(Mapping!$C$2:$C$99,MATCH(H$1&amp;"|"&amp;Customers!H221,Mapping!$D$2:$D$99,0))</f>
        <v>1</v>
      </c>
      <c r="I221" s="8" t="n">
        <f aca="false">INDEX(Mapping!$C$2:$C$99,MATCH(I$1&amp;"|"&amp;Customers!I221,Mapping!$D$2:$D$99,0))</f>
        <v>1</v>
      </c>
      <c r="J221" s="8" t="n">
        <f aca="false">INDEX(Mapping!$C$2:$C$99,MATCH(J$1&amp;"|"&amp;Customers!J221,Mapping!$D$2:$D$99,0))</f>
        <v>1</v>
      </c>
      <c r="K221" s="8" t="n">
        <f aca="false">INDEX(Mapping!$C$2:$C$99,MATCH(K$1&amp;"|"&amp;Customers!K221,Mapping!$D$2:$D$99,0))</f>
        <v>3</v>
      </c>
      <c r="L221" s="8" t="n">
        <f aca="false">INDEX(Mapping!$C$2:$C$99,MATCH(L$1&amp;"|"&amp;Customers!L221,Mapping!$D$2:$D$99,0))</f>
        <v>3</v>
      </c>
      <c r="M221" s="8" t="n">
        <f aca="false">INDEX(Mapping!$C$2:$C$99,MATCH(M$1&amp;"|"&amp;Customers!M221,Mapping!$D$2:$D$99,0))</f>
        <v>2</v>
      </c>
      <c r="N221" s="8" t="n">
        <f aca="false">INDEX(Mapping!$C$2:$C$99,MATCH(N$1&amp;"|"&amp;Customers!N221,Mapping!$D$2:$D$99,0))</f>
        <v>1</v>
      </c>
      <c r="O221" s="8" t="n">
        <f aca="false">INDEX(Mapping!$C$2:$C$99,MATCH(O$1&amp;"|"&amp;Customers!O221,Mapping!$D$2:$D$99,0))</f>
        <v>1</v>
      </c>
      <c r="P221" s="8" t="n">
        <f aca="false">INDEX(Mapping!$C$2:$C$99,MATCH(P$1&amp;"|"&amp;Customers!P221,Mapping!$D$2:$D$99,0))</f>
        <v>5</v>
      </c>
      <c r="Q221" s="8" t="n">
        <f aca="false">INDEX(Mapping!$C$2:$C$99,MATCH(Q$1&amp;"|"&amp;Customers!Q221,Mapping!$D$2:$D$99,0))</f>
        <v>1</v>
      </c>
      <c r="R221" s="8" t="n">
        <f aca="false">INDEX(Mapping!$C$2:$C$99,MATCH(R$1&amp;"|"&amp;Customers!R221,Mapping!$D$2:$D$99,0))</f>
        <v>2</v>
      </c>
      <c r="S221" s="8" t="n">
        <f aca="false">INDEX(Mapping!$C$2:$C$99,MATCH(S$1&amp;"|"&amp;Customers!S221,Mapping!$D$2:$D$99,0))</f>
        <v>3</v>
      </c>
      <c r="T221" s="8" t="n">
        <f aca="false">INDEX(Mapping!$C$2:$C$99,MATCH(T$1&amp;"|"&amp;Customers!T221,Mapping!$D$2:$D$99,0))</f>
        <v>2</v>
      </c>
      <c r="U221" s="8" t="n">
        <f aca="false">INDEX(Mapping!$C$2:$C$99,MATCH(U$1&amp;"|"&amp;Customers!U221,Mapping!$D$2:$D$99,0))</f>
        <v>1</v>
      </c>
      <c r="V221" s="8" t="n">
        <f aca="false">INDEX(Mapping!$C$2:$C$99,MATCH(V$1&amp;"|"&amp;Customers!V221,Mapping!$D$2:$D$99,0))</f>
        <v>1</v>
      </c>
      <c r="W221" s="17" t="n">
        <f aca="false">SUMPRODUCT($C221:$V221,Weights!$C$27:$V$27)</f>
        <v>1.7225</v>
      </c>
      <c r="X221" s="18" t="n">
        <f aca="false">ROUND($W221,2)</f>
        <v>1.72</v>
      </c>
      <c r="Y221" s="8" t="str">
        <f aca="false">IF($X221&lt;=2,"Low",IF($X221&lt;=3.49,"Medium","High"))</f>
        <v>Low</v>
      </c>
      <c r="Z221" s="8" t="str">
        <f aca="false">IF(OR($F221&gt;=3,$E221=5,$D221=5,$C221=5,$G221=5,$H221=5,$I221=5,$J221=5,Customers!$W221="Yes"),"Yes","No")</f>
        <v>No</v>
      </c>
      <c r="AA221" s="15" t="str">
        <f aca="false">IF($Z221="Yes","High",$Y221)</f>
        <v>Low</v>
      </c>
      <c r="AB221" s="18" t="n">
        <f aca="false">SUMPRODUCT($C221:$G221,Weights!$C$28:$G$28)</f>
        <v>1.45</v>
      </c>
      <c r="AC221" s="18" t="n">
        <f aca="false">SUMPRODUCT($H221:$J221,Weights!$H$28:$J$28)</f>
        <v>1</v>
      </c>
      <c r="AD221" s="18" t="n">
        <f aca="false">SUMPRODUCT($K221:$N221,Weights!$K$28:$N$28)</f>
        <v>2.45</v>
      </c>
      <c r="AE221" s="18" t="n">
        <f aca="false">SUMPRODUCT($O221:$Q221,Weights!$O$28:$Q$28)</f>
        <v>2.4</v>
      </c>
      <c r="AF221" s="18" t="n">
        <f aca="false">SUMPRODUCT($R221:$V221,Weights!$R$28:$V$28)</f>
        <v>2.05</v>
      </c>
      <c r="AH221" s="18" t="n">
        <f aca="false">SUMPRODUCT($AB221:$AF221,Validation!$D$7:$H$7)</f>
        <v>1.7614285714288</v>
      </c>
      <c r="AI221" s="18" t="n">
        <f aca="false">SUMPRODUCT($AB221:$AF221,Validation!$D$8:$H$8)</f>
        <v>1.6835714285712</v>
      </c>
      <c r="AJ221" s="18" t="n">
        <f aca="false">SUMPRODUCT($AB221:$AF221,Validation!$D$9:$H$9)</f>
        <v>1.81883333333335</v>
      </c>
      <c r="AK221" s="18" t="n">
        <f aca="false">SUMPRODUCT($AB221:$AF221,Validation!$D$10:$H$10)</f>
        <v>1.62616666666665</v>
      </c>
      <c r="AL221" s="18" t="n">
        <f aca="false">SUMPRODUCT($AB221:$AF221,Validation!$D$11:$H$11)</f>
        <v>1.6315625</v>
      </c>
      <c r="AM221" s="18" t="n">
        <f aca="false">SUMPRODUCT($AB221:$AF221,Validation!$D$12:$H$12)</f>
        <v>1.8134375</v>
      </c>
      <c r="AN221" s="18" t="n">
        <f aca="false">SUMPRODUCT($AB221:$AF221,Validation!$D$13:$H$13)</f>
        <v>1.6472222222221</v>
      </c>
      <c r="AO221" s="18" t="n">
        <f aca="false">SUMPRODUCT($AB221:$AF221,Validation!$D$14:$H$14)</f>
        <v>1.7977777777779</v>
      </c>
      <c r="AP221" s="18" t="n">
        <f aca="false">SUMPRODUCT($AB221:$AF221,Validation!$D$15:$H$15)</f>
        <v>1.6839705882352</v>
      </c>
      <c r="AQ221" s="18" t="n">
        <f aca="false">SUMPRODUCT($AB221:$AF221,Validation!$D$16:$H$16)</f>
        <v>1.7610294117648</v>
      </c>
      <c r="AR221" s="8" t="n">
        <f aca="false">COUNTIF($C221:$V221,"&gt;=4")</f>
        <v>1</v>
      </c>
      <c r="AS221" s="8" t="str">
        <f aca="false">IF($X221&lt;=1.6,"Low",IF($X221&lt;=2.2,"Medium","High"))</f>
        <v>Medium</v>
      </c>
      <c r="AT221" s="8" t="str">
        <f aca="false">IF($AR221=0,"Low",IF($AR221&lt;3,"Medium","High"))</f>
        <v>Medium</v>
      </c>
      <c r="AU221" s="8" t="str">
        <f aca="false">IF(OR($AS221="High",$AT221="High"),"High",IF(OR($AS221="Medium",$AT221="Medium"),"Medium","Low"))</f>
        <v>Medium</v>
      </c>
      <c r="AV221" s="15" t="str">
        <f aca="false">IF($Z221="Yes","High",$AU221)</f>
        <v>Medium</v>
      </c>
    </row>
    <row r="222" customFormat="false" ht="15" hidden="false" customHeight="false" outlineLevel="0" collapsed="false">
      <c r="A222" s="7" t="str">
        <f aca="false">Customers!$A222</f>
        <v>NG-10266</v>
      </c>
      <c r="B222" s="7" t="str">
        <f aca="false">Customers!$B222</f>
        <v>Personal</v>
      </c>
      <c r="C222" s="8" t="n">
        <f aca="false">INDEX(Mapping!$C$2:$C$99,MATCH(C$1&amp;"|"&amp;Customers!C222,Mapping!$D$2:$D$99,0))</f>
        <v>1</v>
      </c>
      <c r="D222" s="8" t="n">
        <f aca="false">INDEX(Mapping!$C$2:$C$99,MATCH(D$1&amp;"|"&amp;Customers!D222,Mapping!$D$2:$D$99,0))</f>
        <v>1</v>
      </c>
      <c r="E222" s="8" t="n">
        <f aca="false">INDEX(Mapping!$C$2:$C$99,MATCH(E$1&amp;"|"&amp;Customers!E222,Mapping!$D$2:$D$99,0))</f>
        <v>1</v>
      </c>
      <c r="F222" s="8" t="n">
        <f aca="false">INDEX(Mapping!$C$2:$C$99,MATCH(F$1&amp;"|"&amp;Customers!F222,Mapping!$D$2:$D$99,0))</f>
        <v>1</v>
      </c>
      <c r="G222" s="8" t="n">
        <f aca="false">INDEX(Mapping!$C$2:$C$99,MATCH(G$1&amp;"|"&amp;Customers!G222,Mapping!$D$2:$D$99,0))</f>
        <v>1</v>
      </c>
      <c r="H222" s="8" t="n">
        <f aca="false">INDEX(Mapping!$C$2:$C$99,MATCH(H$1&amp;"|"&amp;Customers!H222,Mapping!$D$2:$D$99,0))</f>
        <v>1</v>
      </c>
      <c r="I222" s="8" t="n">
        <f aca="false">INDEX(Mapping!$C$2:$C$99,MATCH(I$1&amp;"|"&amp;Customers!I222,Mapping!$D$2:$D$99,0))</f>
        <v>2</v>
      </c>
      <c r="J222" s="8" t="n">
        <f aca="false">INDEX(Mapping!$C$2:$C$99,MATCH(J$1&amp;"|"&amp;Customers!J222,Mapping!$D$2:$D$99,0))</f>
        <v>1</v>
      </c>
      <c r="K222" s="8" t="n">
        <f aca="false">INDEX(Mapping!$C$2:$C$99,MATCH(K$1&amp;"|"&amp;Customers!K222,Mapping!$D$2:$D$99,0))</f>
        <v>2</v>
      </c>
      <c r="L222" s="8" t="n">
        <f aca="false">INDEX(Mapping!$C$2:$C$99,MATCH(L$1&amp;"|"&amp;Customers!L222,Mapping!$D$2:$D$99,0))</f>
        <v>1</v>
      </c>
      <c r="M222" s="8" t="n">
        <f aca="false">INDEX(Mapping!$C$2:$C$99,MATCH(M$1&amp;"|"&amp;Customers!M222,Mapping!$D$2:$D$99,0))</f>
        <v>3</v>
      </c>
      <c r="N222" s="8" t="n">
        <f aca="false">INDEX(Mapping!$C$2:$C$99,MATCH(N$1&amp;"|"&amp;Customers!N222,Mapping!$D$2:$D$99,0))</f>
        <v>1</v>
      </c>
      <c r="O222" s="8" t="n">
        <f aca="false">INDEX(Mapping!$C$2:$C$99,MATCH(O$1&amp;"|"&amp;Customers!O222,Mapping!$D$2:$D$99,0))</f>
        <v>3</v>
      </c>
      <c r="P222" s="8" t="n">
        <f aca="false">INDEX(Mapping!$C$2:$C$99,MATCH(P$1&amp;"|"&amp;Customers!P222,Mapping!$D$2:$D$99,0))</f>
        <v>4</v>
      </c>
      <c r="Q222" s="8" t="n">
        <f aca="false">INDEX(Mapping!$C$2:$C$99,MATCH(Q$1&amp;"|"&amp;Customers!Q222,Mapping!$D$2:$D$99,0))</f>
        <v>1</v>
      </c>
      <c r="R222" s="8" t="n">
        <f aca="false">INDEX(Mapping!$C$2:$C$99,MATCH(R$1&amp;"|"&amp;Customers!R222,Mapping!$D$2:$D$99,0))</f>
        <v>1</v>
      </c>
      <c r="S222" s="8" t="n">
        <f aca="false">INDEX(Mapping!$C$2:$C$99,MATCH(S$1&amp;"|"&amp;Customers!S222,Mapping!$D$2:$D$99,0))</f>
        <v>2</v>
      </c>
      <c r="T222" s="8" t="n">
        <f aca="false">INDEX(Mapping!$C$2:$C$99,MATCH(T$1&amp;"|"&amp;Customers!T222,Mapping!$D$2:$D$99,0))</f>
        <v>2</v>
      </c>
      <c r="U222" s="8" t="n">
        <f aca="false">INDEX(Mapping!$C$2:$C$99,MATCH(U$1&amp;"|"&amp;Customers!U222,Mapping!$D$2:$D$99,0))</f>
        <v>2</v>
      </c>
      <c r="V222" s="8" t="n">
        <f aca="false">INDEX(Mapping!$C$2:$C$99,MATCH(V$1&amp;"|"&amp;Customers!V222,Mapping!$D$2:$D$99,0))</f>
        <v>1</v>
      </c>
      <c r="W222" s="17" t="n">
        <f aca="false">SUMPRODUCT($C222:$V222,Weights!$C$27:$V$27)</f>
        <v>1.5125</v>
      </c>
      <c r="X222" s="18" t="n">
        <f aca="false">ROUND($W222,2)</f>
        <v>1.51</v>
      </c>
      <c r="Y222" s="8" t="str">
        <f aca="false">IF($X222&lt;=2,"Low",IF($X222&lt;=3.49,"Medium","High"))</f>
        <v>Low</v>
      </c>
      <c r="Z222" s="8" t="str">
        <f aca="false">IF(OR($F222&gt;=3,$E222=5,$D222=5,$C222=5,$G222=5,$H222=5,$I222=5,$J222=5,Customers!$W222="Yes"),"Yes","No")</f>
        <v>No</v>
      </c>
      <c r="AA222" s="15" t="str">
        <f aca="false">IF($Z222="Yes","High",$Y222)</f>
        <v>Low</v>
      </c>
      <c r="AB222" s="18" t="n">
        <f aca="false">SUMPRODUCT($C222:$G222,Weights!$C$28:$G$28)</f>
        <v>1</v>
      </c>
      <c r="AC222" s="18" t="n">
        <f aca="false">SUMPRODUCT($H222:$J222,Weights!$H$28:$J$28)</f>
        <v>1.2</v>
      </c>
      <c r="AD222" s="18" t="n">
        <f aca="false">SUMPRODUCT($K222:$N222,Weights!$K$28:$N$28)</f>
        <v>1.85</v>
      </c>
      <c r="AE222" s="18" t="n">
        <f aca="false">SUMPRODUCT($O222:$Q222,Weights!$O$28:$Q$28)</f>
        <v>2.95</v>
      </c>
      <c r="AF222" s="18" t="n">
        <f aca="false">SUMPRODUCT($R222:$V222,Weights!$R$28:$V$28)</f>
        <v>1.65</v>
      </c>
      <c r="AH222" s="18" t="n">
        <f aca="false">SUMPRODUCT($AB222:$AF222,Validation!$D$7:$H$7)</f>
        <v>1.5857142857147</v>
      </c>
      <c r="AI222" s="18" t="n">
        <f aca="false">SUMPRODUCT($AB222:$AF222,Validation!$D$8:$H$8)</f>
        <v>1.4392857142853</v>
      </c>
      <c r="AJ222" s="18" t="n">
        <f aca="false">SUMPRODUCT($AB222:$AF222,Validation!$D$9:$H$9)</f>
        <v>1.5541666666663</v>
      </c>
      <c r="AK222" s="18" t="n">
        <f aca="false">SUMPRODUCT($AB222:$AF222,Validation!$D$10:$H$10)</f>
        <v>1.4708333333337</v>
      </c>
      <c r="AL222" s="18" t="n">
        <f aca="false">SUMPRODUCT($AB222:$AF222,Validation!$D$11:$H$11)</f>
        <v>1.4703125</v>
      </c>
      <c r="AM222" s="18" t="n">
        <f aca="false">SUMPRODUCT($AB222:$AF222,Validation!$D$12:$H$12)</f>
        <v>1.5546875</v>
      </c>
      <c r="AN222" s="18" t="n">
        <f aca="false">SUMPRODUCT($AB222:$AF222,Validation!$D$13:$H$13)</f>
        <v>1.35277777777785</v>
      </c>
      <c r="AO222" s="18" t="n">
        <f aca="false">SUMPRODUCT($AB222:$AF222,Validation!$D$14:$H$14)</f>
        <v>1.67222222222215</v>
      </c>
      <c r="AP222" s="18" t="n">
        <f aca="false">SUMPRODUCT($AB222:$AF222,Validation!$D$15:$H$15)</f>
        <v>1.49632352941135</v>
      </c>
      <c r="AQ222" s="18" t="n">
        <f aca="false">SUMPRODUCT($AB222:$AF222,Validation!$D$16:$H$16)</f>
        <v>1.52867647058865</v>
      </c>
      <c r="AR222" s="8" t="n">
        <f aca="false">COUNTIF($C222:$V222,"&gt;=4")</f>
        <v>1</v>
      </c>
      <c r="AS222" s="8" t="str">
        <f aca="false">IF($X222&lt;=1.6,"Low",IF($X222&lt;=2.2,"Medium","High"))</f>
        <v>Low</v>
      </c>
      <c r="AT222" s="8" t="str">
        <f aca="false">IF($AR222=0,"Low",IF($AR222&lt;3,"Medium","High"))</f>
        <v>Medium</v>
      </c>
      <c r="AU222" s="8" t="str">
        <f aca="false">IF(OR($AS222="High",$AT222="High"),"High",IF(OR($AS222="Medium",$AT222="Medium"),"Medium","Low"))</f>
        <v>Medium</v>
      </c>
      <c r="AV222" s="15" t="str">
        <f aca="false">IF($Z222="Yes","High",$AU222)</f>
        <v>Medium</v>
      </c>
    </row>
    <row r="223" customFormat="false" ht="15" hidden="false" customHeight="false" outlineLevel="0" collapsed="false">
      <c r="A223" s="7" t="str">
        <f aca="false">Customers!$A223</f>
        <v>NG-10058</v>
      </c>
      <c r="B223" s="7" t="str">
        <f aca="false">Customers!$B223</f>
        <v>Personal</v>
      </c>
      <c r="C223" s="8" t="n">
        <f aca="false">INDEX(Mapping!$C$2:$C$99,MATCH(C$1&amp;"|"&amp;Customers!C223,Mapping!$D$2:$D$99,0))</f>
        <v>1</v>
      </c>
      <c r="D223" s="8" t="n">
        <f aca="false">INDEX(Mapping!$C$2:$C$99,MATCH(D$1&amp;"|"&amp;Customers!D223,Mapping!$D$2:$D$99,0))</f>
        <v>1</v>
      </c>
      <c r="E223" s="8" t="n">
        <f aca="false">INDEX(Mapping!$C$2:$C$99,MATCH(E$1&amp;"|"&amp;Customers!E223,Mapping!$D$2:$D$99,0))</f>
        <v>1</v>
      </c>
      <c r="F223" s="8" t="n">
        <f aca="false">INDEX(Mapping!$C$2:$C$99,MATCH(F$1&amp;"|"&amp;Customers!F223,Mapping!$D$2:$D$99,0))</f>
        <v>1</v>
      </c>
      <c r="G223" s="8" t="n">
        <f aca="false">INDEX(Mapping!$C$2:$C$99,MATCH(G$1&amp;"|"&amp;Customers!G223,Mapping!$D$2:$D$99,0))</f>
        <v>1</v>
      </c>
      <c r="H223" s="8" t="n">
        <f aca="false">INDEX(Mapping!$C$2:$C$99,MATCH(H$1&amp;"|"&amp;Customers!H223,Mapping!$D$2:$D$99,0))</f>
        <v>1</v>
      </c>
      <c r="I223" s="8" t="n">
        <f aca="false">INDEX(Mapping!$C$2:$C$99,MATCH(I$1&amp;"|"&amp;Customers!I223,Mapping!$D$2:$D$99,0))</f>
        <v>1</v>
      </c>
      <c r="J223" s="8" t="n">
        <f aca="false">INDEX(Mapping!$C$2:$C$99,MATCH(J$1&amp;"|"&amp;Customers!J223,Mapping!$D$2:$D$99,0))</f>
        <v>1</v>
      </c>
      <c r="K223" s="8" t="n">
        <f aca="false">INDEX(Mapping!$C$2:$C$99,MATCH(K$1&amp;"|"&amp;Customers!K223,Mapping!$D$2:$D$99,0))</f>
        <v>3</v>
      </c>
      <c r="L223" s="8" t="n">
        <f aca="false">INDEX(Mapping!$C$2:$C$99,MATCH(L$1&amp;"|"&amp;Customers!L223,Mapping!$D$2:$D$99,0))</f>
        <v>2</v>
      </c>
      <c r="M223" s="8" t="n">
        <f aca="false">INDEX(Mapping!$C$2:$C$99,MATCH(M$1&amp;"|"&amp;Customers!M223,Mapping!$D$2:$D$99,0))</f>
        <v>1</v>
      </c>
      <c r="N223" s="8" t="n">
        <f aca="false">INDEX(Mapping!$C$2:$C$99,MATCH(N$1&amp;"|"&amp;Customers!N223,Mapping!$D$2:$D$99,0))</f>
        <v>1</v>
      </c>
      <c r="O223" s="8" t="n">
        <f aca="false">INDEX(Mapping!$C$2:$C$99,MATCH(O$1&amp;"|"&amp;Customers!O223,Mapping!$D$2:$D$99,0))</f>
        <v>2</v>
      </c>
      <c r="P223" s="8" t="n">
        <f aca="false">INDEX(Mapping!$C$2:$C$99,MATCH(P$1&amp;"|"&amp;Customers!P223,Mapping!$D$2:$D$99,0))</f>
        <v>3</v>
      </c>
      <c r="Q223" s="8" t="n">
        <f aca="false">INDEX(Mapping!$C$2:$C$99,MATCH(Q$1&amp;"|"&amp;Customers!Q223,Mapping!$D$2:$D$99,0))</f>
        <v>2</v>
      </c>
      <c r="R223" s="8" t="n">
        <f aca="false">INDEX(Mapping!$C$2:$C$99,MATCH(R$1&amp;"|"&amp;Customers!R223,Mapping!$D$2:$D$99,0))</f>
        <v>1</v>
      </c>
      <c r="S223" s="8" t="n">
        <f aca="false">INDEX(Mapping!$C$2:$C$99,MATCH(S$1&amp;"|"&amp;Customers!S223,Mapping!$D$2:$D$99,0))</f>
        <v>1</v>
      </c>
      <c r="T223" s="8" t="n">
        <f aca="false">INDEX(Mapping!$C$2:$C$99,MATCH(T$1&amp;"|"&amp;Customers!T223,Mapping!$D$2:$D$99,0))</f>
        <v>1</v>
      </c>
      <c r="U223" s="8" t="n">
        <f aca="false">INDEX(Mapping!$C$2:$C$99,MATCH(U$1&amp;"|"&amp;Customers!U223,Mapping!$D$2:$D$99,0))</f>
        <v>1</v>
      </c>
      <c r="V223" s="8" t="n">
        <f aca="false">INDEX(Mapping!$C$2:$C$99,MATCH(V$1&amp;"|"&amp;Customers!V223,Mapping!$D$2:$D$99,0))</f>
        <v>1</v>
      </c>
      <c r="W223" s="17" t="n">
        <f aca="false">SUMPRODUCT($C223:$V223,Weights!$C$27:$V$27)</f>
        <v>1.325</v>
      </c>
      <c r="X223" s="18" t="n">
        <f aca="false">ROUND($W223,2)</f>
        <v>1.33</v>
      </c>
      <c r="Y223" s="8" t="str">
        <f aca="false">IF($X223&lt;=2,"Low",IF($X223&lt;=3.49,"Medium","High"))</f>
        <v>Low</v>
      </c>
      <c r="Z223" s="8" t="str">
        <f aca="false">IF(OR($F223&gt;=3,$E223=5,$D223=5,$C223=5,$G223=5,$H223=5,$I223=5,$J223=5,Customers!$W223="Yes"),"Yes","No")</f>
        <v>No</v>
      </c>
      <c r="AA223" s="15" t="str">
        <f aca="false">IF($Z223="Yes","High",$Y223)</f>
        <v>Low</v>
      </c>
      <c r="AB223" s="18" t="n">
        <f aca="false">SUMPRODUCT($C223:$G223,Weights!$C$28:$G$28)</f>
        <v>1</v>
      </c>
      <c r="AC223" s="18" t="n">
        <f aca="false">SUMPRODUCT($H223:$J223,Weights!$H$28:$J$28)</f>
        <v>1</v>
      </c>
      <c r="AD223" s="18" t="n">
        <f aca="false">SUMPRODUCT($K223:$N223,Weights!$K$28:$N$28)</f>
        <v>1.95</v>
      </c>
      <c r="AE223" s="18" t="n">
        <f aca="false">SUMPRODUCT($O223:$Q223,Weights!$O$28:$Q$28)</f>
        <v>2.35</v>
      </c>
      <c r="AF223" s="18" t="n">
        <f aca="false">SUMPRODUCT($R223:$V223,Weights!$R$28:$V$28)</f>
        <v>1</v>
      </c>
      <c r="AH223" s="18" t="n">
        <f aca="false">SUMPRODUCT($AB223:$AF223,Validation!$D$7:$H$7)</f>
        <v>1.37142857142855</v>
      </c>
      <c r="AI223" s="18" t="n">
        <f aca="false">SUMPRODUCT($AB223:$AF223,Validation!$D$8:$H$8)</f>
        <v>1.27857142857145</v>
      </c>
      <c r="AJ223" s="18" t="n">
        <f aca="false">SUMPRODUCT($AB223:$AF223,Validation!$D$9:$H$9)</f>
        <v>1.3683333333332</v>
      </c>
      <c r="AK223" s="18" t="n">
        <f aca="false">SUMPRODUCT($AB223:$AF223,Validation!$D$10:$H$10)</f>
        <v>1.2816666666668</v>
      </c>
      <c r="AL223" s="18" t="n">
        <f aca="false">SUMPRODUCT($AB223:$AF223,Validation!$D$11:$H$11)</f>
        <v>1.246875</v>
      </c>
      <c r="AM223" s="18" t="n">
        <f aca="false">SUMPRODUCT($AB223:$AF223,Validation!$D$12:$H$12)</f>
        <v>1.403125</v>
      </c>
      <c r="AN223" s="18" t="n">
        <f aca="false">SUMPRODUCT($AB223:$AF223,Validation!$D$13:$H$13)</f>
        <v>1.2111111111109</v>
      </c>
      <c r="AO223" s="18" t="n">
        <f aca="false">SUMPRODUCT($AB223:$AF223,Validation!$D$14:$H$14)</f>
        <v>1.4388888888891</v>
      </c>
      <c r="AP223" s="18" t="n">
        <f aca="false">SUMPRODUCT($AB223:$AF223,Validation!$D$15:$H$15)</f>
        <v>1.36323529411745</v>
      </c>
      <c r="AQ223" s="18" t="n">
        <f aca="false">SUMPRODUCT($AB223:$AF223,Validation!$D$16:$H$16)</f>
        <v>1.28676470588255</v>
      </c>
      <c r="AR223" s="8" t="n">
        <f aca="false">COUNTIF($C223:$V223,"&gt;=4")</f>
        <v>0</v>
      </c>
      <c r="AS223" s="8" t="str">
        <f aca="false">IF($X223&lt;=1.6,"Low",IF($X223&lt;=2.2,"Medium","High"))</f>
        <v>Low</v>
      </c>
      <c r="AT223" s="8" t="str">
        <f aca="false">IF($AR223=0,"Low",IF($AR223&lt;3,"Medium","High"))</f>
        <v>Low</v>
      </c>
      <c r="AU223" s="8" t="str">
        <f aca="false">IF(OR($AS223="High",$AT223="High"),"High",IF(OR($AS223="Medium",$AT223="Medium"),"Medium","Low"))</f>
        <v>Low</v>
      </c>
      <c r="AV223" s="15" t="str">
        <f aca="false">IF($Z223="Yes","High",$AU223)</f>
        <v>Low</v>
      </c>
    </row>
    <row r="224" customFormat="false" ht="15" hidden="false" customHeight="false" outlineLevel="0" collapsed="false">
      <c r="A224" s="7" t="str">
        <f aca="false">Customers!$A224</f>
        <v>NG-10228</v>
      </c>
      <c r="B224" s="7" t="str">
        <f aca="false">Customers!$B224</f>
        <v>Personal</v>
      </c>
      <c r="C224" s="8" t="n">
        <f aca="false">INDEX(Mapping!$C$2:$C$99,MATCH(C$1&amp;"|"&amp;Customers!C224,Mapping!$D$2:$D$99,0))</f>
        <v>1</v>
      </c>
      <c r="D224" s="8" t="n">
        <f aca="false">INDEX(Mapping!$C$2:$C$99,MATCH(D$1&amp;"|"&amp;Customers!D224,Mapping!$D$2:$D$99,0))</f>
        <v>1</v>
      </c>
      <c r="E224" s="8" t="n">
        <f aca="false">INDEX(Mapping!$C$2:$C$99,MATCH(E$1&amp;"|"&amp;Customers!E224,Mapping!$D$2:$D$99,0))</f>
        <v>4</v>
      </c>
      <c r="F224" s="8" t="n">
        <f aca="false">INDEX(Mapping!$C$2:$C$99,MATCH(F$1&amp;"|"&amp;Customers!F224,Mapping!$D$2:$D$99,0))</f>
        <v>1</v>
      </c>
      <c r="G224" s="8" t="n">
        <f aca="false">INDEX(Mapping!$C$2:$C$99,MATCH(G$1&amp;"|"&amp;Customers!G224,Mapping!$D$2:$D$99,0))</f>
        <v>1</v>
      </c>
      <c r="H224" s="8" t="n">
        <f aca="false">INDEX(Mapping!$C$2:$C$99,MATCH(H$1&amp;"|"&amp;Customers!H224,Mapping!$D$2:$D$99,0))</f>
        <v>1</v>
      </c>
      <c r="I224" s="8" t="n">
        <f aca="false">INDEX(Mapping!$C$2:$C$99,MATCH(I$1&amp;"|"&amp;Customers!I224,Mapping!$D$2:$D$99,0))</f>
        <v>1</v>
      </c>
      <c r="J224" s="8" t="n">
        <f aca="false">INDEX(Mapping!$C$2:$C$99,MATCH(J$1&amp;"|"&amp;Customers!J224,Mapping!$D$2:$D$99,0))</f>
        <v>1</v>
      </c>
      <c r="K224" s="8" t="n">
        <f aca="false">INDEX(Mapping!$C$2:$C$99,MATCH(K$1&amp;"|"&amp;Customers!K224,Mapping!$D$2:$D$99,0))</f>
        <v>3</v>
      </c>
      <c r="L224" s="8" t="n">
        <f aca="false">INDEX(Mapping!$C$2:$C$99,MATCH(L$1&amp;"|"&amp;Customers!L224,Mapping!$D$2:$D$99,0))</f>
        <v>1</v>
      </c>
      <c r="M224" s="8" t="n">
        <f aca="false">INDEX(Mapping!$C$2:$C$99,MATCH(M$1&amp;"|"&amp;Customers!M224,Mapping!$D$2:$D$99,0))</f>
        <v>1</v>
      </c>
      <c r="N224" s="8" t="n">
        <f aca="false">INDEX(Mapping!$C$2:$C$99,MATCH(N$1&amp;"|"&amp;Customers!N224,Mapping!$D$2:$D$99,0))</f>
        <v>1</v>
      </c>
      <c r="O224" s="8" t="n">
        <f aca="false">INDEX(Mapping!$C$2:$C$99,MATCH(O$1&amp;"|"&amp;Customers!O224,Mapping!$D$2:$D$99,0))</f>
        <v>3</v>
      </c>
      <c r="P224" s="8" t="n">
        <f aca="false">INDEX(Mapping!$C$2:$C$99,MATCH(P$1&amp;"|"&amp;Customers!P224,Mapping!$D$2:$D$99,0))</f>
        <v>3</v>
      </c>
      <c r="Q224" s="8" t="n">
        <f aca="false">INDEX(Mapping!$C$2:$C$99,MATCH(Q$1&amp;"|"&amp;Customers!Q224,Mapping!$D$2:$D$99,0))</f>
        <v>3</v>
      </c>
      <c r="R224" s="8" t="n">
        <f aca="false">INDEX(Mapping!$C$2:$C$99,MATCH(R$1&amp;"|"&amp;Customers!R224,Mapping!$D$2:$D$99,0))</f>
        <v>2</v>
      </c>
      <c r="S224" s="8" t="n">
        <f aca="false">INDEX(Mapping!$C$2:$C$99,MATCH(S$1&amp;"|"&amp;Customers!S224,Mapping!$D$2:$D$99,0))</f>
        <v>2</v>
      </c>
      <c r="T224" s="8" t="n">
        <f aca="false">INDEX(Mapping!$C$2:$C$99,MATCH(T$1&amp;"|"&amp;Customers!T224,Mapping!$D$2:$D$99,0))</f>
        <v>1</v>
      </c>
      <c r="U224" s="8" t="n">
        <f aca="false">INDEX(Mapping!$C$2:$C$99,MATCH(U$1&amp;"|"&amp;Customers!U224,Mapping!$D$2:$D$99,0))</f>
        <v>2</v>
      </c>
      <c r="V224" s="8" t="n">
        <f aca="false">INDEX(Mapping!$C$2:$C$99,MATCH(V$1&amp;"|"&amp;Customers!V224,Mapping!$D$2:$D$99,0))</f>
        <v>1</v>
      </c>
      <c r="W224" s="17" t="n">
        <f aca="false">SUMPRODUCT($C224:$V224,Weights!$C$27:$V$27)</f>
        <v>1.67</v>
      </c>
      <c r="X224" s="18" t="n">
        <f aca="false">ROUND($W224,2)</f>
        <v>1.67</v>
      </c>
      <c r="Y224" s="8" t="str">
        <f aca="false">IF($X224&lt;=2,"Low",IF($X224&lt;=3.49,"Medium","High"))</f>
        <v>Low</v>
      </c>
      <c r="Z224" s="8" t="str">
        <f aca="false">IF(OR($F224&gt;=3,$E224=5,$D224=5,$C224=5,$G224=5,$H224=5,$I224=5,$J224=5,Customers!$W224="Yes"),"Yes","No")</f>
        <v>No</v>
      </c>
      <c r="AA224" s="15" t="str">
        <f aca="false">IF($Z224="Yes","High",$Y224)</f>
        <v>Low</v>
      </c>
      <c r="AB224" s="18" t="n">
        <f aca="false">SUMPRODUCT($C224:$G224,Weights!$C$28:$G$28)</f>
        <v>1.75</v>
      </c>
      <c r="AC224" s="18" t="n">
        <f aca="false">SUMPRODUCT($H224:$J224,Weights!$H$28:$J$28)</f>
        <v>1</v>
      </c>
      <c r="AD224" s="18" t="n">
        <f aca="false">SUMPRODUCT($K224:$N224,Weights!$K$28:$N$28)</f>
        <v>1.7</v>
      </c>
      <c r="AE224" s="18" t="n">
        <f aca="false">SUMPRODUCT($O224:$Q224,Weights!$O$28:$Q$28)</f>
        <v>3</v>
      </c>
      <c r="AF224" s="18" t="n">
        <f aca="false">SUMPRODUCT($R224:$V224,Weights!$R$28:$V$28)</f>
        <v>1.7</v>
      </c>
      <c r="AH224" s="18" t="n">
        <f aca="false">SUMPRODUCT($AB224:$AF224,Validation!$D$7:$H$7)</f>
        <v>1.658571428572</v>
      </c>
      <c r="AI224" s="18" t="n">
        <f aca="false">SUMPRODUCT($AB224:$AF224,Validation!$D$8:$H$8)</f>
        <v>1.681428571428</v>
      </c>
      <c r="AJ224" s="18" t="n">
        <f aca="false">SUMPRODUCT($AB224:$AF224,Validation!$D$9:$H$9)</f>
        <v>1.7593333333329</v>
      </c>
      <c r="AK224" s="18" t="n">
        <f aca="false">SUMPRODUCT($AB224:$AF224,Validation!$D$10:$H$10)</f>
        <v>1.5806666666671</v>
      </c>
      <c r="AL224" s="18" t="n">
        <f aca="false">SUMPRODUCT($AB224:$AF224,Validation!$D$11:$H$11)</f>
        <v>1.66625</v>
      </c>
      <c r="AM224" s="18" t="n">
        <f aca="false">SUMPRODUCT($AB224:$AF224,Validation!$D$12:$H$12)</f>
        <v>1.67375</v>
      </c>
      <c r="AN224" s="18" t="n">
        <f aca="false">SUMPRODUCT($AB224:$AF224,Validation!$D$13:$H$13)</f>
        <v>1.52222222222205</v>
      </c>
      <c r="AO224" s="18" t="n">
        <f aca="false">SUMPRODUCT($AB224:$AF224,Validation!$D$14:$H$14)</f>
        <v>1.81777777777795</v>
      </c>
      <c r="AP224" s="18" t="n">
        <f aca="false">SUMPRODUCT($AB224:$AF224,Validation!$D$15:$H$15)</f>
        <v>1.66647058823475</v>
      </c>
      <c r="AQ224" s="18" t="n">
        <f aca="false">SUMPRODUCT($AB224:$AF224,Validation!$D$16:$H$16)</f>
        <v>1.67352941176525</v>
      </c>
      <c r="AR224" s="8" t="n">
        <f aca="false">COUNTIF($C224:$V224,"&gt;=4")</f>
        <v>1</v>
      </c>
      <c r="AS224" s="8" t="str">
        <f aca="false">IF($X224&lt;=1.6,"Low",IF($X224&lt;=2.2,"Medium","High"))</f>
        <v>Medium</v>
      </c>
      <c r="AT224" s="8" t="str">
        <f aca="false">IF($AR224=0,"Low",IF($AR224&lt;3,"Medium","High"))</f>
        <v>Medium</v>
      </c>
      <c r="AU224" s="8" t="str">
        <f aca="false">IF(OR($AS224="High",$AT224="High"),"High",IF(OR($AS224="Medium",$AT224="Medium"),"Medium","Low"))</f>
        <v>Medium</v>
      </c>
      <c r="AV224" s="15" t="str">
        <f aca="false">IF($Z224="Yes","High",$AU224)</f>
        <v>Medium</v>
      </c>
    </row>
    <row r="225" customFormat="false" ht="15" hidden="false" customHeight="false" outlineLevel="0" collapsed="false">
      <c r="A225" s="7" t="str">
        <f aca="false">Customers!$A225</f>
        <v>NG-10201</v>
      </c>
      <c r="B225" s="7" t="str">
        <f aca="false">Customers!$B225</f>
        <v>Personal</v>
      </c>
      <c r="C225" s="8" t="n">
        <f aca="false">INDEX(Mapping!$C$2:$C$99,MATCH(C$1&amp;"|"&amp;Customers!C225,Mapping!$D$2:$D$99,0))</f>
        <v>1</v>
      </c>
      <c r="D225" s="8" t="n">
        <f aca="false">INDEX(Mapping!$C$2:$C$99,MATCH(D$1&amp;"|"&amp;Customers!D225,Mapping!$D$2:$D$99,0))</f>
        <v>1</v>
      </c>
      <c r="E225" s="8" t="n">
        <f aca="false">INDEX(Mapping!$C$2:$C$99,MATCH(E$1&amp;"|"&amp;Customers!E225,Mapping!$D$2:$D$99,0))</f>
        <v>1</v>
      </c>
      <c r="F225" s="8" t="n">
        <f aca="false">INDEX(Mapping!$C$2:$C$99,MATCH(F$1&amp;"|"&amp;Customers!F225,Mapping!$D$2:$D$99,0))</f>
        <v>1</v>
      </c>
      <c r="G225" s="8" t="n">
        <f aca="false">INDEX(Mapping!$C$2:$C$99,MATCH(G$1&amp;"|"&amp;Customers!G225,Mapping!$D$2:$D$99,0))</f>
        <v>1</v>
      </c>
      <c r="H225" s="8" t="n">
        <f aca="false">INDEX(Mapping!$C$2:$C$99,MATCH(H$1&amp;"|"&amp;Customers!H225,Mapping!$D$2:$D$99,0))</f>
        <v>1</v>
      </c>
      <c r="I225" s="8" t="n">
        <f aca="false">INDEX(Mapping!$C$2:$C$99,MATCH(I$1&amp;"|"&amp;Customers!I225,Mapping!$D$2:$D$99,0))</f>
        <v>1</v>
      </c>
      <c r="J225" s="8" t="n">
        <f aca="false">INDEX(Mapping!$C$2:$C$99,MATCH(J$1&amp;"|"&amp;Customers!J225,Mapping!$D$2:$D$99,0))</f>
        <v>1</v>
      </c>
      <c r="K225" s="8" t="n">
        <f aca="false">INDEX(Mapping!$C$2:$C$99,MATCH(K$1&amp;"|"&amp;Customers!K225,Mapping!$D$2:$D$99,0))</f>
        <v>3</v>
      </c>
      <c r="L225" s="8" t="n">
        <f aca="false">INDEX(Mapping!$C$2:$C$99,MATCH(L$1&amp;"|"&amp;Customers!L225,Mapping!$D$2:$D$99,0))</f>
        <v>2</v>
      </c>
      <c r="M225" s="8" t="n">
        <f aca="false">INDEX(Mapping!$C$2:$C$99,MATCH(M$1&amp;"|"&amp;Customers!M225,Mapping!$D$2:$D$99,0))</f>
        <v>1</v>
      </c>
      <c r="N225" s="8" t="n">
        <f aca="false">INDEX(Mapping!$C$2:$C$99,MATCH(N$1&amp;"|"&amp;Customers!N225,Mapping!$D$2:$D$99,0))</f>
        <v>1</v>
      </c>
      <c r="O225" s="8" t="n">
        <f aca="false">INDEX(Mapping!$C$2:$C$99,MATCH(O$1&amp;"|"&amp;Customers!O225,Mapping!$D$2:$D$99,0))</f>
        <v>4</v>
      </c>
      <c r="P225" s="8" t="n">
        <f aca="false">INDEX(Mapping!$C$2:$C$99,MATCH(P$1&amp;"|"&amp;Customers!P225,Mapping!$D$2:$D$99,0))</f>
        <v>1</v>
      </c>
      <c r="Q225" s="8" t="n">
        <f aca="false">INDEX(Mapping!$C$2:$C$99,MATCH(Q$1&amp;"|"&amp;Customers!Q225,Mapping!$D$2:$D$99,0))</f>
        <v>1</v>
      </c>
      <c r="R225" s="8" t="n">
        <f aca="false">INDEX(Mapping!$C$2:$C$99,MATCH(R$1&amp;"|"&amp;Customers!R225,Mapping!$D$2:$D$99,0))</f>
        <v>1</v>
      </c>
      <c r="S225" s="8" t="n">
        <f aca="false">INDEX(Mapping!$C$2:$C$99,MATCH(S$1&amp;"|"&amp;Customers!S225,Mapping!$D$2:$D$99,0))</f>
        <v>2</v>
      </c>
      <c r="T225" s="8" t="n">
        <f aca="false">INDEX(Mapping!$C$2:$C$99,MATCH(T$1&amp;"|"&amp;Customers!T225,Mapping!$D$2:$D$99,0))</f>
        <v>1</v>
      </c>
      <c r="U225" s="8" t="n">
        <f aca="false">INDEX(Mapping!$C$2:$C$99,MATCH(U$1&amp;"|"&amp;Customers!U225,Mapping!$D$2:$D$99,0))</f>
        <v>2</v>
      </c>
      <c r="V225" s="8" t="n">
        <f aca="false">INDEX(Mapping!$C$2:$C$99,MATCH(V$1&amp;"|"&amp;Customers!V225,Mapping!$D$2:$D$99,0))</f>
        <v>1</v>
      </c>
      <c r="W225" s="17" t="n">
        <f aca="false">SUMPRODUCT($C225:$V225,Weights!$C$27:$V$27)</f>
        <v>1.3925</v>
      </c>
      <c r="X225" s="18" t="n">
        <f aca="false">ROUND($W225,2)</f>
        <v>1.39</v>
      </c>
      <c r="Y225" s="8" t="str">
        <f aca="false">IF($X225&lt;=2,"Low",IF($X225&lt;=3.49,"Medium","High"))</f>
        <v>Low</v>
      </c>
      <c r="Z225" s="8" t="str">
        <f aca="false">IF(OR($F225&gt;=3,$E225=5,$D225=5,$C225=5,$G225=5,$H225=5,$I225=5,$J225=5,Customers!$W225="Yes"),"Yes","No")</f>
        <v>No</v>
      </c>
      <c r="AA225" s="15" t="str">
        <f aca="false">IF($Z225="Yes","High",$Y225)</f>
        <v>Low</v>
      </c>
      <c r="AB225" s="18" t="n">
        <f aca="false">SUMPRODUCT($C225:$G225,Weights!$C$28:$G$28)</f>
        <v>1</v>
      </c>
      <c r="AC225" s="18" t="n">
        <f aca="false">SUMPRODUCT($H225:$J225,Weights!$H$28:$J$28)</f>
        <v>1</v>
      </c>
      <c r="AD225" s="18" t="n">
        <f aca="false">SUMPRODUCT($K225:$N225,Weights!$K$28:$N$28)</f>
        <v>1.95</v>
      </c>
      <c r="AE225" s="18" t="n">
        <f aca="false">SUMPRODUCT($O225:$Q225,Weights!$O$28:$Q$28)</f>
        <v>2.35</v>
      </c>
      <c r="AF225" s="18" t="n">
        <f aca="false">SUMPRODUCT($R225:$V225,Weights!$R$28:$V$28)</f>
        <v>1.45</v>
      </c>
      <c r="AH225" s="18" t="n">
        <f aca="false">SUMPRODUCT($AB225:$AF225,Validation!$D$7:$H$7)</f>
        <v>1.4485714285716</v>
      </c>
      <c r="AI225" s="18" t="n">
        <f aca="false">SUMPRODUCT($AB225:$AF225,Validation!$D$8:$H$8)</f>
        <v>1.3364285714284</v>
      </c>
      <c r="AJ225" s="18" t="n">
        <f aca="false">SUMPRODUCT($AB225:$AF225,Validation!$D$9:$H$9)</f>
        <v>1.4448333333332</v>
      </c>
      <c r="AK225" s="18" t="n">
        <f aca="false">SUMPRODUCT($AB225:$AF225,Validation!$D$10:$H$10)</f>
        <v>1.3401666666668</v>
      </c>
      <c r="AL225" s="18" t="n">
        <f aca="false">SUMPRODUCT($AB225:$AF225,Validation!$D$11:$H$11)</f>
        <v>1.3228125</v>
      </c>
      <c r="AM225" s="18" t="n">
        <f aca="false">SUMPRODUCT($AB225:$AF225,Validation!$D$12:$H$12)</f>
        <v>1.4621875</v>
      </c>
      <c r="AN225" s="18" t="n">
        <f aca="false">SUMPRODUCT($AB225:$AF225,Validation!$D$13:$H$13)</f>
        <v>1.28611111111105</v>
      </c>
      <c r="AO225" s="18" t="n">
        <f aca="false">SUMPRODUCT($AB225:$AF225,Validation!$D$14:$H$14)</f>
        <v>1.49888888888895</v>
      </c>
      <c r="AP225" s="18" t="n">
        <f aca="false">SUMPRODUCT($AB225:$AF225,Validation!$D$15:$H$15)</f>
        <v>1.38573529411745</v>
      </c>
      <c r="AQ225" s="18" t="n">
        <f aca="false">SUMPRODUCT($AB225:$AF225,Validation!$D$16:$H$16)</f>
        <v>1.39926470588255</v>
      </c>
      <c r="AR225" s="8" t="n">
        <f aca="false">COUNTIF($C225:$V225,"&gt;=4")</f>
        <v>1</v>
      </c>
      <c r="AS225" s="8" t="str">
        <f aca="false">IF($X225&lt;=1.6,"Low",IF($X225&lt;=2.2,"Medium","High"))</f>
        <v>Low</v>
      </c>
      <c r="AT225" s="8" t="str">
        <f aca="false">IF($AR225=0,"Low",IF($AR225&lt;3,"Medium","High"))</f>
        <v>Medium</v>
      </c>
      <c r="AU225" s="8" t="str">
        <f aca="false">IF(OR($AS225="High",$AT225="High"),"High",IF(OR($AS225="Medium",$AT225="Medium"),"Medium","Low"))</f>
        <v>Medium</v>
      </c>
      <c r="AV225" s="15" t="str">
        <f aca="false">IF($Z225="Yes","High",$AU225)</f>
        <v>Medium</v>
      </c>
    </row>
    <row r="226" customFormat="false" ht="15" hidden="false" customHeight="false" outlineLevel="0" collapsed="false">
      <c r="A226" s="7" t="str">
        <f aca="false">Customers!$A226</f>
        <v>NG-10082</v>
      </c>
      <c r="B226" s="7" t="str">
        <f aca="false">Customers!$B226</f>
        <v>Personal</v>
      </c>
      <c r="C226" s="8" t="n">
        <f aca="false">INDEX(Mapping!$C$2:$C$99,MATCH(C$1&amp;"|"&amp;Customers!C226,Mapping!$D$2:$D$99,0))</f>
        <v>1</v>
      </c>
      <c r="D226" s="8" t="n">
        <f aca="false">INDEX(Mapping!$C$2:$C$99,MATCH(D$1&amp;"|"&amp;Customers!D226,Mapping!$D$2:$D$99,0))</f>
        <v>1</v>
      </c>
      <c r="E226" s="8" t="n">
        <f aca="false">INDEX(Mapping!$C$2:$C$99,MATCH(E$1&amp;"|"&amp;Customers!E226,Mapping!$D$2:$D$99,0))</f>
        <v>1</v>
      </c>
      <c r="F226" s="8" t="n">
        <f aca="false">INDEX(Mapping!$C$2:$C$99,MATCH(F$1&amp;"|"&amp;Customers!F226,Mapping!$D$2:$D$99,0))</f>
        <v>1</v>
      </c>
      <c r="G226" s="8" t="n">
        <f aca="false">INDEX(Mapping!$C$2:$C$99,MATCH(G$1&amp;"|"&amp;Customers!G226,Mapping!$D$2:$D$99,0))</f>
        <v>1</v>
      </c>
      <c r="H226" s="8" t="n">
        <f aca="false">INDEX(Mapping!$C$2:$C$99,MATCH(H$1&amp;"|"&amp;Customers!H226,Mapping!$D$2:$D$99,0))</f>
        <v>1</v>
      </c>
      <c r="I226" s="8" t="n">
        <f aca="false">INDEX(Mapping!$C$2:$C$99,MATCH(I$1&amp;"|"&amp;Customers!I226,Mapping!$D$2:$D$99,0))</f>
        <v>1</v>
      </c>
      <c r="J226" s="8" t="n">
        <f aca="false">INDEX(Mapping!$C$2:$C$99,MATCH(J$1&amp;"|"&amp;Customers!J226,Mapping!$D$2:$D$99,0))</f>
        <v>1</v>
      </c>
      <c r="K226" s="8" t="n">
        <f aca="false">INDEX(Mapping!$C$2:$C$99,MATCH(K$1&amp;"|"&amp;Customers!K226,Mapping!$D$2:$D$99,0))</f>
        <v>2</v>
      </c>
      <c r="L226" s="8" t="n">
        <f aca="false">INDEX(Mapping!$C$2:$C$99,MATCH(L$1&amp;"|"&amp;Customers!L226,Mapping!$D$2:$D$99,0))</f>
        <v>3</v>
      </c>
      <c r="M226" s="8" t="n">
        <f aca="false">INDEX(Mapping!$C$2:$C$99,MATCH(M$1&amp;"|"&amp;Customers!M226,Mapping!$D$2:$D$99,0))</f>
        <v>1</v>
      </c>
      <c r="N226" s="8" t="n">
        <f aca="false">INDEX(Mapping!$C$2:$C$99,MATCH(N$1&amp;"|"&amp;Customers!N226,Mapping!$D$2:$D$99,0))</f>
        <v>2</v>
      </c>
      <c r="O226" s="8" t="n">
        <f aca="false">INDEX(Mapping!$C$2:$C$99,MATCH(O$1&amp;"|"&amp;Customers!O226,Mapping!$D$2:$D$99,0))</f>
        <v>3</v>
      </c>
      <c r="P226" s="8" t="n">
        <f aca="false">INDEX(Mapping!$C$2:$C$99,MATCH(P$1&amp;"|"&amp;Customers!P226,Mapping!$D$2:$D$99,0))</f>
        <v>1</v>
      </c>
      <c r="Q226" s="8" t="n">
        <f aca="false">INDEX(Mapping!$C$2:$C$99,MATCH(Q$1&amp;"|"&amp;Customers!Q226,Mapping!$D$2:$D$99,0))</f>
        <v>3</v>
      </c>
      <c r="R226" s="8" t="n">
        <f aca="false">INDEX(Mapping!$C$2:$C$99,MATCH(R$1&amp;"|"&amp;Customers!R226,Mapping!$D$2:$D$99,0))</f>
        <v>3</v>
      </c>
      <c r="S226" s="8" t="n">
        <f aca="false">INDEX(Mapping!$C$2:$C$99,MATCH(S$1&amp;"|"&amp;Customers!S226,Mapping!$D$2:$D$99,0))</f>
        <v>2</v>
      </c>
      <c r="T226" s="8" t="n">
        <f aca="false">INDEX(Mapping!$C$2:$C$99,MATCH(T$1&amp;"|"&amp;Customers!T226,Mapping!$D$2:$D$99,0))</f>
        <v>3</v>
      </c>
      <c r="U226" s="8" t="n">
        <f aca="false">INDEX(Mapping!$C$2:$C$99,MATCH(U$1&amp;"|"&amp;Customers!U226,Mapping!$D$2:$D$99,0))</f>
        <v>1</v>
      </c>
      <c r="V226" s="8" t="n">
        <f aca="false">INDEX(Mapping!$C$2:$C$99,MATCH(V$1&amp;"|"&amp;Customers!V226,Mapping!$D$2:$D$99,0))</f>
        <v>4</v>
      </c>
      <c r="W226" s="17" t="n">
        <f aca="false">SUMPRODUCT($C226:$V226,Weights!$C$27:$V$27)</f>
        <v>1.555</v>
      </c>
      <c r="X226" s="18" t="n">
        <f aca="false">ROUND($W226,2)</f>
        <v>1.56</v>
      </c>
      <c r="Y226" s="8" t="str">
        <f aca="false">IF($X226&lt;=2,"Low",IF($X226&lt;=3.49,"Medium","High"))</f>
        <v>Low</v>
      </c>
      <c r="Z226" s="8" t="str">
        <f aca="false">IF(OR($F226&gt;=3,$E226=5,$D226=5,$C226=5,$G226=5,$H226=5,$I226=5,$J226=5,Customers!$W226="Yes"),"Yes","No")</f>
        <v>No</v>
      </c>
      <c r="AA226" s="15" t="str">
        <f aca="false">IF($Z226="Yes","High",$Y226)</f>
        <v>Low</v>
      </c>
      <c r="AB226" s="18" t="n">
        <f aca="false">SUMPRODUCT($C226:$G226,Weights!$C$28:$G$28)</f>
        <v>1</v>
      </c>
      <c r="AC226" s="18" t="n">
        <f aca="false">SUMPRODUCT($H226:$J226,Weights!$H$28:$J$28)</f>
        <v>1</v>
      </c>
      <c r="AD226" s="18" t="n">
        <f aca="false">SUMPRODUCT($K226:$N226,Weights!$K$28:$N$28)</f>
        <v>2</v>
      </c>
      <c r="AE226" s="18" t="n">
        <f aca="false">SUMPRODUCT($O226:$Q226,Weights!$O$28:$Q$28)</f>
        <v>2.3</v>
      </c>
      <c r="AF226" s="18" t="n">
        <f aca="false">SUMPRODUCT($R226:$V226,Weights!$R$28:$V$28)</f>
        <v>2.5</v>
      </c>
      <c r="AH226" s="18" t="n">
        <f aca="false">SUMPRODUCT($AB226:$AF226,Validation!$D$7:$H$7)</f>
        <v>1.6342857142863</v>
      </c>
      <c r="AI226" s="18" t="n">
        <f aca="false">SUMPRODUCT($AB226:$AF226,Validation!$D$8:$H$8)</f>
        <v>1.4757142857137</v>
      </c>
      <c r="AJ226" s="18" t="n">
        <f aca="false">SUMPRODUCT($AB226:$AF226,Validation!$D$9:$H$9)</f>
        <v>1.6289999999999</v>
      </c>
      <c r="AK226" s="18" t="n">
        <f aca="false">SUMPRODUCT($AB226:$AF226,Validation!$D$10:$H$10)</f>
        <v>1.4810000000001</v>
      </c>
      <c r="AL226" s="18" t="n">
        <f aca="false">SUMPRODUCT($AB226:$AF226,Validation!$D$11:$H$11)</f>
        <v>1.499375</v>
      </c>
      <c r="AM226" s="18" t="n">
        <f aca="false">SUMPRODUCT($AB226:$AF226,Validation!$D$12:$H$12)</f>
        <v>1.610625</v>
      </c>
      <c r="AN226" s="18" t="n">
        <f aca="false">SUMPRODUCT($AB226:$AF226,Validation!$D$13:$H$13)</f>
        <v>1.4722222222225</v>
      </c>
      <c r="AO226" s="18" t="n">
        <f aca="false">SUMPRODUCT($AB226:$AF226,Validation!$D$14:$H$14)</f>
        <v>1.6377777777775</v>
      </c>
      <c r="AP226" s="18" t="n">
        <f aca="false">SUMPRODUCT($AB226:$AF226,Validation!$D$15:$H$15)</f>
        <v>1.4438235294116</v>
      </c>
      <c r="AQ226" s="18" t="n">
        <f aca="false">SUMPRODUCT($AB226:$AF226,Validation!$D$16:$H$16)</f>
        <v>1.6661764705884</v>
      </c>
      <c r="AR226" s="8" t="n">
        <f aca="false">COUNTIF($C226:$V226,"&gt;=4")</f>
        <v>1</v>
      </c>
      <c r="AS226" s="8" t="str">
        <f aca="false">IF($X226&lt;=1.6,"Low",IF($X226&lt;=2.2,"Medium","High"))</f>
        <v>Low</v>
      </c>
      <c r="AT226" s="8" t="str">
        <f aca="false">IF($AR226=0,"Low",IF($AR226&lt;3,"Medium","High"))</f>
        <v>Medium</v>
      </c>
      <c r="AU226" s="8" t="str">
        <f aca="false">IF(OR($AS226="High",$AT226="High"),"High",IF(OR($AS226="Medium",$AT226="Medium"),"Medium","Low"))</f>
        <v>Medium</v>
      </c>
      <c r="AV226" s="15" t="str">
        <f aca="false">IF($Z226="Yes","High",$AU226)</f>
        <v>Medium</v>
      </c>
    </row>
    <row r="227" customFormat="false" ht="15" hidden="false" customHeight="false" outlineLevel="0" collapsed="false">
      <c r="A227" s="7" t="str">
        <f aca="false">Customers!$A227</f>
        <v>NG-10148</v>
      </c>
      <c r="B227" s="7" t="str">
        <f aca="false">Customers!$B227</f>
        <v>Personal</v>
      </c>
      <c r="C227" s="8" t="n">
        <f aca="false">INDEX(Mapping!$C$2:$C$99,MATCH(C$1&amp;"|"&amp;Customers!C227,Mapping!$D$2:$D$99,0))</f>
        <v>1</v>
      </c>
      <c r="D227" s="8" t="n">
        <f aca="false">INDEX(Mapping!$C$2:$C$99,MATCH(D$1&amp;"|"&amp;Customers!D227,Mapping!$D$2:$D$99,0))</f>
        <v>1</v>
      </c>
      <c r="E227" s="8" t="n">
        <f aca="false">INDEX(Mapping!$C$2:$C$99,MATCH(E$1&amp;"|"&amp;Customers!E227,Mapping!$D$2:$D$99,0))</f>
        <v>2</v>
      </c>
      <c r="F227" s="8" t="n">
        <f aca="false">INDEX(Mapping!$C$2:$C$99,MATCH(F$1&amp;"|"&amp;Customers!F227,Mapping!$D$2:$D$99,0))</f>
        <v>1</v>
      </c>
      <c r="G227" s="8" t="n">
        <f aca="false">INDEX(Mapping!$C$2:$C$99,MATCH(G$1&amp;"|"&amp;Customers!G227,Mapping!$D$2:$D$99,0))</f>
        <v>1</v>
      </c>
      <c r="H227" s="8" t="n">
        <f aca="false">INDEX(Mapping!$C$2:$C$99,MATCH(H$1&amp;"|"&amp;Customers!H227,Mapping!$D$2:$D$99,0))</f>
        <v>1</v>
      </c>
      <c r="I227" s="8" t="n">
        <f aca="false">INDEX(Mapping!$C$2:$C$99,MATCH(I$1&amp;"|"&amp;Customers!I227,Mapping!$D$2:$D$99,0))</f>
        <v>1</v>
      </c>
      <c r="J227" s="8" t="n">
        <f aca="false">INDEX(Mapping!$C$2:$C$99,MATCH(J$1&amp;"|"&amp;Customers!J227,Mapping!$D$2:$D$99,0))</f>
        <v>1</v>
      </c>
      <c r="K227" s="8" t="n">
        <f aca="false">INDEX(Mapping!$C$2:$C$99,MATCH(K$1&amp;"|"&amp;Customers!K227,Mapping!$D$2:$D$99,0))</f>
        <v>3</v>
      </c>
      <c r="L227" s="8" t="n">
        <f aca="false">INDEX(Mapping!$C$2:$C$99,MATCH(L$1&amp;"|"&amp;Customers!L227,Mapping!$D$2:$D$99,0))</f>
        <v>2</v>
      </c>
      <c r="M227" s="8" t="n">
        <f aca="false">INDEX(Mapping!$C$2:$C$99,MATCH(M$1&amp;"|"&amp;Customers!M227,Mapping!$D$2:$D$99,0))</f>
        <v>2</v>
      </c>
      <c r="N227" s="8" t="n">
        <f aca="false">INDEX(Mapping!$C$2:$C$99,MATCH(N$1&amp;"|"&amp;Customers!N227,Mapping!$D$2:$D$99,0))</f>
        <v>2</v>
      </c>
      <c r="O227" s="8" t="n">
        <f aca="false">INDEX(Mapping!$C$2:$C$99,MATCH(O$1&amp;"|"&amp;Customers!O227,Mapping!$D$2:$D$99,0))</f>
        <v>3</v>
      </c>
      <c r="P227" s="8" t="n">
        <f aca="false">INDEX(Mapping!$C$2:$C$99,MATCH(P$1&amp;"|"&amp;Customers!P227,Mapping!$D$2:$D$99,0))</f>
        <v>4</v>
      </c>
      <c r="Q227" s="8" t="n">
        <f aca="false">INDEX(Mapping!$C$2:$C$99,MATCH(Q$1&amp;"|"&amp;Customers!Q227,Mapping!$D$2:$D$99,0))</f>
        <v>1</v>
      </c>
      <c r="R227" s="8" t="n">
        <f aca="false">INDEX(Mapping!$C$2:$C$99,MATCH(R$1&amp;"|"&amp;Customers!R227,Mapping!$D$2:$D$99,0))</f>
        <v>2</v>
      </c>
      <c r="S227" s="8" t="n">
        <f aca="false">INDEX(Mapping!$C$2:$C$99,MATCH(S$1&amp;"|"&amp;Customers!S227,Mapping!$D$2:$D$99,0))</f>
        <v>2</v>
      </c>
      <c r="T227" s="8" t="n">
        <f aca="false">INDEX(Mapping!$C$2:$C$99,MATCH(T$1&amp;"|"&amp;Customers!T227,Mapping!$D$2:$D$99,0))</f>
        <v>2</v>
      </c>
      <c r="U227" s="8" t="n">
        <f aca="false">INDEX(Mapping!$C$2:$C$99,MATCH(U$1&amp;"|"&amp;Customers!U227,Mapping!$D$2:$D$99,0))</f>
        <v>1</v>
      </c>
      <c r="V227" s="8" t="n">
        <f aca="false">INDEX(Mapping!$C$2:$C$99,MATCH(V$1&amp;"|"&amp;Customers!V227,Mapping!$D$2:$D$99,0))</f>
        <v>1</v>
      </c>
      <c r="W227" s="17" t="n">
        <f aca="false">SUMPRODUCT($C227:$V227,Weights!$C$27:$V$27)</f>
        <v>1.6525</v>
      </c>
      <c r="X227" s="18" t="n">
        <f aca="false">ROUND($W227,2)</f>
        <v>1.65</v>
      </c>
      <c r="Y227" s="8" t="str">
        <f aca="false">IF($X227&lt;=2,"Low",IF($X227&lt;=3.49,"Medium","High"))</f>
        <v>Low</v>
      </c>
      <c r="Z227" s="8" t="str">
        <f aca="false">IF(OR($F227&gt;=3,$E227=5,$D227=5,$C227=5,$G227=5,$H227=5,$I227=5,$J227=5,Customers!$W227="Yes"),"Yes","No")</f>
        <v>No</v>
      </c>
      <c r="AA227" s="15" t="str">
        <f aca="false">IF($Z227="Yes","High",$Y227)</f>
        <v>Low</v>
      </c>
      <c r="AB227" s="18" t="n">
        <f aca="false">SUMPRODUCT($C227:$G227,Weights!$C$28:$G$28)</f>
        <v>1.25</v>
      </c>
      <c r="AC227" s="18" t="n">
        <f aca="false">SUMPRODUCT($H227:$J227,Weights!$H$28:$J$28)</f>
        <v>1</v>
      </c>
      <c r="AD227" s="18" t="n">
        <f aca="false">SUMPRODUCT($K227:$N227,Weights!$K$28:$N$28)</f>
        <v>2.35</v>
      </c>
      <c r="AE227" s="18" t="n">
        <f aca="false">SUMPRODUCT($O227:$Q227,Weights!$O$28:$Q$28)</f>
        <v>2.95</v>
      </c>
      <c r="AF227" s="18" t="n">
        <f aca="false">SUMPRODUCT($R227:$V227,Weights!$R$28:$V$28)</f>
        <v>1.75</v>
      </c>
      <c r="AH227" s="18" t="n">
        <f aca="false">SUMPRODUCT($AB227:$AF227,Validation!$D$7:$H$7)</f>
        <v>1.7100000000003</v>
      </c>
      <c r="AI227" s="18" t="n">
        <f aca="false">SUMPRODUCT($AB227:$AF227,Validation!$D$8:$H$8)</f>
        <v>1.5949999999997</v>
      </c>
      <c r="AJ227" s="18" t="n">
        <f aca="false">SUMPRODUCT($AB227:$AF227,Validation!$D$9:$H$9)</f>
        <v>1.7394999999998</v>
      </c>
      <c r="AK227" s="18" t="n">
        <f aca="false">SUMPRODUCT($AB227:$AF227,Validation!$D$10:$H$10)</f>
        <v>1.5655000000002</v>
      </c>
      <c r="AL227" s="18" t="n">
        <f aca="false">SUMPRODUCT($AB227:$AF227,Validation!$D$11:$H$11)</f>
        <v>1.5653125</v>
      </c>
      <c r="AM227" s="18" t="n">
        <f aca="false">SUMPRODUCT($AB227:$AF227,Validation!$D$12:$H$12)</f>
        <v>1.7396875</v>
      </c>
      <c r="AN227" s="18" t="n">
        <f aca="false">SUMPRODUCT($AB227:$AF227,Validation!$D$13:$H$13)</f>
        <v>1.5083333333332</v>
      </c>
      <c r="AO227" s="18" t="n">
        <f aca="false">SUMPRODUCT($AB227:$AF227,Validation!$D$14:$H$14)</f>
        <v>1.7966666666668</v>
      </c>
      <c r="AP227" s="18" t="n">
        <f aca="false">SUMPRODUCT($AB227:$AF227,Validation!$D$15:$H$15)</f>
        <v>1.6410294117644</v>
      </c>
      <c r="AQ227" s="18" t="n">
        <f aca="false">SUMPRODUCT($AB227:$AF227,Validation!$D$16:$H$16)</f>
        <v>1.6639705882356</v>
      </c>
      <c r="AR227" s="8" t="n">
        <f aca="false">COUNTIF($C227:$V227,"&gt;=4")</f>
        <v>1</v>
      </c>
      <c r="AS227" s="8" t="str">
        <f aca="false">IF($X227&lt;=1.6,"Low",IF($X227&lt;=2.2,"Medium","High"))</f>
        <v>Medium</v>
      </c>
      <c r="AT227" s="8" t="str">
        <f aca="false">IF($AR227=0,"Low",IF($AR227&lt;3,"Medium","High"))</f>
        <v>Medium</v>
      </c>
      <c r="AU227" s="8" t="str">
        <f aca="false">IF(OR($AS227="High",$AT227="High"),"High",IF(OR($AS227="Medium",$AT227="Medium"),"Medium","Low"))</f>
        <v>Medium</v>
      </c>
      <c r="AV227" s="15" t="str">
        <f aca="false">IF($Z227="Yes","High",$AU227)</f>
        <v>Medium</v>
      </c>
    </row>
    <row r="228" customFormat="false" ht="15" hidden="false" customHeight="false" outlineLevel="0" collapsed="false">
      <c r="A228" s="7" t="str">
        <f aca="false">Customers!$A228</f>
        <v>NG-10049</v>
      </c>
      <c r="B228" s="7" t="str">
        <f aca="false">Customers!$B228</f>
        <v>Personal</v>
      </c>
      <c r="C228" s="8" t="n">
        <f aca="false">INDEX(Mapping!$C$2:$C$99,MATCH(C$1&amp;"|"&amp;Customers!C228,Mapping!$D$2:$D$99,0))</f>
        <v>1</v>
      </c>
      <c r="D228" s="8" t="n">
        <f aca="false">INDEX(Mapping!$C$2:$C$99,MATCH(D$1&amp;"|"&amp;Customers!D228,Mapping!$D$2:$D$99,0))</f>
        <v>1</v>
      </c>
      <c r="E228" s="8" t="n">
        <f aca="false">INDEX(Mapping!$C$2:$C$99,MATCH(E$1&amp;"|"&amp;Customers!E228,Mapping!$D$2:$D$99,0))</f>
        <v>1</v>
      </c>
      <c r="F228" s="8" t="n">
        <f aca="false">INDEX(Mapping!$C$2:$C$99,MATCH(F$1&amp;"|"&amp;Customers!F228,Mapping!$D$2:$D$99,0))</f>
        <v>1</v>
      </c>
      <c r="G228" s="8" t="n">
        <f aca="false">INDEX(Mapping!$C$2:$C$99,MATCH(G$1&amp;"|"&amp;Customers!G228,Mapping!$D$2:$D$99,0))</f>
        <v>1</v>
      </c>
      <c r="H228" s="8" t="n">
        <f aca="false">INDEX(Mapping!$C$2:$C$99,MATCH(H$1&amp;"|"&amp;Customers!H228,Mapping!$D$2:$D$99,0))</f>
        <v>1</v>
      </c>
      <c r="I228" s="8" t="n">
        <f aca="false">INDEX(Mapping!$C$2:$C$99,MATCH(I$1&amp;"|"&amp;Customers!I228,Mapping!$D$2:$D$99,0))</f>
        <v>1</v>
      </c>
      <c r="J228" s="8" t="n">
        <f aca="false">INDEX(Mapping!$C$2:$C$99,MATCH(J$1&amp;"|"&amp;Customers!J228,Mapping!$D$2:$D$99,0))</f>
        <v>1</v>
      </c>
      <c r="K228" s="8" t="n">
        <f aca="false">INDEX(Mapping!$C$2:$C$99,MATCH(K$1&amp;"|"&amp;Customers!K228,Mapping!$D$2:$D$99,0))</f>
        <v>2</v>
      </c>
      <c r="L228" s="8" t="n">
        <f aca="false">INDEX(Mapping!$C$2:$C$99,MATCH(L$1&amp;"|"&amp;Customers!L228,Mapping!$D$2:$D$99,0))</f>
        <v>2</v>
      </c>
      <c r="M228" s="8" t="n">
        <f aca="false">INDEX(Mapping!$C$2:$C$99,MATCH(M$1&amp;"|"&amp;Customers!M228,Mapping!$D$2:$D$99,0))</f>
        <v>3</v>
      </c>
      <c r="N228" s="8" t="n">
        <f aca="false">INDEX(Mapping!$C$2:$C$99,MATCH(N$1&amp;"|"&amp;Customers!N228,Mapping!$D$2:$D$99,0))</f>
        <v>1</v>
      </c>
      <c r="O228" s="8" t="n">
        <f aca="false">INDEX(Mapping!$C$2:$C$99,MATCH(O$1&amp;"|"&amp;Customers!O228,Mapping!$D$2:$D$99,0))</f>
        <v>3</v>
      </c>
      <c r="P228" s="8" t="n">
        <f aca="false">INDEX(Mapping!$C$2:$C$99,MATCH(P$1&amp;"|"&amp;Customers!P228,Mapping!$D$2:$D$99,0))</f>
        <v>3</v>
      </c>
      <c r="Q228" s="8" t="n">
        <f aca="false">INDEX(Mapping!$C$2:$C$99,MATCH(Q$1&amp;"|"&amp;Customers!Q228,Mapping!$D$2:$D$99,0))</f>
        <v>1</v>
      </c>
      <c r="R228" s="8" t="n">
        <f aca="false">INDEX(Mapping!$C$2:$C$99,MATCH(R$1&amp;"|"&amp;Customers!R228,Mapping!$D$2:$D$99,0))</f>
        <v>1</v>
      </c>
      <c r="S228" s="8" t="n">
        <f aca="false">INDEX(Mapping!$C$2:$C$99,MATCH(S$1&amp;"|"&amp;Customers!S228,Mapping!$D$2:$D$99,0))</f>
        <v>2</v>
      </c>
      <c r="T228" s="8" t="n">
        <f aca="false">INDEX(Mapping!$C$2:$C$99,MATCH(T$1&amp;"|"&amp;Customers!T228,Mapping!$D$2:$D$99,0))</f>
        <v>1</v>
      </c>
      <c r="U228" s="8" t="n">
        <f aca="false">INDEX(Mapping!$C$2:$C$99,MATCH(U$1&amp;"|"&amp;Customers!U228,Mapping!$D$2:$D$99,0))</f>
        <v>2</v>
      </c>
      <c r="V228" s="8" t="n">
        <f aca="false">INDEX(Mapping!$C$2:$C$99,MATCH(V$1&amp;"|"&amp;Customers!V228,Mapping!$D$2:$D$99,0))</f>
        <v>1</v>
      </c>
      <c r="W228" s="17" t="n">
        <f aca="false">SUMPRODUCT($C228:$V228,Weights!$C$27:$V$27)</f>
        <v>1.4475</v>
      </c>
      <c r="X228" s="18" t="n">
        <f aca="false">ROUND($W228,2)</f>
        <v>1.45</v>
      </c>
      <c r="Y228" s="8" t="str">
        <f aca="false">IF($X228&lt;=2,"Low",IF($X228&lt;=3.49,"Medium","High"))</f>
        <v>Low</v>
      </c>
      <c r="Z228" s="8" t="str">
        <f aca="false">IF(OR($F228&gt;=3,$E228=5,$D228=5,$C228=5,$G228=5,$H228=5,$I228=5,$J228=5,Customers!$W228="Yes"),"Yes","No")</f>
        <v>No</v>
      </c>
      <c r="AA228" s="15" t="str">
        <f aca="false">IF($Z228="Yes","High",$Y228)</f>
        <v>Low</v>
      </c>
      <c r="AB228" s="18" t="n">
        <f aca="false">SUMPRODUCT($C228:$G228,Weights!$C$28:$G$28)</f>
        <v>1</v>
      </c>
      <c r="AC228" s="18" t="n">
        <f aca="false">SUMPRODUCT($H228:$J228,Weights!$H$28:$J$28)</f>
        <v>1</v>
      </c>
      <c r="AD228" s="18" t="n">
        <f aca="false">SUMPRODUCT($K228:$N228,Weights!$K$28:$N$28)</f>
        <v>2.1</v>
      </c>
      <c r="AE228" s="18" t="n">
        <f aca="false">SUMPRODUCT($O228:$Q228,Weights!$O$28:$Q$28)</f>
        <v>2.6</v>
      </c>
      <c r="AF228" s="18" t="n">
        <f aca="false">SUMPRODUCT($R228:$V228,Weights!$R$28:$V$28)</f>
        <v>1.45</v>
      </c>
      <c r="AH228" s="18" t="n">
        <f aca="false">SUMPRODUCT($AB228:$AF228,Validation!$D$7:$H$7)</f>
        <v>1.51142857142875</v>
      </c>
      <c r="AI228" s="18" t="n">
        <f aca="false">SUMPRODUCT($AB228:$AF228,Validation!$D$8:$H$8)</f>
        <v>1.38357142857125</v>
      </c>
      <c r="AJ228" s="18" t="n">
        <f aca="false">SUMPRODUCT($AB228:$AF228,Validation!$D$9:$H$9)</f>
        <v>1.5071666666665</v>
      </c>
      <c r="AK228" s="18" t="n">
        <f aca="false">SUMPRODUCT($AB228:$AF228,Validation!$D$10:$H$10)</f>
        <v>1.3878333333335</v>
      </c>
      <c r="AL228" s="18" t="n">
        <f aca="false">SUMPRODUCT($AB228:$AF228,Validation!$D$11:$H$11)</f>
        <v>1.3659375</v>
      </c>
      <c r="AM228" s="18" t="n">
        <f aca="false">SUMPRODUCT($AB228:$AF228,Validation!$D$12:$H$12)</f>
        <v>1.5290625</v>
      </c>
      <c r="AN228" s="18" t="n">
        <f aca="false">SUMPRODUCT($AB228:$AF228,Validation!$D$13:$H$13)</f>
        <v>1.31944444444435</v>
      </c>
      <c r="AO228" s="18" t="n">
        <f aca="false">SUMPRODUCT($AB228:$AF228,Validation!$D$14:$H$14)</f>
        <v>1.57555555555565</v>
      </c>
      <c r="AP228" s="18" t="n">
        <f aca="false">SUMPRODUCT($AB228:$AF228,Validation!$D$15:$H$15)</f>
        <v>1.4472058823527</v>
      </c>
      <c r="AQ228" s="18" t="n">
        <f aca="false">SUMPRODUCT($AB228:$AF228,Validation!$D$16:$H$16)</f>
        <v>1.4477941176473</v>
      </c>
      <c r="AR228" s="8" t="n">
        <f aca="false">COUNTIF($C228:$V228,"&gt;=4")</f>
        <v>0</v>
      </c>
      <c r="AS228" s="8" t="str">
        <f aca="false">IF($X228&lt;=1.6,"Low",IF($X228&lt;=2.2,"Medium","High"))</f>
        <v>Low</v>
      </c>
      <c r="AT228" s="8" t="str">
        <f aca="false">IF($AR228=0,"Low",IF($AR228&lt;3,"Medium","High"))</f>
        <v>Low</v>
      </c>
      <c r="AU228" s="8" t="str">
        <f aca="false">IF(OR($AS228="High",$AT228="High"),"High",IF(OR($AS228="Medium",$AT228="Medium"),"Medium","Low"))</f>
        <v>Low</v>
      </c>
      <c r="AV228" s="15" t="str">
        <f aca="false">IF($Z228="Yes","High",$AU228)</f>
        <v>Low</v>
      </c>
    </row>
    <row r="229" customFormat="false" ht="15" hidden="false" customHeight="false" outlineLevel="0" collapsed="false">
      <c r="A229" s="7" t="str">
        <f aca="false">Customers!$A229</f>
        <v>NG-10265</v>
      </c>
      <c r="B229" s="7" t="str">
        <f aca="false">Customers!$B229</f>
        <v>Personal</v>
      </c>
      <c r="C229" s="8" t="n">
        <f aca="false">INDEX(Mapping!$C$2:$C$99,MATCH(C$1&amp;"|"&amp;Customers!C229,Mapping!$D$2:$D$99,0))</f>
        <v>2</v>
      </c>
      <c r="D229" s="8" t="n">
        <f aca="false">INDEX(Mapping!$C$2:$C$99,MATCH(D$1&amp;"|"&amp;Customers!D229,Mapping!$D$2:$D$99,0))</f>
        <v>1</v>
      </c>
      <c r="E229" s="8" t="n">
        <f aca="false">INDEX(Mapping!$C$2:$C$99,MATCH(E$1&amp;"|"&amp;Customers!E229,Mapping!$D$2:$D$99,0))</f>
        <v>1</v>
      </c>
      <c r="F229" s="8" t="n">
        <f aca="false">INDEX(Mapping!$C$2:$C$99,MATCH(F$1&amp;"|"&amp;Customers!F229,Mapping!$D$2:$D$99,0))</f>
        <v>1</v>
      </c>
      <c r="G229" s="8" t="n">
        <f aca="false">INDEX(Mapping!$C$2:$C$99,MATCH(G$1&amp;"|"&amp;Customers!G229,Mapping!$D$2:$D$99,0))</f>
        <v>1</v>
      </c>
      <c r="H229" s="8" t="n">
        <f aca="false">INDEX(Mapping!$C$2:$C$99,MATCH(H$1&amp;"|"&amp;Customers!H229,Mapping!$D$2:$D$99,0))</f>
        <v>1</v>
      </c>
      <c r="I229" s="8" t="n">
        <f aca="false">INDEX(Mapping!$C$2:$C$99,MATCH(I$1&amp;"|"&amp;Customers!I229,Mapping!$D$2:$D$99,0))</f>
        <v>1</v>
      </c>
      <c r="J229" s="8" t="n">
        <f aca="false">INDEX(Mapping!$C$2:$C$99,MATCH(J$1&amp;"|"&amp;Customers!J229,Mapping!$D$2:$D$99,0))</f>
        <v>4</v>
      </c>
      <c r="K229" s="8" t="n">
        <f aca="false">INDEX(Mapping!$C$2:$C$99,MATCH(K$1&amp;"|"&amp;Customers!K229,Mapping!$D$2:$D$99,0))</f>
        <v>1</v>
      </c>
      <c r="L229" s="8" t="n">
        <f aca="false">INDEX(Mapping!$C$2:$C$99,MATCH(L$1&amp;"|"&amp;Customers!L229,Mapping!$D$2:$D$99,0))</f>
        <v>2</v>
      </c>
      <c r="M229" s="8" t="n">
        <f aca="false">INDEX(Mapping!$C$2:$C$99,MATCH(M$1&amp;"|"&amp;Customers!M229,Mapping!$D$2:$D$99,0))</f>
        <v>2</v>
      </c>
      <c r="N229" s="8" t="n">
        <f aca="false">INDEX(Mapping!$C$2:$C$99,MATCH(N$1&amp;"|"&amp;Customers!N229,Mapping!$D$2:$D$99,0))</f>
        <v>1</v>
      </c>
      <c r="O229" s="8" t="n">
        <f aca="false">INDEX(Mapping!$C$2:$C$99,MATCH(O$1&amp;"|"&amp;Customers!O229,Mapping!$D$2:$D$99,0))</f>
        <v>3</v>
      </c>
      <c r="P229" s="8" t="n">
        <f aca="false">INDEX(Mapping!$C$2:$C$99,MATCH(P$1&amp;"|"&amp;Customers!P229,Mapping!$D$2:$D$99,0))</f>
        <v>2</v>
      </c>
      <c r="Q229" s="8" t="n">
        <f aca="false">INDEX(Mapping!$C$2:$C$99,MATCH(Q$1&amp;"|"&amp;Customers!Q229,Mapping!$D$2:$D$99,0))</f>
        <v>3</v>
      </c>
      <c r="R229" s="8" t="n">
        <f aca="false">INDEX(Mapping!$C$2:$C$99,MATCH(R$1&amp;"|"&amp;Customers!R229,Mapping!$D$2:$D$99,0))</f>
        <v>1</v>
      </c>
      <c r="S229" s="8" t="n">
        <f aca="false">INDEX(Mapping!$C$2:$C$99,MATCH(S$1&amp;"|"&amp;Customers!S229,Mapping!$D$2:$D$99,0))</f>
        <v>4</v>
      </c>
      <c r="T229" s="8" t="n">
        <f aca="false">INDEX(Mapping!$C$2:$C$99,MATCH(T$1&amp;"|"&amp;Customers!T229,Mapping!$D$2:$D$99,0))</f>
        <v>2</v>
      </c>
      <c r="U229" s="8" t="n">
        <f aca="false">INDEX(Mapping!$C$2:$C$99,MATCH(U$1&amp;"|"&amp;Customers!U229,Mapping!$D$2:$D$99,0))</f>
        <v>1</v>
      </c>
      <c r="V229" s="8" t="n">
        <f aca="false">INDEX(Mapping!$C$2:$C$99,MATCH(V$1&amp;"|"&amp;Customers!V229,Mapping!$D$2:$D$99,0))</f>
        <v>1</v>
      </c>
      <c r="W229" s="17" t="n">
        <f aca="false">SUMPRODUCT($C229:$V229,Weights!$C$27:$V$27)</f>
        <v>1.79</v>
      </c>
      <c r="X229" s="18" t="n">
        <f aca="false">ROUND($W229,2)</f>
        <v>1.79</v>
      </c>
      <c r="Y229" s="8" t="str">
        <f aca="false">IF($X229&lt;=2,"Low",IF($X229&lt;=3.49,"Medium","High"))</f>
        <v>Low</v>
      </c>
      <c r="Z229" s="8" t="str">
        <f aca="false">IF(OR($F229&gt;=3,$E229=5,$D229=5,$C229=5,$G229=5,$H229=5,$I229=5,$J229=5,Customers!$W229="Yes"),"Yes","No")</f>
        <v>No</v>
      </c>
      <c r="AA229" s="15" t="str">
        <f aca="false">IF($Z229="Yes","High",$Y229)</f>
        <v>Low</v>
      </c>
      <c r="AB229" s="18" t="n">
        <f aca="false">SUMPRODUCT($C229:$G229,Weights!$C$28:$G$28)</f>
        <v>1.2</v>
      </c>
      <c r="AC229" s="18" t="n">
        <f aca="false">SUMPRODUCT($H229:$J229,Weights!$H$28:$J$28)</f>
        <v>2.2</v>
      </c>
      <c r="AD229" s="18" t="n">
        <f aca="false">SUMPRODUCT($K229:$N229,Weights!$K$28:$N$28)</f>
        <v>1.5</v>
      </c>
      <c r="AE229" s="18" t="n">
        <f aca="false">SUMPRODUCT($O229:$Q229,Weights!$O$28:$Q$28)</f>
        <v>2.65</v>
      </c>
      <c r="AF229" s="18" t="n">
        <f aca="false">SUMPRODUCT($R229:$V229,Weights!$R$28:$V$28)</f>
        <v>2.1</v>
      </c>
      <c r="AH229" s="18" t="n">
        <f aca="false">SUMPRODUCT($AB229:$AF229,Validation!$D$7:$H$7)</f>
        <v>1.8742857142861</v>
      </c>
      <c r="AI229" s="18" t="n">
        <f aca="false">SUMPRODUCT($AB229:$AF229,Validation!$D$8:$H$8)</f>
        <v>1.7057142857139</v>
      </c>
      <c r="AJ229" s="18" t="n">
        <f aca="false">SUMPRODUCT($AB229:$AF229,Validation!$D$9:$H$9)</f>
        <v>1.73533333333295</v>
      </c>
      <c r="AK229" s="18" t="n">
        <f aca="false">SUMPRODUCT($AB229:$AF229,Validation!$D$10:$H$10)</f>
        <v>1.84466666666705</v>
      </c>
      <c r="AL229" s="18" t="n">
        <f aca="false">SUMPRODUCT($AB229:$AF229,Validation!$D$11:$H$11)</f>
        <v>1.82625</v>
      </c>
      <c r="AM229" s="18" t="n">
        <f aca="false">SUMPRODUCT($AB229:$AF229,Validation!$D$12:$H$12)</f>
        <v>1.75375</v>
      </c>
      <c r="AN229" s="18" t="n">
        <f aca="false">SUMPRODUCT($AB229:$AF229,Validation!$D$13:$H$13)</f>
        <v>1.6944444444449</v>
      </c>
      <c r="AO229" s="18" t="n">
        <f aca="false">SUMPRODUCT($AB229:$AF229,Validation!$D$14:$H$14)</f>
        <v>1.8855555555551</v>
      </c>
      <c r="AP229" s="18" t="n">
        <f aca="false">SUMPRODUCT($AB229:$AF229,Validation!$D$15:$H$15)</f>
        <v>1.7535294117644</v>
      </c>
      <c r="AQ229" s="18" t="n">
        <f aca="false">SUMPRODUCT($AB229:$AF229,Validation!$D$16:$H$16)</f>
        <v>1.8264705882356</v>
      </c>
      <c r="AR229" s="8" t="n">
        <f aca="false">COUNTIF($C229:$V229,"&gt;=4")</f>
        <v>2</v>
      </c>
      <c r="AS229" s="8" t="str">
        <f aca="false">IF($X229&lt;=1.6,"Low",IF($X229&lt;=2.2,"Medium","High"))</f>
        <v>Medium</v>
      </c>
      <c r="AT229" s="8" t="str">
        <f aca="false">IF($AR229=0,"Low",IF($AR229&lt;3,"Medium","High"))</f>
        <v>Medium</v>
      </c>
      <c r="AU229" s="8" t="str">
        <f aca="false">IF(OR($AS229="High",$AT229="High"),"High",IF(OR($AS229="Medium",$AT229="Medium"),"Medium","Low"))</f>
        <v>Medium</v>
      </c>
      <c r="AV229" s="15" t="str">
        <f aca="false">IF($Z229="Yes","High",$AU229)</f>
        <v>Medium</v>
      </c>
    </row>
    <row r="230" customFormat="false" ht="15" hidden="false" customHeight="false" outlineLevel="0" collapsed="false">
      <c r="A230" s="7" t="str">
        <f aca="false">Customers!$A230</f>
        <v>NG-10034</v>
      </c>
      <c r="B230" s="7" t="str">
        <f aca="false">Customers!$B230</f>
        <v>Personal</v>
      </c>
      <c r="C230" s="8" t="n">
        <f aca="false">INDEX(Mapping!$C$2:$C$99,MATCH(C$1&amp;"|"&amp;Customers!C230,Mapping!$D$2:$D$99,0))</f>
        <v>1</v>
      </c>
      <c r="D230" s="8" t="n">
        <f aca="false">INDEX(Mapping!$C$2:$C$99,MATCH(D$1&amp;"|"&amp;Customers!D230,Mapping!$D$2:$D$99,0))</f>
        <v>1</v>
      </c>
      <c r="E230" s="8" t="n">
        <f aca="false">INDEX(Mapping!$C$2:$C$99,MATCH(E$1&amp;"|"&amp;Customers!E230,Mapping!$D$2:$D$99,0))</f>
        <v>1</v>
      </c>
      <c r="F230" s="8" t="n">
        <f aca="false">INDEX(Mapping!$C$2:$C$99,MATCH(F$1&amp;"|"&amp;Customers!F230,Mapping!$D$2:$D$99,0))</f>
        <v>1</v>
      </c>
      <c r="G230" s="8" t="n">
        <f aca="false">INDEX(Mapping!$C$2:$C$99,MATCH(G$1&amp;"|"&amp;Customers!G230,Mapping!$D$2:$D$99,0))</f>
        <v>1</v>
      </c>
      <c r="H230" s="8" t="n">
        <f aca="false">INDEX(Mapping!$C$2:$C$99,MATCH(H$1&amp;"|"&amp;Customers!H230,Mapping!$D$2:$D$99,0))</f>
        <v>1</v>
      </c>
      <c r="I230" s="8" t="n">
        <f aca="false">INDEX(Mapping!$C$2:$C$99,MATCH(I$1&amp;"|"&amp;Customers!I230,Mapping!$D$2:$D$99,0))</f>
        <v>1</v>
      </c>
      <c r="J230" s="8" t="n">
        <f aca="false">INDEX(Mapping!$C$2:$C$99,MATCH(J$1&amp;"|"&amp;Customers!J230,Mapping!$D$2:$D$99,0))</f>
        <v>1</v>
      </c>
      <c r="K230" s="8" t="n">
        <f aca="false">INDEX(Mapping!$C$2:$C$99,MATCH(K$1&amp;"|"&amp;Customers!K230,Mapping!$D$2:$D$99,0))</f>
        <v>3</v>
      </c>
      <c r="L230" s="8" t="n">
        <f aca="false">INDEX(Mapping!$C$2:$C$99,MATCH(L$1&amp;"|"&amp;Customers!L230,Mapping!$D$2:$D$99,0))</f>
        <v>3</v>
      </c>
      <c r="M230" s="8" t="n">
        <f aca="false">INDEX(Mapping!$C$2:$C$99,MATCH(M$1&amp;"|"&amp;Customers!M230,Mapping!$D$2:$D$99,0))</f>
        <v>1</v>
      </c>
      <c r="N230" s="8" t="n">
        <f aca="false">INDEX(Mapping!$C$2:$C$99,MATCH(N$1&amp;"|"&amp;Customers!N230,Mapping!$D$2:$D$99,0))</f>
        <v>1</v>
      </c>
      <c r="O230" s="8" t="n">
        <f aca="false">INDEX(Mapping!$C$2:$C$99,MATCH(O$1&amp;"|"&amp;Customers!O230,Mapping!$D$2:$D$99,0))</f>
        <v>3</v>
      </c>
      <c r="P230" s="8" t="n">
        <f aca="false">INDEX(Mapping!$C$2:$C$99,MATCH(P$1&amp;"|"&amp;Customers!P230,Mapping!$D$2:$D$99,0))</f>
        <v>3</v>
      </c>
      <c r="Q230" s="8" t="n">
        <f aca="false">INDEX(Mapping!$C$2:$C$99,MATCH(Q$1&amp;"|"&amp;Customers!Q230,Mapping!$D$2:$D$99,0))</f>
        <v>2</v>
      </c>
      <c r="R230" s="8" t="n">
        <f aca="false">INDEX(Mapping!$C$2:$C$99,MATCH(R$1&amp;"|"&amp;Customers!R230,Mapping!$D$2:$D$99,0))</f>
        <v>1</v>
      </c>
      <c r="S230" s="8" t="n">
        <f aca="false">INDEX(Mapping!$C$2:$C$99,MATCH(S$1&amp;"|"&amp;Customers!S230,Mapping!$D$2:$D$99,0))</f>
        <v>2</v>
      </c>
      <c r="T230" s="8" t="n">
        <f aca="false">INDEX(Mapping!$C$2:$C$99,MATCH(T$1&amp;"|"&amp;Customers!T230,Mapping!$D$2:$D$99,0))</f>
        <v>4</v>
      </c>
      <c r="U230" s="8" t="n">
        <f aca="false">INDEX(Mapping!$C$2:$C$99,MATCH(U$1&amp;"|"&amp;Customers!U230,Mapping!$D$2:$D$99,0))</f>
        <v>1</v>
      </c>
      <c r="V230" s="8" t="n">
        <f aca="false">INDEX(Mapping!$C$2:$C$99,MATCH(V$1&amp;"|"&amp;Customers!V230,Mapping!$D$2:$D$99,0))</f>
        <v>1</v>
      </c>
      <c r="W230" s="17" t="n">
        <f aca="false">SUMPRODUCT($C230:$V230,Weights!$C$27:$V$27)</f>
        <v>1.555</v>
      </c>
      <c r="X230" s="18" t="n">
        <f aca="false">ROUND($W230,2)</f>
        <v>1.56</v>
      </c>
      <c r="Y230" s="8" t="str">
        <f aca="false">IF($X230&lt;=2,"Low",IF($X230&lt;=3.49,"Medium","High"))</f>
        <v>Low</v>
      </c>
      <c r="Z230" s="8" t="str">
        <f aca="false">IF(OR($F230&gt;=3,$E230=5,$D230=5,$C230=5,$G230=5,$H230=5,$I230=5,$J230=5,Customers!$W230="Yes"),"Yes","No")</f>
        <v>No</v>
      </c>
      <c r="AA230" s="15" t="str">
        <f aca="false">IF($Z230="Yes","High",$Y230)</f>
        <v>Low</v>
      </c>
      <c r="AB230" s="18" t="n">
        <f aca="false">SUMPRODUCT($C230:$G230,Weights!$C$28:$G$28)</f>
        <v>1</v>
      </c>
      <c r="AC230" s="18" t="n">
        <f aca="false">SUMPRODUCT($H230:$J230,Weights!$H$28:$J$28)</f>
        <v>1</v>
      </c>
      <c r="AD230" s="18" t="n">
        <f aca="false">SUMPRODUCT($K230:$N230,Weights!$K$28:$N$28)</f>
        <v>2.2</v>
      </c>
      <c r="AE230" s="18" t="n">
        <f aca="false">SUMPRODUCT($O230:$Q230,Weights!$O$28:$Q$28)</f>
        <v>2.8</v>
      </c>
      <c r="AF230" s="18" t="n">
        <f aca="false">SUMPRODUCT($R230:$V230,Weights!$R$28:$V$28)</f>
        <v>1.9</v>
      </c>
      <c r="AH230" s="18" t="n">
        <f aca="false">SUMPRODUCT($AB230:$AF230,Validation!$D$7:$H$7)</f>
        <v>1.6342857142861</v>
      </c>
      <c r="AI230" s="18" t="n">
        <f aca="false">SUMPRODUCT($AB230:$AF230,Validation!$D$8:$H$8)</f>
        <v>1.4757142857139</v>
      </c>
      <c r="AJ230" s="18" t="n">
        <f aca="false">SUMPRODUCT($AB230:$AF230,Validation!$D$9:$H$9)</f>
        <v>1.6289999999998</v>
      </c>
      <c r="AK230" s="18" t="n">
        <f aca="false">SUMPRODUCT($AB230:$AF230,Validation!$D$10:$H$10)</f>
        <v>1.4810000000002</v>
      </c>
      <c r="AL230" s="18" t="n">
        <f aca="false">SUMPRODUCT($AB230:$AF230,Validation!$D$11:$H$11)</f>
        <v>1.474375</v>
      </c>
      <c r="AM230" s="18" t="n">
        <f aca="false">SUMPRODUCT($AB230:$AF230,Validation!$D$12:$H$12)</f>
        <v>1.635625</v>
      </c>
      <c r="AN230" s="18" t="n">
        <f aca="false">SUMPRODUCT($AB230:$AF230,Validation!$D$13:$H$13)</f>
        <v>1.4166666666667</v>
      </c>
      <c r="AO230" s="18" t="n">
        <f aca="false">SUMPRODUCT($AB230:$AF230,Validation!$D$14:$H$14)</f>
        <v>1.6933333333333</v>
      </c>
      <c r="AP230" s="18" t="n">
        <f aca="false">SUMPRODUCT($AB230:$AF230,Validation!$D$15:$H$15)</f>
        <v>1.5144117647056</v>
      </c>
      <c r="AQ230" s="18" t="n">
        <f aca="false">SUMPRODUCT($AB230:$AF230,Validation!$D$16:$H$16)</f>
        <v>1.5955882352944</v>
      </c>
      <c r="AR230" s="8" t="n">
        <f aca="false">COUNTIF($C230:$V230,"&gt;=4")</f>
        <v>1</v>
      </c>
      <c r="AS230" s="8" t="str">
        <f aca="false">IF($X230&lt;=1.6,"Low",IF($X230&lt;=2.2,"Medium","High"))</f>
        <v>Low</v>
      </c>
      <c r="AT230" s="8" t="str">
        <f aca="false">IF($AR230=0,"Low",IF($AR230&lt;3,"Medium","High"))</f>
        <v>Medium</v>
      </c>
      <c r="AU230" s="8" t="str">
        <f aca="false">IF(OR($AS230="High",$AT230="High"),"High",IF(OR($AS230="Medium",$AT230="Medium"),"Medium","Low"))</f>
        <v>Medium</v>
      </c>
      <c r="AV230" s="15" t="str">
        <f aca="false">IF($Z230="Yes","High",$AU230)</f>
        <v>Medium</v>
      </c>
    </row>
    <row r="231" customFormat="false" ht="15" hidden="false" customHeight="false" outlineLevel="0" collapsed="false">
      <c r="A231" s="7" t="str">
        <f aca="false">Customers!$A231</f>
        <v>NG-10376</v>
      </c>
      <c r="B231" s="7" t="str">
        <f aca="false">Customers!$B231</f>
        <v>Limited company</v>
      </c>
      <c r="C231" s="8" t="n">
        <f aca="false">INDEX(Mapping!$C$2:$C$99,MATCH(C$1&amp;"|"&amp;Customers!C231,Mapping!$D$2:$D$99,0))</f>
        <v>4</v>
      </c>
      <c r="D231" s="8" t="n">
        <f aca="false">INDEX(Mapping!$C$2:$C$99,MATCH(D$1&amp;"|"&amp;Customers!D231,Mapping!$D$2:$D$99,0))</f>
        <v>2</v>
      </c>
      <c r="E231" s="8" t="n">
        <f aca="false">INDEX(Mapping!$C$2:$C$99,MATCH(E$1&amp;"|"&amp;Customers!E231,Mapping!$D$2:$D$99,0))</f>
        <v>3</v>
      </c>
      <c r="F231" s="8" t="n">
        <f aca="false">INDEX(Mapping!$C$2:$C$99,MATCH(F$1&amp;"|"&amp;Customers!F231,Mapping!$D$2:$D$99,0))</f>
        <v>1</v>
      </c>
      <c r="G231" s="8" t="n">
        <f aca="false">INDEX(Mapping!$C$2:$C$99,MATCH(G$1&amp;"|"&amp;Customers!G231,Mapping!$D$2:$D$99,0))</f>
        <v>1</v>
      </c>
      <c r="H231" s="8" t="n">
        <f aca="false">INDEX(Mapping!$C$2:$C$99,MATCH(H$1&amp;"|"&amp;Customers!H231,Mapping!$D$2:$D$99,0))</f>
        <v>1</v>
      </c>
      <c r="I231" s="8" t="n">
        <f aca="false">INDEX(Mapping!$C$2:$C$99,MATCH(I$1&amp;"|"&amp;Customers!I231,Mapping!$D$2:$D$99,0))</f>
        <v>2</v>
      </c>
      <c r="J231" s="8" t="n">
        <f aca="false">INDEX(Mapping!$C$2:$C$99,MATCH(J$1&amp;"|"&amp;Customers!J231,Mapping!$D$2:$D$99,0))</f>
        <v>1</v>
      </c>
      <c r="K231" s="8" t="n">
        <f aca="false">INDEX(Mapping!$C$2:$C$99,MATCH(K$1&amp;"|"&amp;Customers!K231,Mapping!$D$2:$D$99,0))</f>
        <v>5</v>
      </c>
      <c r="L231" s="8" t="n">
        <f aca="false">INDEX(Mapping!$C$2:$C$99,MATCH(L$1&amp;"|"&amp;Customers!L231,Mapping!$D$2:$D$99,0))</f>
        <v>5</v>
      </c>
      <c r="M231" s="8" t="n">
        <f aca="false">INDEX(Mapping!$C$2:$C$99,MATCH(M$1&amp;"|"&amp;Customers!M231,Mapping!$D$2:$D$99,0))</f>
        <v>4</v>
      </c>
      <c r="N231" s="8" t="n">
        <f aca="false">INDEX(Mapping!$C$2:$C$99,MATCH(N$1&amp;"|"&amp;Customers!N231,Mapping!$D$2:$D$99,0))</f>
        <v>1</v>
      </c>
      <c r="O231" s="8" t="n">
        <f aca="false">INDEX(Mapping!$C$2:$C$99,MATCH(O$1&amp;"|"&amp;Customers!O231,Mapping!$D$2:$D$99,0))</f>
        <v>3</v>
      </c>
      <c r="P231" s="8" t="n">
        <f aca="false">INDEX(Mapping!$C$2:$C$99,MATCH(P$1&amp;"|"&amp;Customers!P231,Mapping!$D$2:$D$99,0))</f>
        <v>1</v>
      </c>
      <c r="Q231" s="8" t="n">
        <f aca="false">INDEX(Mapping!$C$2:$C$99,MATCH(Q$1&amp;"|"&amp;Customers!Q231,Mapping!$D$2:$D$99,0))</f>
        <v>1</v>
      </c>
      <c r="R231" s="8" t="n">
        <f aca="false">INDEX(Mapping!$C$2:$C$99,MATCH(R$1&amp;"|"&amp;Customers!R231,Mapping!$D$2:$D$99,0))</f>
        <v>5</v>
      </c>
      <c r="S231" s="8" t="n">
        <f aca="false">INDEX(Mapping!$C$2:$C$99,MATCH(S$1&amp;"|"&amp;Customers!S231,Mapping!$D$2:$D$99,0))</f>
        <v>3</v>
      </c>
      <c r="T231" s="8" t="n">
        <f aca="false">INDEX(Mapping!$C$2:$C$99,MATCH(T$1&amp;"|"&amp;Customers!T231,Mapping!$D$2:$D$99,0))</f>
        <v>1</v>
      </c>
      <c r="U231" s="8" t="n">
        <f aca="false">INDEX(Mapping!$C$2:$C$99,MATCH(U$1&amp;"|"&amp;Customers!U231,Mapping!$D$2:$D$99,0))</f>
        <v>2</v>
      </c>
      <c r="V231" s="8" t="n">
        <f aca="false">INDEX(Mapping!$C$2:$C$99,MATCH(V$1&amp;"|"&amp;Customers!V231,Mapping!$D$2:$D$99,0))</f>
        <v>1</v>
      </c>
      <c r="W231" s="17" t="n">
        <f aca="false">SUMPRODUCT($C231:$V231,Weights!$C$27:$V$27)</f>
        <v>2.4225</v>
      </c>
      <c r="X231" s="18" t="n">
        <f aca="false">ROUND($W231,2)</f>
        <v>2.42</v>
      </c>
      <c r="Y231" s="8" t="str">
        <f aca="false">IF($X231&lt;=2,"Low",IF($X231&lt;=3.49,"Medium","High"))</f>
        <v>Medium</v>
      </c>
      <c r="Z231" s="8" t="str">
        <f aca="false">IF(OR($F231&gt;=3,$E231=5,$D231=5,$C231=5,$G231=5,$H231=5,$I231=5,$J231=5,Customers!$W231="Yes"),"Yes","No")</f>
        <v>No</v>
      </c>
      <c r="AA231" s="15" t="str">
        <f aca="false">IF($Z231="Yes","High",$Y231)</f>
        <v>Medium</v>
      </c>
      <c r="AB231" s="18" t="n">
        <f aca="false">SUMPRODUCT($C231:$G231,Weights!$C$28:$G$28)</f>
        <v>2.3</v>
      </c>
      <c r="AC231" s="18" t="n">
        <f aca="false">SUMPRODUCT($H231:$J231,Weights!$H$28:$J$28)</f>
        <v>1.2</v>
      </c>
      <c r="AD231" s="18" t="n">
        <f aca="false">SUMPRODUCT($K231:$N231,Weights!$K$28:$N$28)</f>
        <v>4.15</v>
      </c>
      <c r="AE231" s="18" t="n">
        <f aca="false">SUMPRODUCT($O231:$Q231,Weights!$O$28:$Q$28)</f>
        <v>1.9</v>
      </c>
      <c r="AF231" s="18" t="n">
        <f aca="false">SUMPRODUCT($R231:$V231,Weights!$R$28:$V$28)</f>
        <v>2.75</v>
      </c>
      <c r="AH231" s="18" t="n">
        <f aca="false">SUMPRODUCT($AB231:$AF231,Validation!$D$7:$H$7)</f>
        <v>2.4399999999996</v>
      </c>
      <c r="AI231" s="18" t="n">
        <f aca="false">SUMPRODUCT($AB231:$AF231,Validation!$D$8:$H$8)</f>
        <v>2.4050000000004</v>
      </c>
      <c r="AJ231" s="18" t="n">
        <f aca="false">SUMPRODUCT($AB231:$AF231,Validation!$D$9:$H$9)</f>
        <v>2.58550000000075</v>
      </c>
      <c r="AK231" s="18" t="n">
        <f aca="false">SUMPRODUCT($AB231:$AF231,Validation!$D$10:$H$10)</f>
        <v>2.25949999999925</v>
      </c>
      <c r="AL231" s="18" t="n">
        <f aca="false">SUMPRODUCT($AB231:$AF231,Validation!$D$11:$H$11)</f>
        <v>2.2065625</v>
      </c>
      <c r="AM231" s="18" t="n">
        <f aca="false">SUMPRODUCT($AB231:$AF231,Validation!$D$12:$H$12)</f>
        <v>2.6384375</v>
      </c>
      <c r="AN231" s="18" t="n">
        <f aca="false">SUMPRODUCT($AB231:$AF231,Validation!$D$13:$H$13)</f>
        <v>2.48055555555505</v>
      </c>
      <c r="AO231" s="18" t="n">
        <f aca="false">SUMPRODUCT($AB231:$AF231,Validation!$D$14:$H$14)</f>
        <v>2.36444444444495</v>
      </c>
      <c r="AP231" s="18" t="n">
        <f aca="false">SUMPRODUCT($AB231:$AF231,Validation!$D$15:$H$15)</f>
        <v>2.38397058823585</v>
      </c>
      <c r="AQ231" s="18" t="n">
        <f aca="false">SUMPRODUCT($AB231:$AF231,Validation!$D$16:$H$16)</f>
        <v>2.46102941176415</v>
      </c>
      <c r="AR231" s="8" t="n">
        <f aca="false">COUNTIF($C231:$V231,"&gt;=4")</f>
        <v>5</v>
      </c>
      <c r="AS231" s="8" t="str">
        <f aca="false">IF($X231&lt;=1.6,"Low",IF($X231&lt;=2.2,"Medium","High"))</f>
        <v>High</v>
      </c>
      <c r="AT231" s="8" t="str">
        <f aca="false">IF($AR231=0,"Low",IF($AR231&lt;3,"Medium","High"))</f>
        <v>High</v>
      </c>
      <c r="AU231" s="8" t="str">
        <f aca="false">IF(OR($AS231="High",$AT231="High"),"High",IF(OR($AS231="Medium",$AT231="Medium"),"Medium","Low"))</f>
        <v>High</v>
      </c>
      <c r="AV231" s="15" t="str">
        <f aca="false">IF($Z231="Yes","High",$AU231)</f>
        <v>High</v>
      </c>
    </row>
    <row r="232" customFormat="false" ht="15" hidden="false" customHeight="false" outlineLevel="0" collapsed="false">
      <c r="A232" s="7" t="str">
        <f aca="false">Customers!$A232</f>
        <v>NG-10295</v>
      </c>
      <c r="B232" s="7" t="str">
        <f aca="false">Customers!$B232</f>
        <v>Personal</v>
      </c>
      <c r="C232" s="8" t="n">
        <f aca="false">INDEX(Mapping!$C$2:$C$99,MATCH(C$1&amp;"|"&amp;Customers!C232,Mapping!$D$2:$D$99,0))</f>
        <v>1</v>
      </c>
      <c r="D232" s="8" t="n">
        <f aca="false">INDEX(Mapping!$C$2:$C$99,MATCH(D$1&amp;"|"&amp;Customers!D232,Mapping!$D$2:$D$99,0))</f>
        <v>1</v>
      </c>
      <c r="E232" s="8" t="n">
        <f aca="false">INDEX(Mapping!$C$2:$C$99,MATCH(E$1&amp;"|"&amp;Customers!E232,Mapping!$D$2:$D$99,0))</f>
        <v>1</v>
      </c>
      <c r="F232" s="8" t="n">
        <f aca="false">INDEX(Mapping!$C$2:$C$99,MATCH(F$1&amp;"|"&amp;Customers!F232,Mapping!$D$2:$D$99,0))</f>
        <v>1</v>
      </c>
      <c r="G232" s="8" t="n">
        <f aca="false">INDEX(Mapping!$C$2:$C$99,MATCH(G$1&amp;"|"&amp;Customers!G232,Mapping!$D$2:$D$99,0))</f>
        <v>1</v>
      </c>
      <c r="H232" s="8" t="n">
        <f aca="false">INDEX(Mapping!$C$2:$C$99,MATCH(H$1&amp;"|"&amp;Customers!H232,Mapping!$D$2:$D$99,0))</f>
        <v>1</v>
      </c>
      <c r="I232" s="8" t="n">
        <f aca="false">INDEX(Mapping!$C$2:$C$99,MATCH(I$1&amp;"|"&amp;Customers!I232,Mapping!$D$2:$D$99,0))</f>
        <v>1</v>
      </c>
      <c r="J232" s="8" t="n">
        <f aca="false">INDEX(Mapping!$C$2:$C$99,MATCH(J$1&amp;"|"&amp;Customers!J232,Mapping!$D$2:$D$99,0))</f>
        <v>1</v>
      </c>
      <c r="K232" s="8" t="n">
        <f aca="false">INDEX(Mapping!$C$2:$C$99,MATCH(K$1&amp;"|"&amp;Customers!K232,Mapping!$D$2:$D$99,0))</f>
        <v>3</v>
      </c>
      <c r="L232" s="8" t="n">
        <f aca="false">INDEX(Mapping!$C$2:$C$99,MATCH(L$1&amp;"|"&amp;Customers!L232,Mapping!$D$2:$D$99,0))</f>
        <v>2</v>
      </c>
      <c r="M232" s="8" t="n">
        <f aca="false">INDEX(Mapping!$C$2:$C$99,MATCH(M$1&amp;"|"&amp;Customers!M232,Mapping!$D$2:$D$99,0))</f>
        <v>2</v>
      </c>
      <c r="N232" s="8" t="n">
        <f aca="false">INDEX(Mapping!$C$2:$C$99,MATCH(N$1&amp;"|"&amp;Customers!N232,Mapping!$D$2:$D$99,0))</f>
        <v>1</v>
      </c>
      <c r="O232" s="8" t="n">
        <f aca="false">INDEX(Mapping!$C$2:$C$99,MATCH(O$1&amp;"|"&amp;Customers!O232,Mapping!$D$2:$D$99,0))</f>
        <v>3</v>
      </c>
      <c r="P232" s="8" t="n">
        <f aca="false">INDEX(Mapping!$C$2:$C$99,MATCH(P$1&amp;"|"&amp;Customers!P232,Mapping!$D$2:$D$99,0))</f>
        <v>1</v>
      </c>
      <c r="Q232" s="8" t="n">
        <f aca="false">INDEX(Mapping!$C$2:$C$99,MATCH(Q$1&amp;"|"&amp;Customers!Q232,Mapping!$D$2:$D$99,0))</f>
        <v>4</v>
      </c>
      <c r="R232" s="8" t="n">
        <f aca="false">INDEX(Mapping!$C$2:$C$99,MATCH(R$1&amp;"|"&amp;Customers!R232,Mapping!$D$2:$D$99,0))</f>
        <v>1</v>
      </c>
      <c r="S232" s="8" t="n">
        <f aca="false">INDEX(Mapping!$C$2:$C$99,MATCH(S$1&amp;"|"&amp;Customers!S232,Mapping!$D$2:$D$99,0))</f>
        <v>4</v>
      </c>
      <c r="T232" s="8" t="n">
        <f aca="false">INDEX(Mapping!$C$2:$C$99,MATCH(T$1&amp;"|"&amp;Customers!T232,Mapping!$D$2:$D$99,0))</f>
        <v>1</v>
      </c>
      <c r="U232" s="8" t="n">
        <f aca="false">INDEX(Mapping!$C$2:$C$99,MATCH(U$1&amp;"|"&amp;Customers!U232,Mapping!$D$2:$D$99,0))</f>
        <v>2</v>
      </c>
      <c r="V232" s="8" t="n">
        <f aca="false">INDEX(Mapping!$C$2:$C$99,MATCH(V$1&amp;"|"&amp;Customers!V232,Mapping!$D$2:$D$99,0))</f>
        <v>5</v>
      </c>
      <c r="W232" s="17" t="n">
        <f aca="false">SUMPRODUCT($C232:$V232,Weights!$C$27:$V$27)</f>
        <v>1.6075</v>
      </c>
      <c r="X232" s="18" t="n">
        <f aca="false">ROUND($W232,2)</f>
        <v>1.61</v>
      </c>
      <c r="Y232" s="8" t="str">
        <f aca="false">IF($X232&lt;=2,"Low",IF($X232&lt;=3.49,"Medium","High"))</f>
        <v>Low</v>
      </c>
      <c r="Z232" s="8" t="str">
        <f aca="false">IF(OR($F232&gt;=3,$E232=5,$D232=5,$C232=5,$G232=5,$H232=5,$I232=5,$J232=5,Customers!$W232="Yes"),"Yes","No")</f>
        <v>No</v>
      </c>
      <c r="AA232" s="15" t="str">
        <f aca="false">IF($Z232="Yes","High",$Y232)</f>
        <v>Low</v>
      </c>
      <c r="AB232" s="18" t="n">
        <f aca="false">SUMPRODUCT($C232:$G232,Weights!$C$28:$G$28)</f>
        <v>1</v>
      </c>
      <c r="AC232" s="18" t="n">
        <f aca="false">SUMPRODUCT($H232:$J232,Weights!$H$28:$J$28)</f>
        <v>1</v>
      </c>
      <c r="AD232" s="18" t="n">
        <f aca="false">SUMPRODUCT($K232:$N232,Weights!$K$28:$N$28)</f>
        <v>2.2</v>
      </c>
      <c r="AE232" s="18" t="n">
        <f aca="false">SUMPRODUCT($O232:$Q232,Weights!$O$28:$Q$28)</f>
        <v>2.5</v>
      </c>
      <c r="AF232" s="18" t="n">
        <f aca="false">SUMPRODUCT($R232:$V232,Weights!$R$28:$V$28)</f>
        <v>2.45</v>
      </c>
      <c r="AH232" s="18" t="n">
        <f aca="false">SUMPRODUCT($AB232:$AF232,Validation!$D$7:$H$7)</f>
        <v>1.69428571428625</v>
      </c>
      <c r="AI232" s="18" t="n">
        <f aca="false">SUMPRODUCT($AB232:$AF232,Validation!$D$8:$H$8)</f>
        <v>1.52071428571375</v>
      </c>
      <c r="AJ232" s="18" t="n">
        <f aca="false">SUMPRODUCT($AB232:$AF232,Validation!$D$9:$H$9)</f>
        <v>1.6884999999999</v>
      </c>
      <c r="AK232" s="18" t="n">
        <f aca="false">SUMPRODUCT($AB232:$AF232,Validation!$D$10:$H$10)</f>
        <v>1.5265000000001</v>
      </c>
      <c r="AL232" s="18" t="n">
        <f aca="false">SUMPRODUCT($AB232:$AF232,Validation!$D$11:$H$11)</f>
        <v>1.5334375</v>
      </c>
      <c r="AM232" s="18" t="n">
        <f aca="false">SUMPRODUCT($AB232:$AF232,Validation!$D$12:$H$12)</f>
        <v>1.6815625</v>
      </c>
      <c r="AN232" s="18" t="n">
        <f aca="false">SUMPRODUCT($AB232:$AF232,Validation!$D$13:$H$13)</f>
        <v>1.50833333333355</v>
      </c>
      <c r="AO232" s="18" t="n">
        <f aca="false">SUMPRODUCT($AB232:$AF232,Validation!$D$14:$H$14)</f>
        <v>1.70666666666645</v>
      </c>
      <c r="AP232" s="18" t="n">
        <f aca="false">SUMPRODUCT($AB232:$AF232,Validation!$D$15:$H$15)</f>
        <v>1.508382352941</v>
      </c>
      <c r="AQ232" s="18" t="n">
        <f aca="false">SUMPRODUCT($AB232:$AF232,Validation!$D$16:$H$16)</f>
        <v>1.706617647059</v>
      </c>
      <c r="AR232" s="8" t="n">
        <f aca="false">COUNTIF($C232:$V232,"&gt;=4")</f>
        <v>3</v>
      </c>
      <c r="AS232" s="8" t="str">
        <f aca="false">IF($X232&lt;=1.6,"Low",IF($X232&lt;=2.2,"Medium","High"))</f>
        <v>Medium</v>
      </c>
      <c r="AT232" s="8" t="str">
        <f aca="false">IF($AR232=0,"Low",IF($AR232&lt;3,"Medium","High"))</f>
        <v>High</v>
      </c>
      <c r="AU232" s="8" t="str">
        <f aca="false">IF(OR($AS232="High",$AT232="High"),"High",IF(OR($AS232="Medium",$AT232="Medium"),"Medium","Low"))</f>
        <v>High</v>
      </c>
      <c r="AV232" s="15" t="str">
        <f aca="false">IF($Z232="Yes","High",$AU232)</f>
        <v>High</v>
      </c>
    </row>
    <row r="233" customFormat="false" ht="15" hidden="false" customHeight="false" outlineLevel="0" collapsed="false">
      <c r="A233" s="7" t="str">
        <f aca="false">Customers!$A233</f>
        <v>NG-10302</v>
      </c>
      <c r="B233" s="7" t="str">
        <f aca="false">Customers!$B233</f>
        <v>Sole trader</v>
      </c>
      <c r="C233" s="8" t="n">
        <f aca="false">INDEX(Mapping!$C$2:$C$99,MATCH(C$1&amp;"|"&amp;Customers!C233,Mapping!$D$2:$D$99,0))</f>
        <v>2</v>
      </c>
      <c r="D233" s="8" t="n">
        <f aca="false">INDEX(Mapping!$C$2:$C$99,MATCH(D$1&amp;"|"&amp;Customers!D233,Mapping!$D$2:$D$99,0))</f>
        <v>1</v>
      </c>
      <c r="E233" s="8" t="n">
        <f aca="false">INDEX(Mapping!$C$2:$C$99,MATCH(E$1&amp;"|"&amp;Customers!E233,Mapping!$D$2:$D$99,0))</f>
        <v>5</v>
      </c>
      <c r="F233" s="8" t="n">
        <f aca="false">INDEX(Mapping!$C$2:$C$99,MATCH(F$1&amp;"|"&amp;Customers!F233,Mapping!$D$2:$D$99,0))</f>
        <v>1</v>
      </c>
      <c r="G233" s="8" t="n">
        <f aca="false">INDEX(Mapping!$C$2:$C$99,MATCH(G$1&amp;"|"&amp;Customers!G233,Mapping!$D$2:$D$99,0))</f>
        <v>1</v>
      </c>
      <c r="H233" s="8" t="n">
        <f aca="false">INDEX(Mapping!$C$2:$C$99,MATCH(H$1&amp;"|"&amp;Customers!H233,Mapping!$D$2:$D$99,0))</f>
        <v>1</v>
      </c>
      <c r="I233" s="8" t="n">
        <f aca="false">INDEX(Mapping!$C$2:$C$99,MATCH(I$1&amp;"|"&amp;Customers!I233,Mapping!$D$2:$D$99,0))</f>
        <v>1</v>
      </c>
      <c r="J233" s="8" t="n">
        <f aca="false">INDEX(Mapping!$C$2:$C$99,MATCH(J$1&amp;"|"&amp;Customers!J233,Mapping!$D$2:$D$99,0))</f>
        <v>3</v>
      </c>
      <c r="K233" s="8" t="n">
        <f aca="false">INDEX(Mapping!$C$2:$C$99,MATCH(K$1&amp;"|"&amp;Customers!K233,Mapping!$D$2:$D$99,0))</f>
        <v>4</v>
      </c>
      <c r="L233" s="8" t="n">
        <f aca="false">INDEX(Mapping!$C$2:$C$99,MATCH(L$1&amp;"|"&amp;Customers!L233,Mapping!$D$2:$D$99,0))</f>
        <v>4</v>
      </c>
      <c r="M233" s="8" t="n">
        <f aca="false">INDEX(Mapping!$C$2:$C$99,MATCH(M$1&amp;"|"&amp;Customers!M233,Mapping!$D$2:$D$99,0))</f>
        <v>3</v>
      </c>
      <c r="N233" s="8" t="n">
        <f aca="false">INDEX(Mapping!$C$2:$C$99,MATCH(N$1&amp;"|"&amp;Customers!N233,Mapping!$D$2:$D$99,0))</f>
        <v>4</v>
      </c>
      <c r="O233" s="8" t="n">
        <f aca="false">INDEX(Mapping!$C$2:$C$99,MATCH(O$1&amp;"|"&amp;Customers!O233,Mapping!$D$2:$D$99,0))</f>
        <v>4</v>
      </c>
      <c r="P233" s="8" t="n">
        <f aca="false">INDEX(Mapping!$C$2:$C$99,MATCH(P$1&amp;"|"&amp;Customers!P233,Mapping!$D$2:$D$99,0))</f>
        <v>1</v>
      </c>
      <c r="Q233" s="8" t="n">
        <f aca="false">INDEX(Mapping!$C$2:$C$99,MATCH(Q$1&amp;"|"&amp;Customers!Q233,Mapping!$D$2:$D$99,0))</f>
        <v>3</v>
      </c>
      <c r="R233" s="8" t="n">
        <f aca="false">INDEX(Mapping!$C$2:$C$99,MATCH(R$1&amp;"|"&amp;Customers!R233,Mapping!$D$2:$D$99,0))</f>
        <v>2</v>
      </c>
      <c r="S233" s="8" t="n">
        <f aca="false">INDEX(Mapping!$C$2:$C$99,MATCH(S$1&amp;"|"&amp;Customers!S233,Mapping!$D$2:$D$99,0))</f>
        <v>1</v>
      </c>
      <c r="T233" s="8" t="n">
        <f aca="false">INDEX(Mapping!$C$2:$C$99,MATCH(T$1&amp;"|"&amp;Customers!T233,Mapping!$D$2:$D$99,0))</f>
        <v>1</v>
      </c>
      <c r="U233" s="8" t="n">
        <f aca="false">INDEX(Mapping!$C$2:$C$99,MATCH(U$1&amp;"|"&amp;Customers!U233,Mapping!$D$2:$D$99,0))</f>
        <v>2</v>
      </c>
      <c r="V233" s="8" t="n">
        <f aca="false">INDEX(Mapping!$C$2:$C$99,MATCH(V$1&amp;"|"&amp;Customers!V233,Mapping!$D$2:$D$99,0))</f>
        <v>1</v>
      </c>
      <c r="W233" s="17" t="n">
        <f aca="false">SUMPRODUCT($C233:$V233,Weights!$C$27:$V$27)</f>
        <v>2.345</v>
      </c>
      <c r="X233" s="18" t="n">
        <f aca="false">ROUND($W233,2)</f>
        <v>2.35</v>
      </c>
      <c r="Y233" s="8" t="str">
        <f aca="false">IF($X233&lt;=2,"Low",IF($X233&lt;=3.49,"Medium","High"))</f>
        <v>Medium</v>
      </c>
      <c r="Z233" s="8" t="str">
        <f aca="false">IF(OR($F233&gt;=3,$E233=5,$D233=5,$C233=5,$G233=5,$H233=5,$I233=5,$J233=5,Customers!$W233="Yes"),"Yes","No")</f>
        <v>Yes</v>
      </c>
      <c r="AA233" s="15" t="str">
        <f aca="false">IF($Z233="Yes","High",$Y233)</f>
        <v>High</v>
      </c>
      <c r="AB233" s="18" t="n">
        <f aca="false">SUMPRODUCT($C233:$G233,Weights!$C$28:$G$28)</f>
        <v>2.2</v>
      </c>
      <c r="AC233" s="18" t="n">
        <f aca="false">SUMPRODUCT($H233:$J233,Weights!$H$28:$J$28)</f>
        <v>1.8</v>
      </c>
      <c r="AD233" s="18" t="n">
        <f aca="false">SUMPRODUCT($K233:$N233,Weights!$K$28:$N$28)</f>
        <v>3.75</v>
      </c>
      <c r="AE233" s="18" t="n">
        <f aca="false">SUMPRODUCT($O233:$Q233,Weights!$O$28:$Q$28)</f>
        <v>2.75</v>
      </c>
      <c r="AF233" s="18" t="n">
        <f aca="false">SUMPRODUCT($R233:$V233,Weights!$R$28:$V$28)</f>
        <v>1.4</v>
      </c>
      <c r="AH233" s="18" t="n">
        <f aca="false">SUMPRODUCT($AB233:$AF233,Validation!$D$7:$H$7)</f>
        <v>2.36571428571355</v>
      </c>
      <c r="AI233" s="18" t="n">
        <f aca="false">SUMPRODUCT($AB233:$AF233,Validation!$D$8:$H$8)</f>
        <v>2.32428571428645</v>
      </c>
      <c r="AJ233" s="18" t="n">
        <f aca="false">SUMPRODUCT($AB233:$AF233,Validation!$D$9:$H$9)</f>
        <v>2.417666666667</v>
      </c>
      <c r="AK233" s="18" t="n">
        <f aca="false">SUMPRODUCT($AB233:$AF233,Validation!$D$10:$H$10)</f>
        <v>2.272333333333</v>
      </c>
      <c r="AL233" s="18" t="n">
        <f aca="false">SUMPRODUCT($AB233:$AF233,Validation!$D$11:$H$11)</f>
        <v>2.169375</v>
      </c>
      <c r="AM233" s="18" t="n">
        <f aca="false">SUMPRODUCT($AB233:$AF233,Validation!$D$12:$H$12)</f>
        <v>2.520625</v>
      </c>
      <c r="AN233" s="18" t="n">
        <f aca="false">SUMPRODUCT($AB233:$AF233,Validation!$D$13:$H$13)</f>
        <v>2.2999999999993</v>
      </c>
      <c r="AO233" s="18" t="n">
        <f aca="false">SUMPRODUCT($AB233:$AF233,Validation!$D$14:$H$14)</f>
        <v>2.3900000000007</v>
      </c>
      <c r="AP233" s="18" t="n">
        <f aca="false">SUMPRODUCT($AB233:$AF233,Validation!$D$15:$H$15)</f>
        <v>2.45617647058845</v>
      </c>
      <c r="AQ233" s="18" t="n">
        <f aca="false">SUMPRODUCT($AB233:$AF233,Validation!$D$16:$H$16)</f>
        <v>2.23382352941155</v>
      </c>
      <c r="AR233" s="8" t="n">
        <f aca="false">COUNTIF($C233:$V233,"&gt;=4")</f>
        <v>5</v>
      </c>
      <c r="AS233" s="8" t="str">
        <f aca="false">IF($X233&lt;=1.6,"Low",IF($X233&lt;=2.2,"Medium","High"))</f>
        <v>High</v>
      </c>
      <c r="AT233" s="8" t="str">
        <f aca="false">IF($AR233=0,"Low",IF($AR233&lt;3,"Medium","High"))</f>
        <v>High</v>
      </c>
      <c r="AU233" s="8" t="str">
        <f aca="false">IF(OR($AS233="High",$AT233="High"),"High",IF(OR($AS233="Medium",$AT233="Medium"),"Medium","Low"))</f>
        <v>High</v>
      </c>
      <c r="AV233" s="15" t="str">
        <f aca="false">IF($Z233="Yes","High",$AU233)</f>
        <v>High</v>
      </c>
    </row>
    <row r="234" customFormat="false" ht="15" hidden="false" customHeight="false" outlineLevel="0" collapsed="false">
      <c r="A234" s="7" t="str">
        <f aca="false">Customers!$A234</f>
        <v>NG-10083</v>
      </c>
      <c r="B234" s="7" t="str">
        <f aca="false">Customers!$B234</f>
        <v>Personal</v>
      </c>
      <c r="C234" s="8" t="n">
        <f aca="false">INDEX(Mapping!$C$2:$C$99,MATCH(C$1&amp;"|"&amp;Customers!C234,Mapping!$D$2:$D$99,0))</f>
        <v>1</v>
      </c>
      <c r="D234" s="8" t="n">
        <f aca="false">INDEX(Mapping!$C$2:$C$99,MATCH(D$1&amp;"|"&amp;Customers!D234,Mapping!$D$2:$D$99,0))</f>
        <v>1</v>
      </c>
      <c r="E234" s="8" t="n">
        <f aca="false">INDEX(Mapping!$C$2:$C$99,MATCH(E$1&amp;"|"&amp;Customers!E234,Mapping!$D$2:$D$99,0))</f>
        <v>3</v>
      </c>
      <c r="F234" s="8" t="n">
        <f aca="false">INDEX(Mapping!$C$2:$C$99,MATCH(F$1&amp;"|"&amp;Customers!F234,Mapping!$D$2:$D$99,0))</f>
        <v>1</v>
      </c>
      <c r="G234" s="8" t="n">
        <f aca="false">INDEX(Mapping!$C$2:$C$99,MATCH(G$1&amp;"|"&amp;Customers!G234,Mapping!$D$2:$D$99,0))</f>
        <v>1</v>
      </c>
      <c r="H234" s="8" t="n">
        <f aca="false">INDEX(Mapping!$C$2:$C$99,MATCH(H$1&amp;"|"&amp;Customers!H234,Mapping!$D$2:$D$99,0))</f>
        <v>1</v>
      </c>
      <c r="I234" s="8" t="n">
        <f aca="false">INDEX(Mapping!$C$2:$C$99,MATCH(I$1&amp;"|"&amp;Customers!I234,Mapping!$D$2:$D$99,0))</f>
        <v>4</v>
      </c>
      <c r="J234" s="8" t="n">
        <f aca="false">INDEX(Mapping!$C$2:$C$99,MATCH(J$1&amp;"|"&amp;Customers!J234,Mapping!$D$2:$D$99,0))</f>
        <v>1</v>
      </c>
      <c r="K234" s="8" t="n">
        <f aca="false">INDEX(Mapping!$C$2:$C$99,MATCH(K$1&amp;"|"&amp;Customers!K234,Mapping!$D$2:$D$99,0))</f>
        <v>1</v>
      </c>
      <c r="L234" s="8" t="n">
        <f aca="false">INDEX(Mapping!$C$2:$C$99,MATCH(L$1&amp;"|"&amp;Customers!L234,Mapping!$D$2:$D$99,0))</f>
        <v>3</v>
      </c>
      <c r="M234" s="8" t="n">
        <f aca="false">INDEX(Mapping!$C$2:$C$99,MATCH(M$1&amp;"|"&amp;Customers!M234,Mapping!$D$2:$D$99,0))</f>
        <v>2</v>
      </c>
      <c r="N234" s="8" t="n">
        <f aca="false">INDEX(Mapping!$C$2:$C$99,MATCH(N$1&amp;"|"&amp;Customers!N234,Mapping!$D$2:$D$99,0))</f>
        <v>1</v>
      </c>
      <c r="O234" s="8" t="n">
        <f aca="false">INDEX(Mapping!$C$2:$C$99,MATCH(O$1&amp;"|"&amp;Customers!O234,Mapping!$D$2:$D$99,0))</f>
        <v>3</v>
      </c>
      <c r="P234" s="8" t="n">
        <f aca="false">INDEX(Mapping!$C$2:$C$99,MATCH(P$1&amp;"|"&amp;Customers!P234,Mapping!$D$2:$D$99,0))</f>
        <v>3</v>
      </c>
      <c r="Q234" s="8" t="n">
        <f aca="false">INDEX(Mapping!$C$2:$C$99,MATCH(Q$1&amp;"|"&amp;Customers!Q234,Mapping!$D$2:$D$99,0))</f>
        <v>1</v>
      </c>
      <c r="R234" s="8" t="n">
        <f aca="false">INDEX(Mapping!$C$2:$C$99,MATCH(R$1&amp;"|"&amp;Customers!R234,Mapping!$D$2:$D$99,0))</f>
        <v>2</v>
      </c>
      <c r="S234" s="8" t="n">
        <f aca="false">INDEX(Mapping!$C$2:$C$99,MATCH(S$1&amp;"|"&amp;Customers!S234,Mapping!$D$2:$D$99,0))</f>
        <v>2</v>
      </c>
      <c r="T234" s="8" t="n">
        <f aca="false">INDEX(Mapping!$C$2:$C$99,MATCH(T$1&amp;"|"&amp;Customers!T234,Mapping!$D$2:$D$99,0))</f>
        <v>2</v>
      </c>
      <c r="U234" s="8" t="n">
        <f aca="false">INDEX(Mapping!$C$2:$C$99,MATCH(U$1&amp;"|"&amp;Customers!U234,Mapping!$D$2:$D$99,0))</f>
        <v>2</v>
      </c>
      <c r="V234" s="8" t="n">
        <f aca="false">INDEX(Mapping!$C$2:$C$99,MATCH(V$1&amp;"|"&amp;Customers!V234,Mapping!$D$2:$D$99,0))</f>
        <v>1</v>
      </c>
      <c r="W234" s="17" t="n">
        <f aca="false">SUMPRODUCT($C234:$V234,Weights!$C$27:$V$27)</f>
        <v>1.745</v>
      </c>
      <c r="X234" s="18" t="n">
        <f aca="false">ROUND($W234,2)</f>
        <v>1.75</v>
      </c>
      <c r="Y234" s="8" t="str">
        <f aca="false">IF($X234&lt;=2,"Low",IF($X234&lt;=3.49,"Medium","High"))</f>
        <v>Low</v>
      </c>
      <c r="Z234" s="8" t="str">
        <f aca="false">IF(OR($F234&gt;=3,$E234=5,$D234=5,$C234=5,$G234=5,$H234=5,$I234=5,$J234=5,Customers!$W234="Yes"),"Yes","No")</f>
        <v>No</v>
      </c>
      <c r="AA234" s="15" t="str">
        <f aca="false">IF($Z234="Yes","High",$Y234)</f>
        <v>Low</v>
      </c>
      <c r="AB234" s="18" t="n">
        <f aca="false">SUMPRODUCT($C234:$G234,Weights!$C$28:$G$28)</f>
        <v>1.5</v>
      </c>
      <c r="AC234" s="18" t="n">
        <f aca="false">SUMPRODUCT($H234:$J234,Weights!$H$28:$J$28)</f>
        <v>1.6</v>
      </c>
      <c r="AD234" s="18" t="n">
        <f aca="false">SUMPRODUCT($K234:$N234,Weights!$K$28:$N$28)</f>
        <v>1.75</v>
      </c>
      <c r="AE234" s="18" t="n">
        <f aca="false">SUMPRODUCT($O234:$Q234,Weights!$O$28:$Q$28)</f>
        <v>2.6</v>
      </c>
      <c r="AF234" s="18" t="n">
        <f aca="false">SUMPRODUCT($R234:$V234,Weights!$R$28:$V$28)</f>
        <v>1.9</v>
      </c>
      <c r="AH234" s="18" t="n">
        <f aca="false">SUMPRODUCT($AB234:$AF234,Validation!$D$7:$H$7)</f>
        <v>1.78000000000035</v>
      </c>
      <c r="AI234" s="18" t="n">
        <f aca="false">SUMPRODUCT($AB234:$AF234,Validation!$D$8:$H$8)</f>
        <v>1.70999999999965</v>
      </c>
      <c r="AJ234" s="18" t="n">
        <f aca="false">SUMPRODUCT($AB234:$AF234,Validation!$D$9:$H$9)</f>
        <v>1.76433333333305</v>
      </c>
      <c r="AK234" s="18" t="n">
        <f aca="false">SUMPRODUCT($AB234:$AF234,Validation!$D$10:$H$10)</f>
        <v>1.72566666666695</v>
      </c>
      <c r="AL234" s="18" t="n">
        <f aca="false">SUMPRODUCT($AB234:$AF234,Validation!$D$11:$H$11)</f>
        <v>1.744375</v>
      </c>
      <c r="AM234" s="18" t="n">
        <f aca="false">SUMPRODUCT($AB234:$AF234,Validation!$D$12:$H$12)</f>
        <v>1.745625</v>
      </c>
      <c r="AN234" s="18" t="n">
        <f aca="false">SUMPRODUCT($AB234:$AF234,Validation!$D$13:$H$13)</f>
        <v>1.6500000000001</v>
      </c>
      <c r="AO234" s="18" t="n">
        <f aca="false">SUMPRODUCT($AB234:$AF234,Validation!$D$14:$H$14)</f>
        <v>1.8399999999999</v>
      </c>
      <c r="AP234" s="18" t="n">
        <f aca="false">SUMPRODUCT($AB234:$AF234,Validation!$D$15:$H$15)</f>
        <v>1.72676470588205</v>
      </c>
      <c r="AQ234" s="18" t="n">
        <f aca="false">SUMPRODUCT($AB234:$AF234,Validation!$D$16:$H$16)</f>
        <v>1.76323529411795</v>
      </c>
      <c r="AR234" s="8" t="n">
        <f aca="false">COUNTIF($C234:$V234,"&gt;=4")</f>
        <v>1</v>
      </c>
      <c r="AS234" s="8" t="str">
        <f aca="false">IF($X234&lt;=1.6,"Low",IF($X234&lt;=2.2,"Medium","High"))</f>
        <v>Medium</v>
      </c>
      <c r="AT234" s="8" t="str">
        <f aca="false">IF($AR234=0,"Low",IF($AR234&lt;3,"Medium","High"))</f>
        <v>Medium</v>
      </c>
      <c r="AU234" s="8" t="str">
        <f aca="false">IF(OR($AS234="High",$AT234="High"),"High",IF(OR($AS234="Medium",$AT234="Medium"),"Medium","Low"))</f>
        <v>Medium</v>
      </c>
      <c r="AV234" s="15" t="str">
        <f aca="false">IF($Z234="Yes","High",$AU234)</f>
        <v>Medium</v>
      </c>
    </row>
    <row r="235" customFormat="false" ht="15" hidden="false" customHeight="false" outlineLevel="0" collapsed="false">
      <c r="A235" s="7" t="str">
        <f aca="false">Customers!$A235</f>
        <v>NG-10332</v>
      </c>
      <c r="B235" s="7" t="str">
        <f aca="false">Customers!$B235</f>
        <v>Sole trader</v>
      </c>
      <c r="C235" s="8" t="n">
        <f aca="false">INDEX(Mapping!$C$2:$C$99,MATCH(C$1&amp;"|"&amp;Customers!C235,Mapping!$D$2:$D$99,0))</f>
        <v>2</v>
      </c>
      <c r="D235" s="8" t="n">
        <f aca="false">INDEX(Mapping!$C$2:$C$99,MATCH(D$1&amp;"|"&amp;Customers!D235,Mapping!$D$2:$D$99,0))</f>
        <v>1</v>
      </c>
      <c r="E235" s="8" t="n">
        <f aca="false">INDEX(Mapping!$C$2:$C$99,MATCH(E$1&amp;"|"&amp;Customers!E235,Mapping!$D$2:$D$99,0))</f>
        <v>4</v>
      </c>
      <c r="F235" s="8" t="n">
        <f aca="false">INDEX(Mapping!$C$2:$C$99,MATCH(F$1&amp;"|"&amp;Customers!F235,Mapping!$D$2:$D$99,0))</f>
        <v>1</v>
      </c>
      <c r="G235" s="8" t="n">
        <f aca="false">INDEX(Mapping!$C$2:$C$99,MATCH(G$1&amp;"|"&amp;Customers!G235,Mapping!$D$2:$D$99,0))</f>
        <v>1</v>
      </c>
      <c r="H235" s="8" t="n">
        <f aca="false">INDEX(Mapping!$C$2:$C$99,MATCH(H$1&amp;"|"&amp;Customers!H235,Mapping!$D$2:$D$99,0))</f>
        <v>1</v>
      </c>
      <c r="I235" s="8" t="n">
        <f aca="false">INDEX(Mapping!$C$2:$C$99,MATCH(I$1&amp;"|"&amp;Customers!I235,Mapping!$D$2:$D$99,0))</f>
        <v>1</v>
      </c>
      <c r="J235" s="8" t="n">
        <f aca="false">INDEX(Mapping!$C$2:$C$99,MATCH(J$1&amp;"|"&amp;Customers!J235,Mapping!$D$2:$D$99,0))</f>
        <v>1</v>
      </c>
      <c r="K235" s="8" t="n">
        <f aca="false">INDEX(Mapping!$C$2:$C$99,MATCH(K$1&amp;"|"&amp;Customers!K235,Mapping!$D$2:$D$99,0))</f>
        <v>4</v>
      </c>
      <c r="L235" s="8" t="n">
        <f aca="false">INDEX(Mapping!$C$2:$C$99,MATCH(L$1&amp;"|"&amp;Customers!L235,Mapping!$D$2:$D$99,0))</f>
        <v>3</v>
      </c>
      <c r="M235" s="8" t="n">
        <f aca="false">INDEX(Mapping!$C$2:$C$99,MATCH(M$1&amp;"|"&amp;Customers!M235,Mapping!$D$2:$D$99,0))</f>
        <v>3</v>
      </c>
      <c r="N235" s="8" t="n">
        <f aca="false">INDEX(Mapping!$C$2:$C$99,MATCH(N$1&amp;"|"&amp;Customers!N235,Mapping!$D$2:$D$99,0))</f>
        <v>1</v>
      </c>
      <c r="O235" s="8" t="n">
        <f aca="false">INDEX(Mapping!$C$2:$C$99,MATCH(O$1&amp;"|"&amp;Customers!O235,Mapping!$D$2:$D$99,0))</f>
        <v>3</v>
      </c>
      <c r="P235" s="8" t="n">
        <f aca="false">INDEX(Mapping!$C$2:$C$99,MATCH(P$1&amp;"|"&amp;Customers!P235,Mapping!$D$2:$D$99,0))</f>
        <v>3</v>
      </c>
      <c r="Q235" s="8" t="n">
        <f aca="false">INDEX(Mapping!$C$2:$C$99,MATCH(Q$1&amp;"|"&amp;Customers!Q235,Mapping!$D$2:$D$99,0))</f>
        <v>1</v>
      </c>
      <c r="R235" s="8" t="n">
        <f aca="false">INDEX(Mapping!$C$2:$C$99,MATCH(R$1&amp;"|"&amp;Customers!R235,Mapping!$D$2:$D$99,0))</f>
        <v>3</v>
      </c>
      <c r="S235" s="8" t="n">
        <f aca="false">INDEX(Mapping!$C$2:$C$99,MATCH(S$1&amp;"|"&amp;Customers!S235,Mapping!$D$2:$D$99,0))</f>
        <v>1</v>
      </c>
      <c r="T235" s="8" t="n">
        <f aca="false">INDEX(Mapping!$C$2:$C$99,MATCH(T$1&amp;"|"&amp;Customers!T235,Mapping!$D$2:$D$99,0))</f>
        <v>1</v>
      </c>
      <c r="U235" s="8" t="n">
        <f aca="false">INDEX(Mapping!$C$2:$C$99,MATCH(U$1&amp;"|"&amp;Customers!U235,Mapping!$D$2:$D$99,0))</f>
        <v>3</v>
      </c>
      <c r="V235" s="8" t="n">
        <f aca="false">INDEX(Mapping!$C$2:$C$99,MATCH(V$1&amp;"|"&amp;Customers!V235,Mapping!$D$2:$D$99,0))</f>
        <v>1</v>
      </c>
      <c r="W235" s="17" t="n">
        <f aca="false">SUMPRODUCT($C235:$V235,Weights!$C$27:$V$27)</f>
        <v>1.975</v>
      </c>
      <c r="X235" s="18" t="n">
        <f aca="false">ROUND($W235,2)</f>
        <v>1.98</v>
      </c>
      <c r="Y235" s="8" t="str">
        <f aca="false">IF($X235&lt;=2,"Low",IF($X235&lt;=3.49,"Medium","High"))</f>
        <v>Low</v>
      </c>
      <c r="Z235" s="8" t="str">
        <f aca="false">IF(OR($F235&gt;=3,$E235=5,$D235=5,$C235=5,$G235=5,$H235=5,$I235=5,$J235=5,Customers!$W235="Yes"),"Yes","No")</f>
        <v>No</v>
      </c>
      <c r="AA235" s="15" t="str">
        <f aca="false">IF($Z235="Yes","High",$Y235)</f>
        <v>Low</v>
      </c>
      <c r="AB235" s="18" t="n">
        <f aca="false">SUMPRODUCT($C235:$G235,Weights!$C$28:$G$28)</f>
        <v>1.95</v>
      </c>
      <c r="AC235" s="18" t="n">
        <f aca="false">SUMPRODUCT($H235:$J235,Weights!$H$28:$J$28)</f>
        <v>1</v>
      </c>
      <c r="AD235" s="18" t="n">
        <f aca="false">SUMPRODUCT($K235:$N235,Weights!$K$28:$N$28)</f>
        <v>3.05</v>
      </c>
      <c r="AE235" s="18" t="n">
        <f aca="false">SUMPRODUCT($O235:$Q235,Weights!$O$28:$Q$28)</f>
        <v>2.6</v>
      </c>
      <c r="AF235" s="18" t="n">
        <f aca="false">SUMPRODUCT($R235:$V235,Weights!$R$28:$V$28)</f>
        <v>1.8</v>
      </c>
      <c r="AH235" s="18" t="n">
        <f aca="false">SUMPRODUCT($AB235:$AF235,Validation!$D$7:$H$7)</f>
        <v>1.97857142857135</v>
      </c>
      <c r="AI235" s="18" t="n">
        <f aca="false">SUMPRODUCT($AB235:$AF235,Validation!$D$8:$H$8)</f>
        <v>1.97142857142865</v>
      </c>
      <c r="AJ235" s="18" t="n">
        <f aca="false">SUMPRODUCT($AB235:$AF235,Validation!$D$9:$H$9)</f>
        <v>2.10500000000015</v>
      </c>
      <c r="AK235" s="18" t="n">
        <f aca="false">SUMPRODUCT($AB235:$AF235,Validation!$D$10:$H$10)</f>
        <v>1.84499999999985</v>
      </c>
      <c r="AL235" s="18" t="n">
        <f aca="false">SUMPRODUCT($AB235:$AF235,Validation!$D$11:$H$11)</f>
        <v>1.840625</v>
      </c>
      <c r="AM235" s="18" t="n">
        <f aca="false">SUMPRODUCT($AB235:$AF235,Validation!$D$12:$H$12)</f>
        <v>2.109375</v>
      </c>
      <c r="AN235" s="18" t="n">
        <f aca="false">SUMPRODUCT($AB235:$AF235,Validation!$D$13:$H$13)</f>
        <v>1.90555555555505</v>
      </c>
      <c r="AO235" s="18" t="n">
        <f aca="false">SUMPRODUCT($AB235:$AF235,Validation!$D$14:$H$14)</f>
        <v>2.04444444444495</v>
      </c>
      <c r="AP235" s="18" t="n">
        <f aca="false">SUMPRODUCT($AB235:$AF235,Validation!$D$15:$H$15)</f>
        <v>1.9955882352941</v>
      </c>
      <c r="AQ235" s="18" t="n">
        <f aca="false">SUMPRODUCT($AB235:$AF235,Validation!$D$16:$H$16)</f>
        <v>1.9544117647059</v>
      </c>
      <c r="AR235" s="8" t="n">
        <f aca="false">COUNTIF($C235:$V235,"&gt;=4")</f>
        <v>2</v>
      </c>
      <c r="AS235" s="8" t="str">
        <f aca="false">IF($X235&lt;=1.6,"Low",IF($X235&lt;=2.2,"Medium","High"))</f>
        <v>Medium</v>
      </c>
      <c r="AT235" s="8" t="str">
        <f aca="false">IF($AR235=0,"Low",IF($AR235&lt;3,"Medium","High"))</f>
        <v>Medium</v>
      </c>
      <c r="AU235" s="8" t="str">
        <f aca="false">IF(OR($AS235="High",$AT235="High"),"High",IF(OR($AS235="Medium",$AT235="Medium"),"Medium","Low"))</f>
        <v>Medium</v>
      </c>
      <c r="AV235" s="15" t="str">
        <f aca="false">IF($Z235="Yes","High",$AU235)</f>
        <v>Medium</v>
      </c>
    </row>
    <row r="236" customFormat="false" ht="15" hidden="false" customHeight="false" outlineLevel="0" collapsed="false">
      <c r="A236" s="7" t="str">
        <f aca="false">Customers!$A236</f>
        <v>NG-10242</v>
      </c>
      <c r="B236" s="7" t="str">
        <f aca="false">Customers!$B236</f>
        <v>Personal</v>
      </c>
      <c r="C236" s="8" t="n">
        <f aca="false">INDEX(Mapping!$C$2:$C$99,MATCH(C$1&amp;"|"&amp;Customers!C236,Mapping!$D$2:$D$99,0))</f>
        <v>1</v>
      </c>
      <c r="D236" s="8" t="n">
        <f aca="false">INDEX(Mapping!$C$2:$C$99,MATCH(D$1&amp;"|"&amp;Customers!D236,Mapping!$D$2:$D$99,0))</f>
        <v>1</v>
      </c>
      <c r="E236" s="8" t="n">
        <f aca="false">INDEX(Mapping!$C$2:$C$99,MATCH(E$1&amp;"|"&amp;Customers!E236,Mapping!$D$2:$D$99,0))</f>
        <v>4</v>
      </c>
      <c r="F236" s="8" t="n">
        <f aca="false">INDEX(Mapping!$C$2:$C$99,MATCH(F$1&amp;"|"&amp;Customers!F236,Mapping!$D$2:$D$99,0))</f>
        <v>1</v>
      </c>
      <c r="G236" s="8" t="n">
        <f aca="false">INDEX(Mapping!$C$2:$C$99,MATCH(G$1&amp;"|"&amp;Customers!G236,Mapping!$D$2:$D$99,0))</f>
        <v>1</v>
      </c>
      <c r="H236" s="8" t="n">
        <f aca="false">INDEX(Mapping!$C$2:$C$99,MATCH(H$1&amp;"|"&amp;Customers!H236,Mapping!$D$2:$D$99,0))</f>
        <v>1</v>
      </c>
      <c r="I236" s="8" t="n">
        <f aca="false">INDEX(Mapping!$C$2:$C$99,MATCH(I$1&amp;"|"&amp;Customers!I236,Mapping!$D$2:$D$99,0))</f>
        <v>1</v>
      </c>
      <c r="J236" s="8" t="n">
        <f aca="false">INDEX(Mapping!$C$2:$C$99,MATCH(J$1&amp;"|"&amp;Customers!J236,Mapping!$D$2:$D$99,0))</f>
        <v>1</v>
      </c>
      <c r="K236" s="8" t="n">
        <f aca="false">INDEX(Mapping!$C$2:$C$99,MATCH(K$1&amp;"|"&amp;Customers!K236,Mapping!$D$2:$D$99,0))</f>
        <v>2</v>
      </c>
      <c r="L236" s="8" t="n">
        <f aca="false">INDEX(Mapping!$C$2:$C$99,MATCH(L$1&amp;"|"&amp;Customers!L236,Mapping!$D$2:$D$99,0))</f>
        <v>4</v>
      </c>
      <c r="M236" s="8" t="n">
        <f aca="false">INDEX(Mapping!$C$2:$C$99,MATCH(M$1&amp;"|"&amp;Customers!M236,Mapping!$D$2:$D$99,0))</f>
        <v>1</v>
      </c>
      <c r="N236" s="8" t="n">
        <f aca="false">INDEX(Mapping!$C$2:$C$99,MATCH(N$1&amp;"|"&amp;Customers!N236,Mapping!$D$2:$D$99,0))</f>
        <v>3</v>
      </c>
      <c r="O236" s="8" t="n">
        <f aca="false">INDEX(Mapping!$C$2:$C$99,MATCH(O$1&amp;"|"&amp;Customers!O236,Mapping!$D$2:$D$99,0))</f>
        <v>3</v>
      </c>
      <c r="P236" s="8" t="n">
        <f aca="false">INDEX(Mapping!$C$2:$C$99,MATCH(P$1&amp;"|"&amp;Customers!P236,Mapping!$D$2:$D$99,0))</f>
        <v>5</v>
      </c>
      <c r="Q236" s="8" t="n">
        <f aca="false">INDEX(Mapping!$C$2:$C$99,MATCH(Q$1&amp;"|"&amp;Customers!Q236,Mapping!$D$2:$D$99,0))</f>
        <v>2</v>
      </c>
      <c r="R236" s="8" t="n">
        <f aca="false">INDEX(Mapping!$C$2:$C$99,MATCH(R$1&amp;"|"&amp;Customers!R236,Mapping!$D$2:$D$99,0))</f>
        <v>1</v>
      </c>
      <c r="S236" s="8" t="n">
        <f aca="false">INDEX(Mapping!$C$2:$C$99,MATCH(S$1&amp;"|"&amp;Customers!S236,Mapping!$D$2:$D$99,0))</f>
        <v>1</v>
      </c>
      <c r="T236" s="8" t="n">
        <f aca="false">INDEX(Mapping!$C$2:$C$99,MATCH(T$1&amp;"|"&amp;Customers!T236,Mapping!$D$2:$D$99,0))</f>
        <v>1</v>
      </c>
      <c r="U236" s="8" t="n">
        <f aca="false">INDEX(Mapping!$C$2:$C$99,MATCH(U$1&amp;"|"&amp;Customers!U236,Mapping!$D$2:$D$99,0))</f>
        <v>1</v>
      </c>
      <c r="V236" s="8" t="n">
        <f aca="false">INDEX(Mapping!$C$2:$C$99,MATCH(V$1&amp;"|"&amp;Customers!V236,Mapping!$D$2:$D$99,0))</f>
        <v>2</v>
      </c>
      <c r="W236" s="17" t="n">
        <f aca="false">SUMPRODUCT($C236:$V236,Weights!$C$27:$V$27)</f>
        <v>1.77</v>
      </c>
      <c r="X236" s="18" t="n">
        <f aca="false">ROUND($W236,2)</f>
        <v>1.77</v>
      </c>
      <c r="Y236" s="8" t="str">
        <f aca="false">IF($X236&lt;=2,"Low",IF($X236&lt;=3.49,"Medium","High"))</f>
        <v>Low</v>
      </c>
      <c r="Z236" s="8" t="str">
        <f aca="false">IF(OR($F236&gt;=3,$E236=5,$D236=5,$C236=5,$G236=5,$H236=5,$I236=5,$J236=5,Customers!$W236="Yes"),"Yes","No")</f>
        <v>No</v>
      </c>
      <c r="AA236" s="15" t="str">
        <f aca="false">IF($Z236="Yes","High",$Y236)</f>
        <v>Low</v>
      </c>
      <c r="AB236" s="18" t="n">
        <f aca="false">SUMPRODUCT($C236:$G236,Weights!$C$28:$G$28)</f>
        <v>1.75</v>
      </c>
      <c r="AC236" s="18" t="n">
        <f aca="false">SUMPRODUCT($H236:$J236,Weights!$H$28:$J$28)</f>
        <v>1</v>
      </c>
      <c r="AD236" s="18" t="n">
        <f aca="false">SUMPRODUCT($K236:$N236,Weights!$K$28:$N$28)</f>
        <v>2.4</v>
      </c>
      <c r="AE236" s="18" t="n">
        <f aca="false">SUMPRODUCT($O236:$Q236,Weights!$O$28:$Q$28)</f>
        <v>3.5</v>
      </c>
      <c r="AF236" s="18" t="n">
        <f aca="false">SUMPRODUCT($R236:$V236,Weights!$R$28:$V$28)</f>
        <v>1.1</v>
      </c>
      <c r="AH236" s="18" t="n">
        <f aca="false">SUMPRODUCT($AB236:$AF236,Validation!$D$7:$H$7)</f>
        <v>1.7728571428573</v>
      </c>
      <c r="AI236" s="18" t="n">
        <f aca="false">SUMPRODUCT($AB236:$AF236,Validation!$D$8:$H$8)</f>
        <v>1.7671428571427</v>
      </c>
      <c r="AJ236" s="18" t="n">
        <f aca="false">SUMPRODUCT($AB236:$AF236,Validation!$D$9:$H$9)</f>
        <v>1.8726666666663</v>
      </c>
      <c r="AK236" s="18" t="n">
        <f aca="false">SUMPRODUCT($AB236:$AF236,Validation!$D$10:$H$10)</f>
        <v>1.6673333333337</v>
      </c>
      <c r="AL236" s="18" t="n">
        <f aca="false">SUMPRODUCT($AB236:$AF236,Validation!$D$11:$H$11)</f>
        <v>1.69125</v>
      </c>
      <c r="AM236" s="18" t="n">
        <f aca="false">SUMPRODUCT($AB236:$AF236,Validation!$D$12:$H$12)</f>
        <v>1.84875</v>
      </c>
      <c r="AN236" s="18" t="n">
        <f aca="false">SUMPRODUCT($AB236:$AF236,Validation!$D$13:$H$13)</f>
        <v>1.57777777777725</v>
      </c>
      <c r="AO236" s="18" t="n">
        <f aca="false">SUMPRODUCT($AB236:$AF236,Validation!$D$14:$H$14)</f>
        <v>1.96222222222275</v>
      </c>
      <c r="AP236" s="18" t="n">
        <f aca="false">SUMPRODUCT($AB236:$AF236,Validation!$D$15:$H$15)</f>
        <v>1.84882352941125</v>
      </c>
      <c r="AQ236" s="18" t="n">
        <f aca="false">SUMPRODUCT($AB236:$AF236,Validation!$D$16:$H$16)</f>
        <v>1.69117647058875</v>
      </c>
      <c r="AR236" s="8" t="n">
        <f aca="false">COUNTIF($C236:$V236,"&gt;=4")</f>
        <v>3</v>
      </c>
      <c r="AS236" s="8" t="str">
        <f aca="false">IF($X236&lt;=1.6,"Low",IF($X236&lt;=2.2,"Medium","High"))</f>
        <v>Medium</v>
      </c>
      <c r="AT236" s="8" t="str">
        <f aca="false">IF($AR236=0,"Low",IF($AR236&lt;3,"Medium","High"))</f>
        <v>High</v>
      </c>
      <c r="AU236" s="8" t="str">
        <f aca="false">IF(OR($AS236="High",$AT236="High"),"High",IF(OR($AS236="Medium",$AT236="Medium"),"Medium","Low"))</f>
        <v>High</v>
      </c>
      <c r="AV236" s="15" t="str">
        <f aca="false">IF($Z236="Yes","High",$AU236)</f>
        <v>High</v>
      </c>
    </row>
    <row r="237" customFormat="false" ht="15" hidden="false" customHeight="false" outlineLevel="0" collapsed="false">
      <c r="A237" s="7" t="str">
        <f aca="false">Customers!$A237</f>
        <v>NG-10165</v>
      </c>
      <c r="B237" s="7" t="str">
        <f aca="false">Customers!$B237</f>
        <v>Personal</v>
      </c>
      <c r="C237" s="8" t="n">
        <f aca="false">INDEX(Mapping!$C$2:$C$99,MATCH(C$1&amp;"|"&amp;Customers!C237,Mapping!$D$2:$D$99,0))</f>
        <v>1</v>
      </c>
      <c r="D237" s="8" t="n">
        <f aca="false">INDEX(Mapping!$C$2:$C$99,MATCH(D$1&amp;"|"&amp;Customers!D237,Mapping!$D$2:$D$99,0))</f>
        <v>1</v>
      </c>
      <c r="E237" s="8" t="n">
        <f aca="false">INDEX(Mapping!$C$2:$C$99,MATCH(E$1&amp;"|"&amp;Customers!E237,Mapping!$D$2:$D$99,0))</f>
        <v>1</v>
      </c>
      <c r="F237" s="8" t="n">
        <f aca="false">INDEX(Mapping!$C$2:$C$99,MATCH(F$1&amp;"|"&amp;Customers!F237,Mapping!$D$2:$D$99,0))</f>
        <v>1</v>
      </c>
      <c r="G237" s="8" t="n">
        <f aca="false">INDEX(Mapping!$C$2:$C$99,MATCH(G$1&amp;"|"&amp;Customers!G237,Mapping!$D$2:$D$99,0))</f>
        <v>1</v>
      </c>
      <c r="H237" s="8" t="n">
        <f aca="false">INDEX(Mapping!$C$2:$C$99,MATCH(H$1&amp;"|"&amp;Customers!H237,Mapping!$D$2:$D$99,0))</f>
        <v>1</v>
      </c>
      <c r="I237" s="8" t="n">
        <f aca="false">INDEX(Mapping!$C$2:$C$99,MATCH(I$1&amp;"|"&amp;Customers!I237,Mapping!$D$2:$D$99,0))</f>
        <v>1</v>
      </c>
      <c r="J237" s="8" t="n">
        <f aca="false">INDEX(Mapping!$C$2:$C$99,MATCH(J$1&amp;"|"&amp;Customers!J237,Mapping!$D$2:$D$99,0))</f>
        <v>1</v>
      </c>
      <c r="K237" s="8" t="n">
        <f aca="false">INDEX(Mapping!$C$2:$C$99,MATCH(K$1&amp;"|"&amp;Customers!K237,Mapping!$D$2:$D$99,0))</f>
        <v>2</v>
      </c>
      <c r="L237" s="8" t="n">
        <f aca="false">INDEX(Mapping!$C$2:$C$99,MATCH(L$1&amp;"|"&amp;Customers!L237,Mapping!$D$2:$D$99,0))</f>
        <v>2</v>
      </c>
      <c r="M237" s="8" t="n">
        <f aca="false">INDEX(Mapping!$C$2:$C$99,MATCH(M$1&amp;"|"&amp;Customers!M237,Mapping!$D$2:$D$99,0))</f>
        <v>1</v>
      </c>
      <c r="N237" s="8" t="n">
        <f aca="false">INDEX(Mapping!$C$2:$C$99,MATCH(N$1&amp;"|"&amp;Customers!N237,Mapping!$D$2:$D$99,0))</f>
        <v>1</v>
      </c>
      <c r="O237" s="8" t="n">
        <f aca="false">INDEX(Mapping!$C$2:$C$99,MATCH(O$1&amp;"|"&amp;Customers!O237,Mapping!$D$2:$D$99,0))</f>
        <v>3</v>
      </c>
      <c r="P237" s="8" t="n">
        <f aca="false">INDEX(Mapping!$C$2:$C$99,MATCH(P$1&amp;"|"&amp;Customers!P237,Mapping!$D$2:$D$99,0))</f>
        <v>3</v>
      </c>
      <c r="Q237" s="8" t="n">
        <f aca="false">INDEX(Mapping!$C$2:$C$99,MATCH(Q$1&amp;"|"&amp;Customers!Q237,Mapping!$D$2:$D$99,0))</f>
        <v>1</v>
      </c>
      <c r="R237" s="8" t="n">
        <f aca="false">INDEX(Mapping!$C$2:$C$99,MATCH(R$1&amp;"|"&amp;Customers!R237,Mapping!$D$2:$D$99,0))</f>
        <v>1</v>
      </c>
      <c r="S237" s="8" t="n">
        <f aca="false">INDEX(Mapping!$C$2:$C$99,MATCH(S$1&amp;"|"&amp;Customers!S237,Mapping!$D$2:$D$99,0))</f>
        <v>2</v>
      </c>
      <c r="T237" s="8" t="n">
        <f aca="false">INDEX(Mapping!$C$2:$C$99,MATCH(T$1&amp;"|"&amp;Customers!T237,Mapping!$D$2:$D$99,0))</f>
        <v>1</v>
      </c>
      <c r="U237" s="8" t="n">
        <f aca="false">INDEX(Mapping!$C$2:$C$99,MATCH(U$1&amp;"|"&amp;Customers!U237,Mapping!$D$2:$D$99,0))</f>
        <v>1</v>
      </c>
      <c r="V237" s="8" t="n">
        <f aca="false">INDEX(Mapping!$C$2:$C$99,MATCH(V$1&amp;"|"&amp;Customers!V237,Mapping!$D$2:$D$99,0))</f>
        <v>4</v>
      </c>
      <c r="W237" s="17" t="n">
        <f aca="false">SUMPRODUCT($C237:$V237,Weights!$C$27:$V$27)</f>
        <v>1.37</v>
      </c>
      <c r="X237" s="18" t="n">
        <f aca="false">ROUND($W237,2)</f>
        <v>1.37</v>
      </c>
      <c r="Y237" s="8" t="str">
        <f aca="false">IF($X237&lt;=2,"Low",IF($X237&lt;=3.49,"Medium","High"))</f>
        <v>Low</v>
      </c>
      <c r="Z237" s="8" t="str">
        <f aca="false">IF(OR($F237&gt;=3,$E237=5,$D237=5,$C237=5,$G237=5,$H237=5,$I237=5,$J237=5,Customers!$W237="Yes"),"Yes","No")</f>
        <v>No</v>
      </c>
      <c r="AA237" s="15" t="str">
        <f aca="false">IF($Z237="Yes","High",$Y237)</f>
        <v>Low</v>
      </c>
      <c r="AB237" s="18" t="n">
        <f aca="false">SUMPRODUCT($C237:$G237,Weights!$C$28:$G$28)</f>
        <v>1</v>
      </c>
      <c r="AC237" s="18" t="n">
        <f aca="false">SUMPRODUCT($H237:$J237,Weights!$H$28:$J$28)</f>
        <v>1</v>
      </c>
      <c r="AD237" s="18" t="n">
        <f aca="false">SUMPRODUCT($K237:$N237,Weights!$K$28:$N$28)</f>
        <v>1.6</v>
      </c>
      <c r="AE237" s="18" t="n">
        <f aca="false">SUMPRODUCT($O237:$Q237,Weights!$O$28:$Q$28)</f>
        <v>2.6</v>
      </c>
      <c r="AF237" s="18" t="n">
        <f aca="false">SUMPRODUCT($R237:$V237,Weights!$R$28:$V$28)</f>
        <v>1.6</v>
      </c>
      <c r="AH237" s="18" t="n">
        <f aca="false">SUMPRODUCT($AB237:$AF237,Validation!$D$7:$H$7)</f>
        <v>1.4228571428576</v>
      </c>
      <c r="AI237" s="18" t="n">
        <f aca="false">SUMPRODUCT($AB237:$AF237,Validation!$D$8:$H$8)</f>
        <v>1.3171428571424</v>
      </c>
      <c r="AJ237" s="18" t="n">
        <f aca="false">SUMPRODUCT($AB237:$AF237,Validation!$D$9:$H$9)</f>
        <v>1.419333333333</v>
      </c>
      <c r="AK237" s="18" t="n">
        <f aca="false">SUMPRODUCT($AB237:$AF237,Validation!$D$10:$H$10)</f>
        <v>1.320666666667</v>
      </c>
      <c r="AL237" s="18" t="n">
        <f aca="false">SUMPRODUCT($AB237:$AF237,Validation!$D$11:$H$11)</f>
        <v>1.34125</v>
      </c>
      <c r="AM237" s="18" t="n">
        <f aca="false">SUMPRODUCT($AB237:$AF237,Validation!$D$12:$H$12)</f>
        <v>1.39875</v>
      </c>
      <c r="AN237" s="18" t="n">
        <f aca="false">SUMPRODUCT($AB237:$AF237,Validation!$D$13:$H$13)</f>
        <v>1.2333333333334</v>
      </c>
      <c r="AO237" s="18" t="n">
        <f aca="false">SUMPRODUCT($AB237:$AF237,Validation!$D$14:$H$14)</f>
        <v>1.5066666666666</v>
      </c>
      <c r="AP237" s="18" t="n">
        <f aca="false">SUMPRODUCT($AB237:$AF237,Validation!$D$15:$H$15)</f>
        <v>1.3429411764702</v>
      </c>
      <c r="AQ237" s="18" t="n">
        <f aca="false">SUMPRODUCT($AB237:$AF237,Validation!$D$16:$H$16)</f>
        <v>1.3970588235298</v>
      </c>
      <c r="AR237" s="8" t="n">
        <f aca="false">COUNTIF($C237:$V237,"&gt;=4")</f>
        <v>1</v>
      </c>
      <c r="AS237" s="8" t="str">
        <f aca="false">IF($X237&lt;=1.6,"Low",IF($X237&lt;=2.2,"Medium","High"))</f>
        <v>Low</v>
      </c>
      <c r="AT237" s="8" t="str">
        <f aca="false">IF($AR237=0,"Low",IF($AR237&lt;3,"Medium","High"))</f>
        <v>Medium</v>
      </c>
      <c r="AU237" s="8" t="str">
        <f aca="false">IF(OR($AS237="High",$AT237="High"),"High",IF(OR($AS237="Medium",$AT237="Medium"),"Medium","Low"))</f>
        <v>Medium</v>
      </c>
      <c r="AV237" s="15" t="str">
        <f aca="false">IF($Z237="Yes","High",$AU237)</f>
        <v>Medium</v>
      </c>
    </row>
    <row r="238" customFormat="false" ht="15" hidden="false" customHeight="false" outlineLevel="0" collapsed="false">
      <c r="A238" s="7" t="str">
        <f aca="false">Customers!$A238</f>
        <v>NG-10187</v>
      </c>
      <c r="B238" s="7" t="str">
        <f aca="false">Customers!$B238</f>
        <v>Personal</v>
      </c>
      <c r="C238" s="8" t="n">
        <f aca="false">INDEX(Mapping!$C$2:$C$99,MATCH(C$1&amp;"|"&amp;Customers!C238,Mapping!$D$2:$D$99,0))</f>
        <v>1</v>
      </c>
      <c r="D238" s="8" t="n">
        <f aca="false">INDEX(Mapping!$C$2:$C$99,MATCH(D$1&amp;"|"&amp;Customers!D238,Mapping!$D$2:$D$99,0))</f>
        <v>1</v>
      </c>
      <c r="E238" s="8" t="n">
        <f aca="false">INDEX(Mapping!$C$2:$C$99,MATCH(E$1&amp;"|"&amp;Customers!E238,Mapping!$D$2:$D$99,0))</f>
        <v>1</v>
      </c>
      <c r="F238" s="8" t="n">
        <f aca="false">INDEX(Mapping!$C$2:$C$99,MATCH(F$1&amp;"|"&amp;Customers!F238,Mapping!$D$2:$D$99,0))</f>
        <v>1</v>
      </c>
      <c r="G238" s="8" t="n">
        <f aca="false">INDEX(Mapping!$C$2:$C$99,MATCH(G$1&amp;"|"&amp;Customers!G238,Mapping!$D$2:$D$99,0))</f>
        <v>1</v>
      </c>
      <c r="H238" s="8" t="n">
        <f aca="false">INDEX(Mapping!$C$2:$C$99,MATCH(H$1&amp;"|"&amp;Customers!H238,Mapping!$D$2:$D$99,0))</f>
        <v>1</v>
      </c>
      <c r="I238" s="8" t="n">
        <f aca="false">INDEX(Mapping!$C$2:$C$99,MATCH(I$1&amp;"|"&amp;Customers!I238,Mapping!$D$2:$D$99,0))</f>
        <v>1</v>
      </c>
      <c r="J238" s="8" t="n">
        <f aca="false">INDEX(Mapping!$C$2:$C$99,MATCH(J$1&amp;"|"&amp;Customers!J238,Mapping!$D$2:$D$99,0))</f>
        <v>1</v>
      </c>
      <c r="K238" s="8" t="n">
        <f aca="false">INDEX(Mapping!$C$2:$C$99,MATCH(K$1&amp;"|"&amp;Customers!K238,Mapping!$D$2:$D$99,0))</f>
        <v>3</v>
      </c>
      <c r="L238" s="8" t="n">
        <f aca="false">INDEX(Mapping!$C$2:$C$99,MATCH(L$1&amp;"|"&amp;Customers!L238,Mapping!$D$2:$D$99,0))</f>
        <v>5</v>
      </c>
      <c r="M238" s="8" t="n">
        <f aca="false">INDEX(Mapping!$C$2:$C$99,MATCH(M$1&amp;"|"&amp;Customers!M238,Mapping!$D$2:$D$99,0))</f>
        <v>4</v>
      </c>
      <c r="N238" s="8" t="n">
        <f aca="false">INDEX(Mapping!$C$2:$C$99,MATCH(N$1&amp;"|"&amp;Customers!N238,Mapping!$D$2:$D$99,0))</f>
        <v>2</v>
      </c>
      <c r="O238" s="8" t="n">
        <f aca="false">INDEX(Mapping!$C$2:$C$99,MATCH(O$1&amp;"|"&amp;Customers!O238,Mapping!$D$2:$D$99,0))</f>
        <v>1</v>
      </c>
      <c r="P238" s="8" t="n">
        <f aca="false">INDEX(Mapping!$C$2:$C$99,MATCH(P$1&amp;"|"&amp;Customers!P238,Mapping!$D$2:$D$99,0))</f>
        <v>4</v>
      </c>
      <c r="Q238" s="8" t="n">
        <f aca="false">INDEX(Mapping!$C$2:$C$99,MATCH(Q$1&amp;"|"&amp;Customers!Q238,Mapping!$D$2:$D$99,0))</f>
        <v>1</v>
      </c>
      <c r="R238" s="8" t="n">
        <f aca="false">INDEX(Mapping!$C$2:$C$99,MATCH(R$1&amp;"|"&amp;Customers!R238,Mapping!$D$2:$D$99,0))</f>
        <v>1</v>
      </c>
      <c r="S238" s="8" t="n">
        <f aca="false">INDEX(Mapping!$C$2:$C$99,MATCH(S$1&amp;"|"&amp;Customers!S238,Mapping!$D$2:$D$99,0))</f>
        <v>2</v>
      </c>
      <c r="T238" s="8" t="n">
        <f aca="false">INDEX(Mapping!$C$2:$C$99,MATCH(T$1&amp;"|"&amp;Customers!T238,Mapping!$D$2:$D$99,0))</f>
        <v>1</v>
      </c>
      <c r="U238" s="8" t="n">
        <f aca="false">INDEX(Mapping!$C$2:$C$99,MATCH(U$1&amp;"|"&amp;Customers!U238,Mapping!$D$2:$D$99,0))</f>
        <v>1</v>
      </c>
      <c r="V238" s="8" t="n">
        <f aca="false">INDEX(Mapping!$C$2:$C$99,MATCH(V$1&amp;"|"&amp;Customers!V238,Mapping!$D$2:$D$99,0))</f>
        <v>1</v>
      </c>
      <c r="W238" s="17" t="n">
        <f aca="false">SUMPRODUCT($C238:$V238,Weights!$C$27:$V$27)</f>
        <v>1.67</v>
      </c>
      <c r="X238" s="18" t="n">
        <f aca="false">ROUND($W238,2)</f>
        <v>1.67</v>
      </c>
      <c r="Y238" s="8" t="str">
        <f aca="false">IF($X238&lt;=2,"Low",IF($X238&lt;=3.49,"Medium","High"))</f>
        <v>Low</v>
      </c>
      <c r="Z238" s="8" t="str">
        <f aca="false">IF(OR($F238&gt;=3,$E238=5,$D238=5,$C238=5,$G238=5,$H238=5,$I238=5,$J238=5,Customers!$W238="Yes"),"Yes","No")</f>
        <v>No</v>
      </c>
      <c r="AA238" s="15" t="str">
        <f aca="false">IF($Z238="Yes","High",$Y238)</f>
        <v>Low</v>
      </c>
      <c r="AB238" s="18" t="n">
        <f aca="false">SUMPRODUCT($C238:$G238,Weights!$C$28:$G$28)</f>
        <v>1</v>
      </c>
      <c r="AC238" s="18" t="n">
        <f aca="false">SUMPRODUCT($H238:$J238,Weights!$H$28:$J$28)</f>
        <v>1</v>
      </c>
      <c r="AD238" s="18" t="n">
        <f aca="false">SUMPRODUCT($K238:$N238,Weights!$K$28:$N$28)</f>
        <v>3.6</v>
      </c>
      <c r="AE238" s="18" t="n">
        <f aca="false">SUMPRODUCT($O238:$Q238,Weights!$O$28:$Q$28)</f>
        <v>2.05</v>
      </c>
      <c r="AF238" s="18" t="n">
        <f aca="false">SUMPRODUCT($R238:$V238,Weights!$R$28:$V$28)</f>
        <v>1.3</v>
      </c>
      <c r="AH238" s="18" t="n">
        <f aca="false">SUMPRODUCT($AB238:$AF238,Validation!$D$7:$H$7)</f>
        <v>1.7657142857136</v>
      </c>
      <c r="AI238" s="18" t="n">
        <f aca="false">SUMPRODUCT($AB238:$AF238,Validation!$D$8:$H$8)</f>
        <v>1.5742857142864</v>
      </c>
      <c r="AJ238" s="18" t="n">
        <f aca="false">SUMPRODUCT($AB238:$AF238,Validation!$D$9:$H$9)</f>
        <v>1.75933333333385</v>
      </c>
      <c r="AK238" s="18" t="n">
        <f aca="false">SUMPRODUCT($AB238:$AF238,Validation!$D$10:$H$10)</f>
        <v>1.58066666666615</v>
      </c>
      <c r="AL238" s="18" t="n">
        <f aca="false">SUMPRODUCT($AB238:$AF238,Validation!$D$11:$H$11)</f>
        <v>1.42875</v>
      </c>
      <c r="AM238" s="18" t="n">
        <f aca="false">SUMPRODUCT($AB238:$AF238,Validation!$D$12:$H$12)</f>
        <v>1.91125</v>
      </c>
      <c r="AN238" s="18" t="n">
        <f aca="false">SUMPRODUCT($AB238:$AF238,Validation!$D$13:$H$13)</f>
        <v>1.6277777777773</v>
      </c>
      <c r="AO238" s="18" t="n">
        <f aca="false">SUMPRODUCT($AB238:$AF238,Validation!$D$14:$H$14)</f>
        <v>1.7122222222227</v>
      </c>
      <c r="AP238" s="18" t="n">
        <f aca="false">SUMPRODUCT($AB238:$AF238,Validation!$D$15:$H$15)</f>
        <v>1.7135294117651</v>
      </c>
      <c r="AQ238" s="18" t="n">
        <f aca="false">SUMPRODUCT($AB238:$AF238,Validation!$D$16:$H$16)</f>
        <v>1.6264705882349</v>
      </c>
      <c r="AR238" s="8" t="n">
        <f aca="false">COUNTIF($C238:$V238,"&gt;=4")</f>
        <v>3</v>
      </c>
      <c r="AS238" s="8" t="str">
        <f aca="false">IF($X238&lt;=1.6,"Low",IF($X238&lt;=2.2,"Medium","High"))</f>
        <v>Medium</v>
      </c>
      <c r="AT238" s="8" t="str">
        <f aca="false">IF($AR238=0,"Low",IF($AR238&lt;3,"Medium","High"))</f>
        <v>High</v>
      </c>
      <c r="AU238" s="8" t="str">
        <f aca="false">IF(OR($AS238="High",$AT238="High"),"High",IF(OR($AS238="Medium",$AT238="Medium"),"Medium","Low"))</f>
        <v>High</v>
      </c>
      <c r="AV238" s="15" t="str">
        <f aca="false">IF($Z238="Yes","High",$AU238)</f>
        <v>High</v>
      </c>
    </row>
    <row r="239" customFormat="false" ht="15" hidden="false" customHeight="false" outlineLevel="0" collapsed="false">
      <c r="A239" s="7" t="str">
        <f aca="false">Customers!$A239</f>
        <v>NG-10140</v>
      </c>
      <c r="B239" s="7" t="str">
        <f aca="false">Customers!$B239</f>
        <v>Personal</v>
      </c>
      <c r="C239" s="8" t="n">
        <f aca="false">INDEX(Mapping!$C$2:$C$99,MATCH(C$1&amp;"|"&amp;Customers!C239,Mapping!$D$2:$D$99,0))</f>
        <v>1</v>
      </c>
      <c r="D239" s="8" t="n">
        <f aca="false">INDEX(Mapping!$C$2:$C$99,MATCH(D$1&amp;"|"&amp;Customers!D239,Mapping!$D$2:$D$99,0))</f>
        <v>1</v>
      </c>
      <c r="E239" s="8" t="n">
        <f aca="false">INDEX(Mapping!$C$2:$C$99,MATCH(E$1&amp;"|"&amp;Customers!E239,Mapping!$D$2:$D$99,0))</f>
        <v>3</v>
      </c>
      <c r="F239" s="8" t="n">
        <f aca="false">INDEX(Mapping!$C$2:$C$99,MATCH(F$1&amp;"|"&amp;Customers!F239,Mapping!$D$2:$D$99,0))</f>
        <v>1</v>
      </c>
      <c r="G239" s="8" t="n">
        <f aca="false">INDEX(Mapping!$C$2:$C$99,MATCH(G$1&amp;"|"&amp;Customers!G239,Mapping!$D$2:$D$99,0))</f>
        <v>1</v>
      </c>
      <c r="H239" s="8" t="n">
        <f aca="false">INDEX(Mapping!$C$2:$C$99,MATCH(H$1&amp;"|"&amp;Customers!H239,Mapping!$D$2:$D$99,0))</f>
        <v>1</v>
      </c>
      <c r="I239" s="8" t="n">
        <f aca="false">INDEX(Mapping!$C$2:$C$99,MATCH(I$1&amp;"|"&amp;Customers!I239,Mapping!$D$2:$D$99,0))</f>
        <v>1</v>
      </c>
      <c r="J239" s="8" t="n">
        <f aca="false">INDEX(Mapping!$C$2:$C$99,MATCH(J$1&amp;"|"&amp;Customers!J239,Mapping!$D$2:$D$99,0))</f>
        <v>1</v>
      </c>
      <c r="K239" s="8" t="n">
        <f aca="false">INDEX(Mapping!$C$2:$C$99,MATCH(K$1&amp;"|"&amp;Customers!K239,Mapping!$D$2:$D$99,0))</f>
        <v>2</v>
      </c>
      <c r="L239" s="8" t="n">
        <f aca="false">INDEX(Mapping!$C$2:$C$99,MATCH(L$1&amp;"|"&amp;Customers!L239,Mapping!$D$2:$D$99,0))</f>
        <v>1</v>
      </c>
      <c r="M239" s="8" t="n">
        <f aca="false">INDEX(Mapping!$C$2:$C$99,MATCH(M$1&amp;"|"&amp;Customers!M239,Mapping!$D$2:$D$99,0))</f>
        <v>3</v>
      </c>
      <c r="N239" s="8" t="n">
        <f aca="false">INDEX(Mapping!$C$2:$C$99,MATCH(N$1&amp;"|"&amp;Customers!N239,Mapping!$D$2:$D$99,0))</f>
        <v>1</v>
      </c>
      <c r="O239" s="8" t="n">
        <f aca="false">INDEX(Mapping!$C$2:$C$99,MATCH(O$1&amp;"|"&amp;Customers!O239,Mapping!$D$2:$D$99,0))</f>
        <v>3</v>
      </c>
      <c r="P239" s="8" t="n">
        <f aca="false">INDEX(Mapping!$C$2:$C$99,MATCH(P$1&amp;"|"&amp;Customers!P239,Mapping!$D$2:$D$99,0))</f>
        <v>3</v>
      </c>
      <c r="Q239" s="8" t="n">
        <f aca="false">INDEX(Mapping!$C$2:$C$99,MATCH(Q$1&amp;"|"&amp;Customers!Q239,Mapping!$D$2:$D$99,0))</f>
        <v>1</v>
      </c>
      <c r="R239" s="8" t="n">
        <f aca="false">INDEX(Mapping!$C$2:$C$99,MATCH(R$1&amp;"|"&amp;Customers!R239,Mapping!$D$2:$D$99,0))</f>
        <v>1</v>
      </c>
      <c r="S239" s="8" t="n">
        <f aca="false">INDEX(Mapping!$C$2:$C$99,MATCH(S$1&amp;"|"&amp;Customers!S239,Mapping!$D$2:$D$99,0))</f>
        <v>2</v>
      </c>
      <c r="T239" s="8" t="n">
        <f aca="false">INDEX(Mapping!$C$2:$C$99,MATCH(T$1&amp;"|"&amp;Customers!T239,Mapping!$D$2:$D$99,0))</f>
        <v>1</v>
      </c>
      <c r="U239" s="8" t="n">
        <f aca="false">INDEX(Mapping!$C$2:$C$99,MATCH(U$1&amp;"|"&amp;Customers!U239,Mapping!$D$2:$D$99,0))</f>
        <v>1</v>
      </c>
      <c r="V239" s="8" t="n">
        <f aca="false">INDEX(Mapping!$C$2:$C$99,MATCH(V$1&amp;"|"&amp;Customers!V239,Mapping!$D$2:$D$99,0))</f>
        <v>1</v>
      </c>
      <c r="W239" s="17" t="n">
        <f aca="false">SUMPRODUCT($C239:$V239,Weights!$C$27:$V$27)</f>
        <v>1.525</v>
      </c>
      <c r="X239" s="18" t="n">
        <f aca="false">ROUND($W239,2)</f>
        <v>1.53</v>
      </c>
      <c r="Y239" s="8" t="str">
        <f aca="false">IF($X239&lt;=2,"Low",IF($X239&lt;=3.49,"Medium","High"))</f>
        <v>Low</v>
      </c>
      <c r="Z239" s="8" t="str">
        <f aca="false">IF(OR($F239&gt;=3,$E239=5,$D239=5,$C239=5,$G239=5,$H239=5,$I239=5,$J239=5,Customers!$W239="Yes"),"Yes","No")</f>
        <v>No</v>
      </c>
      <c r="AA239" s="15" t="str">
        <f aca="false">IF($Z239="Yes","High",$Y239)</f>
        <v>Low</v>
      </c>
      <c r="AB239" s="18" t="n">
        <f aca="false">SUMPRODUCT($C239:$G239,Weights!$C$28:$G$28)</f>
        <v>1.5</v>
      </c>
      <c r="AC239" s="18" t="n">
        <f aca="false">SUMPRODUCT($H239:$J239,Weights!$H$28:$J$28)</f>
        <v>1</v>
      </c>
      <c r="AD239" s="18" t="n">
        <f aca="false">SUMPRODUCT($K239:$N239,Weights!$K$28:$N$28)</f>
        <v>1.85</v>
      </c>
      <c r="AE239" s="18" t="n">
        <f aca="false">SUMPRODUCT($O239:$Q239,Weights!$O$28:$Q$28)</f>
        <v>2.6</v>
      </c>
      <c r="AF239" s="18" t="n">
        <f aca="false">SUMPRODUCT($R239:$V239,Weights!$R$28:$V$28)</f>
        <v>1.3</v>
      </c>
      <c r="AH239" s="18" t="n">
        <f aca="false">SUMPRODUCT($AB239:$AF239,Validation!$D$7:$H$7)</f>
        <v>1.52857142857165</v>
      </c>
      <c r="AI239" s="18" t="n">
        <f aca="false">SUMPRODUCT($AB239:$AF239,Validation!$D$8:$H$8)</f>
        <v>1.52142857142835</v>
      </c>
      <c r="AJ239" s="18" t="n">
        <f aca="false">SUMPRODUCT($AB239:$AF239,Validation!$D$9:$H$9)</f>
        <v>1.59499999999975</v>
      </c>
      <c r="AK239" s="18" t="n">
        <f aca="false">SUMPRODUCT($AB239:$AF239,Validation!$D$10:$H$10)</f>
        <v>1.45500000000025</v>
      </c>
      <c r="AL239" s="18" t="n">
        <f aca="false">SUMPRODUCT($AB239:$AF239,Validation!$D$11:$H$11)</f>
        <v>1.484375</v>
      </c>
      <c r="AM239" s="18" t="n">
        <f aca="false">SUMPRODUCT($AB239:$AF239,Validation!$D$12:$H$12)</f>
        <v>1.565625</v>
      </c>
      <c r="AN239" s="18" t="n">
        <f aca="false">SUMPRODUCT($AB239:$AF239,Validation!$D$13:$H$13)</f>
        <v>1.4055555555553</v>
      </c>
      <c r="AO239" s="18" t="n">
        <f aca="false">SUMPRODUCT($AB239:$AF239,Validation!$D$14:$H$14)</f>
        <v>1.6444444444447</v>
      </c>
      <c r="AP239" s="18" t="n">
        <f aca="false">SUMPRODUCT($AB239:$AF239,Validation!$D$15:$H$15)</f>
        <v>1.55147058823495</v>
      </c>
      <c r="AQ239" s="18" t="n">
        <f aca="false">SUMPRODUCT($AB239:$AF239,Validation!$D$16:$H$16)</f>
        <v>1.49852941176505</v>
      </c>
      <c r="AR239" s="8" t="n">
        <f aca="false">COUNTIF($C239:$V239,"&gt;=4")</f>
        <v>0</v>
      </c>
      <c r="AS239" s="8" t="str">
        <f aca="false">IF($X239&lt;=1.6,"Low",IF($X239&lt;=2.2,"Medium","High"))</f>
        <v>Low</v>
      </c>
      <c r="AT239" s="8" t="str">
        <f aca="false">IF($AR239=0,"Low",IF($AR239&lt;3,"Medium","High"))</f>
        <v>Low</v>
      </c>
      <c r="AU239" s="8" t="str">
        <f aca="false">IF(OR($AS239="High",$AT239="High"),"High",IF(OR($AS239="Medium",$AT239="Medium"),"Medium","Low"))</f>
        <v>Low</v>
      </c>
      <c r="AV239" s="15" t="str">
        <f aca="false">IF($Z239="Yes","High",$AU239)</f>
        <v>Low</v>
      </c>
    </row>
    <row r="240" customFormat="false" ht="15" hidden="false" customHeight="false" outlineLevel="0" collapsed="false">
      <c r="A240" s="7" t="str">
        <f aca="false">Customers!$A240</f>
        <v>NG-10147</v>
      </c>
      <c r="B240" s="7" t="str">
        <f aca="false">Customers!$B240</f>
        <v>Personal</v>
      </c>
      <c r="C240" s="8" t="n">
        <f aca="false">INDEX(Mapping!$C$2:$C$99,MATCH(C$1&amp;"|"&amp;Customers!C240,Mapping!$D$2:$D$99,0))</f>
        <v>2</v>
      </c>
      <c r="D240" s="8" t="n">
        <f aca="false">INDEX(Mapping!$C$2:$C$99,MATCH(D$1&amp;"|"&amp;Customers!D240,Mapping!$D$2:$D$99,0))</f>
        <v>1</v>
      </c>
      <c r="E240" s="8" t="n">
        <f aca="false">INDEX(Mapping!$C$2:$C$99,MATCH(E$1&amp;"|"&amp;Customers!E240,Mapping!$D$2:$D$99,0))</f>
        <v>1</v>
      </c>
      <c r="F240" s="8" t="n">
        <f aca="false">INDEX(Mapping!$C$2:$C$99,MATCH(F$1&amp;"|"&amp;Customers!F240,Mapping!$D$2:$D$99,0))</f>
        <v>1</v>
      </c>
      <c r="G240" s="8" t="n">
        <f aca="false">INDEX(Mapping!$C$2:$C$99,MATCH(G$1&amp;"|"&amp;Customers!G240,Mapping!$D$2:$D$99,0))</f>
        <v>1</v>
      </c>
      <c r="H240" s="8" t="n">
        <f aca="false">INDEX(Mapping!$C$2:$C$99,MATCH(H$1&amp;"|"&amp;Customers!H240,Mapping!$D$2:$D$99,0))</f>
        <v>1</v>
      </c>
      <c r="I240" s="8" t="n">
        <f aca="false">INDEX(Mapping!$C$2:$C$99,MATCH(I$1&amp;"|"&amp;Customers!I240,Mapping!$D$2:$D$99,0))</f>
        <v>1</v>
      </c>
      <c r="J240" s="8" t="n">
        <f aca="false">INDEX(Mapping!$C$2:$C$99,MATCH(J$1&amp;"|"&amp;Customers!J240,Mapping!$D$2:$D$99,0))</f>
        <v>1</v>
      </c>
      <c r="K240" s="8" t="n">
        <f aca="false">INDEX(Mapping!$C$2:$C$99,MATCH(K$1&amp;"|"&amp;Customers!K240,Mapping!$D$2:$D$99,0))</f>
        <v>3</v>
      </c>
      <c r="L240" s="8" t="n">
        <f aca="false">INDEX(Mapping!$C$2:$C$99,MATCH(L$1&amp;"|"&amp;Customers!L240,Mapping!$D$2:$D$99,0))</f>
        <v>2</v>
      </c>
      <c r="M240" s="8" t="n">
        <f aca="false">INDEX(Mapping!$C$2:$C$99,MATCH(M$1&amp;"|"&amp;Customers!M240,Mapping!$D$2:$D$99,0))</f>
        <v>2</v>
      </c>
      <c r="N240" s="8" t="n">
        <f aca="false">INDEX(Mapping!$C$2:$C$99,MATCH(N$1&amp;"|"&amp;Customers!N240,Mapping!$D$2:$D$99,0))</f>
        <v>1</v>
      </c>
      <c r="O240" s="8" t="n">
        <f aca="false">INDEX(Mapping!$C$2:$C$99,MATCH(O$1&amp;"|"&amp;Customers!O240,Mapping!$D$2:$D$99,0))</f>
        <v>4</v>
      </c>
      <c r="P240" s="8" t="n">
        <f aca="false">INDEX(Mapping!$C$2:$C$99,MATCH(P$1&amp;"|"&amp;Customers!P240,Mapping!$D$2:$D$99,0))</f>
        <v>3</v>
      </c>
      <c r="Q240" s="8" t="n">
        <f aca="false">INDEX(Mapping!$C$2:$C$99,MATCH(Q$1&amp;"|"&amp;Customers!Q240,Mapping!$D$2:$D$99,0))</f>
        <v>1</v>
      </c>
      <c r="R240" s="8" t="n">
        <f aca="false">INDEX(Mapping!$C$2:$C$99,MATCH(R$1&amp;"|"&amp;Customers!R240,Mapping!$D$2:$D$99,0))</f>
        <v>2</v>
      </c>
      <c r="S240" s="8" t="n">
        <f aca="false">INDEX(Mapping!$C$2:$C$99,MATCH(S$1&amp;"|"&amp;Customers!S240,Mapping!$D$2:$D$99,0))</f>
        <v>2</v>
      </c>
      <c r="T240" s="8" t="n">
        <f aca="false">INDEX(Mapping!$C$2:$C$99,MATCH(T$1&amp;"|"&amp;Customers!T240,Mapping!$D$2:$D$99,0))</f>
        <v>2</v>
      </c>
      <c r="U240" s="8" t="n">
        <f aca="false">INDEX(Mapping!$C$2:$C$99,MATCH(U$1&amp;"|"&amp;Customers!U240,Mapping!$D$2:$D$99,0))</f>
        <v>1</v>
      </c>
      <c r="V240" s="8" t="n">
        <f aca="false">INDEX(Mapping!$C$2:$C$99,MATCH(V$1&amp;"|"&amp;Customers!V240,Mapping!$D$2:$D$99,0))</f>
        <v>1</v>
      </c>
      <c r="W240" s="17" t="n">
        <f aca="false">SUMPRODUCT($C240:$V240,Weights!$C$27:$V$27)</f>
        <v>1.6175</v>
      </c>
      <c r="X240" s="18" t="n">
        <f aca="false">ROUND($W240,2)</f>
        <v>1.62</v>
      </c>
      <c r="Y240" s="8" t="str">
        <f aca="false">IF($X240&lt;=2,"Low",IF($X240&lt;=3.49,"Medium","High"))</f>
        <v>Low</v>
      </c>
      <c r="Z240" s="8" t="str">
        <f aca="false">IF(OR($F240&gt;=3,$E240=5,$D240=5,$C240=5,$G240=5,$H240=5,$I240=5,$J240=5,Customers!$W240="Yes"),"Yes","No")</f>
        <v>No</v>
      </c>
      <c r="AA240" s="15" t="str">
        <f aca="false">IF($Z240="Yes","High",$Y240)</f>
        <v>Low</v>
      </c>
      <c r="AB240" s="18" t="n">
        <f aca="false">SUMPRODUCT($C240:$G240,Weights!$C$28:$G$28)</f>
        <v>1.2</v>
      </c>
      <c r="AC240" s="18" t="n">
        <f aca="false">SUMPRODUCT($H240:$J240,Weights!$H$28:$J$28)</f>
        <v>1</v>
      </c>
      <c r="AD240" s="18" t="n">
        <f aca="false">SUMPRODUCT($K240:$N240,Weights!$K$28:$N$28)</f>
        <v>2.2</v>
      </c>
      <c r="AE240" s="18" t="n">
        <f aca="false">SUMPRODUCT($O240:$Q240,Weights!$O$28:$Q$28)</f>
        <v>3.05</v>
      </c>
      <c r="AF240" s="18" t="n">
        <f aca="false">SUMPRODUCT($R240:$V240,Weights!$R$28:$V$28)</f>
        <v>1.75</v>
      </c>
      <c r="AH240" s="18" t="n">
        <f aca="false">SUMPRODUCT($AB240:$AF240,Validation!$D$7:$H$7)</f>
        <v>1.67714285714325</v>
      </c>
      <c r="AI240" s="18" t="n">
        <f aca="false">SUMPRODUCT($AB240:$AF240,Validation!$D$8:$H$8)</f>
        <v>1.55785714285675</v>
      </c>
      <c r="AJ240" s="18" t="n">
        <f aca="false">SUMPRODUCT($AB240:$AF240,Validation!$D$9:$H$9)</f>
        <v>1.69983333333305</v>
      </c>
      <c r="AK240" s="18" t="n">
        <f aca="false">SUMPRODUCT($AB240:$AF240,Validation!$D$10:$H$10)</f>
        <v>1.53516666666695</v>
      </c>
      <c r="AL240" s="18" t="n">
        <f aca="false">SUMPRODUCT($AB240:$AF240,Validation!$D$11:$H$11)</f>
        <v>1.5446875</v>
      </c>
      <c r="AM240" s="18" t="n">
        <f aca="false">SUMPRODUCT($AB240:$AF240,Validation!$D$12:$H$12)</f>
        <v>1.6903125</v>
      </c>
      <c r="AN240" s="18" t="n">
        <f aca="false">SUMPRODUCT($AB240:$AF240,Validation!$D$13:$H$13)</f>
        <v>1.45833333333325</v>
      </c>
      <c r="AO240" s="18" t="n">
        <f aca="false">SUMPRODUCT($AB240:$AF240,Validation!$D$14:$H$14)</f>
        <v>1.77666666666675</v>
      </c>
      <c r="AP240" s="18" t="n">
        <f aca="false">SUMPRODUCT($AB240:$AF240,Validation!$D$15:$H$15)</f>
        <v>1.6019117647055</v>
      </c>
      <c r="AQ240" s="18" t="n">
        <f aca="false">SUMPRODUCT($AB240:$AF240,Validation!$D$16:$H$16)</f>
        <v>1.6330882352945</v>
      </c>
      <c r="AR240" s="8" t="n">
        <f aca="false">COUNTIF($C240:$V240,"&gt;=4")</f>
        <v>1</v>
      </c>
      <c r="AS240" s="8" t="str">
        <f aca="false">IF($X240&lt;=1.6,"Low",IF($X240&lt;=2.2,"Medium","High"))</f>
        <v>Medium</v>
      </c>
      <c r="AT240" s="8" t="str">
        <f aca="false">IF($AR240=0,"Low",IF($AR240&lt;3,"Medium","High"))</f>
        <v>Medium</v>
      </c>
      <c r="AU240" s="8" t="str">
        <f aca="false">IF(OR($AS240="High",$AT240="High"),"High",IF(OR($AS240="Medium",$AT240="Medium"),"Medium","Low"))</f>
        <v>Medium</v>
      </c>
      <c r="AV240" s="15" t="str">
        <f aca="false">IF($Z240="Yes","High",$AU240)</f>
        <v>Medium</v>
      </c>
    </row>
    <row r="241" customFormat="false" ht="15" hidden="false" customHeight="false" outlineLevel="0" collapsed="false">
      <c r="A241" s="7" t="str">
        <f aca="false">Customers!$A241</f>
        <v>NG-10319</v>
      </c>
      <c r="B241" s="7" t="str">
        <f aca="false">Customers!$B241</f>
        <v>Sole trader</v>
      </c>
      <c r="C241" s="8" t="n">
        <f aca="false">INDEX(Mapping!$C$2:$C$99,MATCH(C$1&amp;"|"&amp;Customers!C241,Mapping!$D$2:$D$99,0))</f>
        <v>2</v>
      </c>
      <c r="D241" s="8" t="n">
        <f aca="false">INDEX(Mapping!$C$2:$C$99,MATCH(D$1&amp;"|"&amp;Customers!D241,Mapping!$D$2:$D$99,0))</f>
        <v>1</v>
      </c>
      <c r="E241" s="8" t="n">
        <f aca="false">INDEX(Mapping!$C$2:$C$99,MATCH(E$1&amp;"|"&amp;Customers!E241,Mapping!$D$2:$D$99,0))</f>
        <v>3</v>
      </c>
      <c r="F241" s="8" t="n">
        <f aca="false">INDEX(Mapping!$C$2:$C$99,MATCH(F$1&amp;"|"&amp;Customers!F241,Mapping!$D$2:$D$99,0))</f>
        <v>1</v>
      </c>
      <c r="G241" s="8" t="n">
        <f aca="false">INDEX(Mapping!$C$2:$C$99,MATCH(G$1&amp;"|"&amp;Customers!G241,Mapping!$D$2:$D$99,0))</f>
        <v>1</v>
      </c>
      <c r="H241" s="8" t="n">
        <f aca="false">INDEX(Mapping!$C$2:$C$99,MATCH(H$1&amp;"|"&amp;Customers!H241,Mapping!$D$2:$D$99,0))</f>
        <v>1</v>
      </c>
      <c r="I241" s="8" t="n">
        <f aca="false">INDEX(Mapping!$C$2:$C$99,MATCH(I$1&amp;"|"&amp;Customers!I241,Mapping!$D$2:$D$99,0))</f>
        <v>1</v>
      </c>
      <c r="J241" s="8" t="n">
        <f aca="false">INDEX(Mapping!$C$2:$C$99,MATCH(J$1&amp;"|"&amp;Customers!J241,Mapping!$D$2:$D$99,0))</f>
        <v>1</v>
      </c>
      <c r="K241" s="8" t="n">
        <f aca="false">INDEX(Mapping!$C$2:$C$99,MATCH(K$1&amp;"|"&amp;Customers!K241,Mapping!$D$2:$D$99,0))</f>
        <v>4</v>
      </c>
      <c r="L241" s="8" t="n">
        <f aca="false">INDEX(Mapping!$C$2:$C$99,MATCH(L$1&amp;"|"&amp;Customers!L241,Mapping!$D$2:$D$99,0))</f>
        <v>4</v>
      </c>
      <c r="M241" s="8" t="n">
        <f aca="false">INDEX(Mapping!$C$2:$C$99,MATCH(M$1&amp;"|"&amp;Customers!M241,Mapping!$D$2:$D$99,0))</f>
        <v>3</v>
      </c>
      <c r="N241" s="8" t="n">
        <f aca="false">INDEX(Mapping!$C$2:$C$99,MATCH(N$1&amp;"|"&amp;Customers!N241,Mapping!$D$2:$D$99,0))</f>
        <v>3</v>
      </c>
      <c r="O241" s="8" t="n">
        <f aca="false">INDEX(Mapping!$C$2:$C$99,MATCH(O$1&amp;"|"&amp;Customers!O241,Mapping!$D$2:$D$99,0))</f>
        <v>2</v>
      </c>
      <c r="P241" s="8" t="n">
        <f aca="false">INDEX(Mapping!$C$2:$C$99,MATCH(P$1&amp;"|"&amp;Customers!P241,Mapping!$D$2:$D$99,0))</f>
        <v>4</v>
      </c>
      <c r="Q241" s="8" t="n">
        <f aca="false">INDEX(Mapping!$C$2:$C$99,MATCH(Q$1&amp;"|"&amp;Customers!Q241,Mapping!$D$2:$D$99,0))</f>
        <v>1</v>
      </c>
      <c r="R241" s="8" t="n">
        <f aca="false">INDEX(Mapping!$C$2:$C$99,MATCH(R$1&amp;"|"&amp;Customers!R241,Mapping!$D$2:$D$99,0))</f>
        <v>3</v>
      </c>
      <c r="S241" s="8" t="n">
        <f aca="false">INDEX(Mapping!$C$2:$C$99,MATCH(S$1&amp;"|"&amp;Customers!S241,Mapping!$D$2:$D$99,0))</f>
        <v>4</v>
      </c>
      <c r="T241" s="8" t="n">
        <f aca="false">INDEX(Mapping!$C$2:$C$99,MATCH(T$1&amp;"|"&amp;Customers!T241,Mapping!$D$2:$D$99,0))</f>
        <v>2</v>
      </c>
      <c r="U241" s="8" t="n">
        <f aca="false">INDEX(Mapping!$C$2:$C$99,MATCH(U$1&amp;"|"&amp;Customers!U241,Mapping!$D$2:$D$99,0))</f>
        <v>2</v>
      </c>
      <c r="V241" s="8" t="n">
        <f aca="false">INDEX(Mapping!$C$2:$C$99,MATCH(V$1&amp;"|"&amp;Customers!V241,Mapping!$D$2:$D$99,0))</f>
        <v>1</v>
      </c>
      <c r="W241" s="17" t="n">
        <f aca="false">SUMPRODUCT($C241:$V241,Weights!$C$27:$V$27)</f>
        <v>2.1425</v>
      </c>
      <c r="X241" s="18" t="n">
        <f aca="false">ROUND($W241,2)</f>
        <v>2.14</v>
      </c>
      <c r="Y241" s="8" t="str">
        <f aca="false">IF($X241&lt;=2,"Low",IF($X241&lt;=3.49,"Medium","High"))</f>
        <v>Medium</v>
      </c>
      <c r="Z241" s="8" t="str">
        <f aca="false">IF(OR($F241&gt;=3,$E241=5,$D241=5,$C241=5,$G241=5,$H241=5,$I241=5,$J241=5,Customers!$W241="Yes"),"Yes","No")</f>
        <v>No</v>
      </c>
      <c r="AA241" s="15" t="str">
        <f aca="false">IF($Z241="Yes","High",$Y241)</f>
        <v>Medium</v>
      </c>
      <c r="AB241" s="18" t="n">
        <f aca="false">SUMPRODUCT($C241:$G241,Weights!$C$28:$G$28)</f>
        <v>1.7</v>
      </c>
      <c r="AC241" s="18" t="n">
        <f aca="false">SUMPRODUCT($H241:$J241,Weights!$H$28:$J$28)</f>
        <v>1</v>
      </c>
      <c r="AD241" s="18" t="n">
        <f aca="false">SUMPRODUCT($K241:$N241,Weights!$K$28:$N$28)</f>
        <v>3.6</v>
      </c>
      <c r="AE241" s="18" t="n">
        <f aca="false">SUMPRODUCT($O241:$Q241,Weights!$O$28:$Q$28)</f>
        <v>2.5</v>
      </c>
      <c r="AF241" s="18" t="n">
        <f aca="false">SUMPRODUCT($R241:$V241,Weights!$R$28:$V$28)</f>
        <v>2.75</v>
      </c>
      <c r="AH241" s="18" t="n">
        <f aca="false">SUMPRODUCT($AB241:$AF241,Validation!$D$7:$H$7)</f>
        <v>2.20571428571435</v>
      </c>
      <c r="AI241" s="18" t="n">
        <f aca="false">SUMPRODUCT($AB241:$AF241,Validation!$D$8:$H$8)</f>
        <v>2.07928571428565</v>
      </c>
      <c r="AJ241" s="18" t="n">
        <f aca="false">SUMPRODUCT($AB241:$AF241,Validation!$D$9:$H$9)</f>
        <v>2.2948333333337</v>
      </c>
      <c r="AK241" s="18" t="n">
        <f aca="false">SUMPRODUCT($AB241:$AF241,Validation!$D$10:$H$10)</f>
        <v>1.9901666666663</v>
      </c>
      <c r="AL241" s="18" t="n">
        <f aca="false">SUMPRODUCT($AB241:$AF241,Validation!$D$11:$H$11)</f>
        <v>1.9603125</v>
      </c>
      <c r="AM241" s="18" t="n">
        <f aca="false">SUMPRODUCT($AB241:$AF241,Validation!$D$12:$H$12)</f>
        <v>2.3246875</v>
      </c>
      <c r="AN241" s="18" t="n">
        <f aca="false">SUMPRODUCT($AB241:$AF241,Validation!$D$13:$H$13)</f>
        <v>2.10277777777755</v>
      </c>
      <c r="AO241" s="18" t="n">
        <f aca="false">SUMPRODUCT($AB241:$AF241,Validation!$D$14:$H$14)</f>
        <v>2.18222222222245</v>
      </c>
      <c r="AP241" s="18" t="n">
        <f aca="false">SUMPRODUCT($AB241:$AF241,Validation!$D$15:$H$15)</f>
        <v>2.0710294117649</v>
      </c>
      <c r="AQ241" s="18" t="n">
        <f aca="false">SUMPRODUCT($AB241:$AF241,Validation!$D$16:$H$16)</f>
        <v>2.2139705882351</v>
      </c>
      <c r="AR241" s="8" t="n">
        <f aca="false">COUNTIF($C241:$V241,"&gt;=4")</f>
        <v>4</v>
      </c>
      <c r="AS241" s="8" t="str">
        <f aca="false">IF($X241&lt;=1.6,"Low",IF($X241&lt;=2.2,"Medium","High"))</f>
        <v>Medium</v>
      </c>
      <c r="AT241" s="8" t="str">
        <f aca="false">IF($AR241=0,"Low",IF($AR241&lt;3,"Medium","High"))</f>
        <v>High</v>
      </c>
      <c r="AU241" s="8" t="str">
        <f aca="false">IF(OR($AS241="High",$AT241="High"),"High",IF(OR($AS241="Medium",$AT241="Medium"),"Medium","Low"))</f>
        <v>High</v>
      </c>
      <c r="AV241" s="15" t="str">
        <f aca="false">IF($Z241="Yes","High",$AU241)</f>
        <v>High</v>
      </c>
    </row>
    <row r="242" customFormat="false" ht="15" hidden="false" customHeight="false" outlineLevel="0" collapsed="false">
      <c r="A242" s="7" t="str">
        <f aca="false">Customers!$A242</f>
        <v>NG-10286</v>
      </c>
      <c r="B242" s="7" t="str">
        <f aca="false">Customers!$B242</f>
        <v>Personal</v>
      </c>
      <c r="C242" s="8" t="n">
        <f aca="false">INDEX(Mapping!$C$2:$C$99,MATCH(C$1&amp;"|"&amp;Customers!C242,Mapping!$D$2:$D$99,0))</f>
        <v>1</v>
      </c>
      <c r="D242" s="8" t="n">
        <f aca="false">INDEX(Mapping!$C$2:$C$99,MATCH(D$1&amp;"|"&amp;Customers!D242,Mapping!$D$2:$D$99,0))</f>
        <v>1</v>
      </c>
      <c r="E242" s="8" t="n">
        <f aca="false">INDEX(Mapping!$C$2:$C$99,MATCH(E$1&amp;"|"&amp;Customers!E242,Mapping!$D$2:$D$99,0))</f>
        <v>1</v>
      </c>
      <c r="F242" s="8" t="n">
        <f aca="false">INDEX(Mapping!$C$2:$C$99,MATCH(F$1&amp;"|"&amp;Customers!F242,Mapping!$D$2:$D$99,0))</f>
        <v>1</v>
      </c>
      <c r="G242" s="8" t="n">
        <f aca="false">INDEX(Mapping!$C$2:$C$99,MATCH(G$1&amp;"|"&amp;Customers!G242,Mapping!$D$2:$D$99,0))</f>
        <v>1</v>
      </c>
      <c r="H242" s="8" t="n">
        <f aca="false">INDEX(Mapping!$C$2:$C$99,MATCH(H$1&amp;"|"&amp;Customers!H242,Mapping!$D$2:$D$99,0))</f>
        <v>1</v>
      </c>
      <c r="I242" s="8" t="n">
        <f aca="false">INDEX(Mapping!$C$2:$C$99,MATCH(I$1&amp;"|"&amp;Customers!I242,Mapping!$D$2:$D$99,0))</f>
        <v>1</v>
      </c>
      <c r="J242" s="8" t="n">
        <f aca="false">INDEX(Mapping!$C$2:$C$99,MATCH(J$1&amp;"|"&amp;Customers!J242,Mapping!$D$2:$D$99,0))</f>
        <v>1</v>
      </c>
      <c r="K242" s="8" t="n">
        <f aca="false">INDEX(Mapping!$C$2:$C$99,MATCH(K$1&amp;"|"&amp;Customers!K242,Mapping!$D$2:$D$99,0))</f>
        <v>1</v>
      </c>
      <c r="L242" s="8" t="n">
        <f aca="false">INDEX(Mapping!$C$2:$C$99,MATCH(L$1&amp;"|"&amp;Customers!L242,Mapping!$D$2:$D$99,0))</f>
        <v>3</v>
      </c>
      <c r="M242" s="8" t="n">
        <f aca="false">INDEX(Mapping!$C$2:$C$99,MATCH(M$1&amp;"|"&amp;Customers!M242,Mapping!$D$2:$D$99,0))</f>
        <v>3</v>
      </c>
      <c r="N242" s="8" t="n">
        <f aca="false">INDEX(Mapping!$C$2:$C$99,MATCH(N$1&amp;"|"&amp;Customers!N242,Mapping!$D$2:$D$99,0))</f>
        <v>1</v>
      </c>
      <c r="O242" s="8" t="n">
        <f aca="false">INDEX(Mapping!$C$2:$C$99,MATCH(O$1&amp;"|"&amp;Customers!O242,Mapping!$D$2:$D$99,0))</f>
        <v>3</v>
      </c>
      <c r="P242" s="8" t="n">
        <f aca="false">INDEX(Mapping!$C$2:$C$99,MATCH(P$1&amp;"|"&amp;Customers!P242,Mapping!$D$2:$D$99,0))</f>
        <v>1</v>
      </c>
      <c r="Q242" s="8" t="n">
        <f aca="false">INDEX(Mapping!$C$2:$C$99,MATCH(Q$1&amp;"|"&amp;Customers!Q242,Mapping!$D$2:$D$99,0))</f>
        <v>4</v>
      </c>
      <c r="R242" s="8" t="n">
        <f aca="false">INDEX(Mapping!$C$2:$C$99,MATCH(R$1&amp;"|"&amp;Customers!R242,Mapping!$D$2:$D$99,0))</f>
        <v>1</v>
      </c>
      <c r="S242" s="8" t="n">
        <f aca="false">INDEX(Mapping!$C$2:$C$99,MATCH(S$1&amp;"|"&amp;Customers!S242,Mapping!$D$2:$D$99,0))</f>
        <v>1</v>
      </c>
      <c r="T242" s="8" t="n">
        <f aca="false">INDEX(Mapping!$C$2:$C$99,MATCH(T$1&amp;"|"&amp;Customers!T242,Mapping!$D$2:$D$99,0))</f>
        <v>2</v>
      </c>
      <c r="U242" s="8" t="n">
        <f aca="false">INDEX(Mapping!$C$2:$C$99,MATCH(U$1&amp;"|"&amp;Customers!U242,Mapping!$D$2:$D$99,0))</f>
        <v>2</v>
      </c>
      <c r="V242" s="8" t="n">
        <f aca="false">INDEX(Mapping!$C$2:$C$99,MATCH(V$1&amp;"|"&amp;Customers!V242,Mapping!$D$2:$D$99,0))</f>
        <v>3</v>
      </c>
      <c r="W242" s="17" t="n">
        <f aca="false">SUMPRODUCT($C242:$V242,Weights!$C$27:$V$27)</f>
        <v>1.4325</v>
      </c>
      <c r="X242" s="18" t="n">
        <f aca="false">ROUND($W242,2)</f>
        <v>1.43</v>
      </c>
      <c r="Y242" s="8" t="str">
        <f aca="false">IF($X242&lt;=2,"Low",IF($X242&lt;=3.49,"Medium","High"))</f>
        <v>Low</v>
      </c>
      <c r="Z242" s="8" t="str">
        <f aca="false">IF(OR($F242&gt;=3,$E242=5,$D242=5,$C242=5,$G242=5,$H242=5,$I242=5,$J242=5,Customers!$W242="Yes"),"Yes","No")</f>
        <v>No</v>
      </c>
      <c r="AA242" s="15" t="str">
        <f aca="false">IF($Z242="Yes","High",$Y242)</f>
        <v>Low</v>
      </c>
      <c r="AB242" s="18" t="n">
        <f aca="false">SUMPRODUCT($C242:$G242,Weights!$C$28:$G$28)</f>
        <v>1</v>
      </c>
      <c r="AC242" s="18" t="n">
        <f aca="false">SUMPRODUCT($H242:$J242,Weights!$H$28:$J$28)</f>
        <v>1</v>
      </c>
      <c r="AD242" s="18" t="n">
        <f aca="false">SUMPRODUCT($K242:$N242,Weights!$K$28:$N$28)</f>
        <v>2</v>
      </c>
      <c r="AE242" s="18" t="n">
        <f aca="false">SUMPRODUCT($O242:$Q242,Weights!$O$28:$Q$28)</f>
        <v>2.5</v>
      </c>
      <c r="AF242" s="18" t="n">
        <f aca="false">SUMPRODUCT($R242:$V242,Weights!$R$28:$V$28)</f>
        <v>1.55</v>
      </c>
      <c r="AH242" s="18" t="n">
        <f aca="false">SUMPRODUCT($AB242:$AF242,Validation!$D$7:$H$7)</f>
        <v>1.49428571428595</v>
      </c>
      <c r="AI242" s="18" t="n">
        <f aca="false">SUMPRODUCT($AB242:$AF242,Validation!$D$8:$H$8)</f>
        <v>1.37071428571405</v>
      </c>
      <c r="AJ242" s="18" t="n">
        <f aca="false">SUMPRODUCT($AB242:$AF242,Validation!$D$9:$H$9)</f>
        <v>1.4901666666665</v>
      </c>
      <c r="AK242" s="18" t="n">
        <f aca="false">SUMPRODUCT($AB242:$AF242,Validation!$D$10:$H$10)</f>
        <v>1.3748333333335</v>
      </c>
      <c r="AL242" s="18" t="n">
        <f aca="false">SUMPRODUCT($AB242:$AF242,Validation!$D$11:$H$11)</f>
        <v>1.3615625</v>
      </c>
      <c r="AM242" s="18" t="n">
        <f aca="false">SUMPRODUCT($AB242:$AF242,Validation!$D$12:$H$12)</f>
        <v>1.5034375</v>
      </c>
      <c r="AN242" s="18" t="n">
        <f aca="false">SUMPRODUCT($AB242:$AF242,Validation!$D$13:$H$13)</f>
        <v>1.31388888888885</v>
      </c>
      <c r="AO242" s="18" t="n">
        <f aca="false">SUMPRODUCT($AB242:$AF242,Validation!$D$14:$H$14)</f>
        <v>1.55111111111115</v>
      </c>
      <c r="AP242" s="18" t="n">
        <f aca="false">SUMPRODUCT($AB242:$AF242,Validation!$D$15:$H$15)</f>
        <v>1.418676470588</v>
      </c>
      <c r="AQ242" s="18" t="n">
        <f aca="false">SUMPRODUCT($AB242:$AF242,Validation!$D$16:$H$16)</f>
        <v>1.446323529412</v>
      </c>
      <c r="AR242" s="8" t="n">
        <f aca="false">COUNTIF($C242:$V242,"&gt;=4")</f>
        <v>1</v>
      </c>
      <c r="AS242" s="8" t="str">
        <f aca="false">IF($X242&lt;=1.6,"Low",IF($X242&lt;=2.2,"Medium","High"))</f>
        <v>Low</v>
      </c>
      <c r="AT242" s="8" t="str">
        <f aca="false">IF($AR242=0,"Low",IF($AR242&lt;3,"Medium","High"))</f>
        <v>Medium</v>
      </c>
      <c r="AU242" s="8" t="str">
        <f aca="false">IF(OR($AS242="High",$AT242="High"),"High",IF(OR($AS242="Medium",$AT242="Medium"),"Medium","Low"))</f>
        <v>Medium</v>
      </c>
      <c r="AV242" s="15" t="str">
        <f aca="false">IF($Z242="Yes","High",$AU242)</f>
        <v>Medium</v>
      </c>
    </row>
    <row r="243" customFormat="false" ht="15" hidden="false" customHeight="false" outlineLevel="0" collapsed="false">
      <c r="A243" s="7" t="str">
        <f aca="false">Customers!$A243</f>
        <v>NG-10257</v>
      </c>
      <c r="B243" s="7" t="str">
        <f aca="false">Customers!$B243</f>
        <v>Personal</v>
      </c>
      <c r="C243" s="8" t="n">
        <f aca="false">INDEX(Mapping!$C$2:$C$99,MATCH(C$1&amp;"|"&amp;Customers!C243,Mapping!$D$2:$D$99,0))</f>
        <v>1</v>
      </c>
      <c r="D243" s="8" t="n">
        <f aca="false">INDEX(Mapping!$C$2:$C$99,MATCH(D$1&amp;"|"&amp;Customers!D243,Mapping!$D$2:$D$99,0))</f>
        <v>1</v>
      </c>
      <c r="E243" s="8" t="n">
        <f aca="false">INDEX(Mapping!$C$2:$C$99,MATCH(E$1&amp;"|"&amp;Customers!E243,Mapping!$D$2:$D$99,0))</f>
        <v>1</v>
      </c>
      <c r="F243" s="8" t="n">
        <f aca="false">INDEX(Mapping!$C$2:$C$99,MATCH(F$1&amp;"|"&amp;Customers!F243,Mapping!$D$2:$D$99,0))</f>
        <v>1</v>
      </c>
      <c r="G243" s="8" t="n">
        <f aca="false">INDEX(Mapping!$C$2:$C$99,MATCH(G$1&amp;"|"&amp;Customers!G243,Mapping!$D$2:$D$99,0))</f>
        <v>1</v>
      </c>
      <c r="H243" s="8" t="n">
        <f aca="false">INDEX(Mapping!$C$2:$C$99,MATCH(H$1&amp;"|"&amp;Customers!H243,Mapping!$D$2:$D$99,0))</f>
        <v>1</v>
      </c>
      <c r="I243" s="8" t="n">
        <f aca="false">INDEX(Mapping!$C$2:$C$99,MATCH(I$1&amp;"|"&amp;Customers!I243,Mapping!$D$2:$D$99,0))</f>
        <v>1</v>
      </c>
      <c r="J243" s="8" t="n">
        <f aca="false">INDEX(Mapping!$C$2:$C$99,MATCH(J$1&amp;"|"&amp;Customers!J243,Mapping!$D$2:$D$99,0))</f>
        <v>1</v>
      </c>
      <c r="K243" s="8" t="n">
        <f aca="false">INDEX(Mapping!$C$2:$C$99,MATCH(K$1&amp;"|"&amp;Customers!K243,Mapping!$D$2:$D$99,0))</f>
        <v>3</v>
      </c>
      <c r="L243" s="8" t="n">
        <f aca="false">INDEX(Mapping!$C$2:$C$99,MATCH(L$1&amp;"|"&amp;Customers!L243,Mapping!$D$2:$D$99,0))</f>
        <v>4</v>
      </c>
      <c r="M243" s="8" t="n">
        <f aca="false">INDEX(Mapping!$C$2:$C$99,MATCH(M$1&amp;"|"&amp;Customers!M243,Mapping!$D$2:$D$99,0))</f>
        <v>2</v>
      </c>
      <c r="N243" s="8" t="n">
        <f aca="false">INDEX(Mapping!$C$2:$C$99,MATCH(N$1&amp;"|"&amp;Customers!N243,Mapping!$D$2:$D$99,0))</f>
        <v>2</v>
      </c>
      <c r="O243" s="8" t="n">
        <f aca="false">INDEX(Mapping!$C$2:$C$99,MATCH(O$1&amp;"|"&amp;Customers!O243,Mapping!$D$2:$D$99,0))</f>
        <v>3</v>
      </c>
      <c r="P243" s="8" t="n">
        <f aca="false">INDEX(Mapping!$C$2:$C$99,MATCH(P$1&amp;"|"&amp;Customers!P243,Mapping!$D$2:$D$99,0))</f>
        <v>3</v>
      </c>
      <c r="Q243" s="8" t="n">
        <f aca="false">INDEX(Mapping!$C$2:$C$99,MATCH(Q$1&amp;"|"&amp;Customers!Q243,Mapping!$D$2:$D$99,0))</f>
        <v>2</v>
      </c>
      <c r="R243" s="8" t="n">
        <f aca="false">INDEX(Mapping!$C$2:$C$99,MATCH(R$1&amp;"|"&amp;Customers!R243,Mapping!$D$2:$D$99,0))</f>
        <v>1</v>
      </c>
      <c r="S243" s="8" t="n">
        <f aca="false">INDEX(Mapping!$C$2:$C$99,MATCH(S$1&amp;"|"&amp;Customers!S243,Mapping!$D$2:$D$99,0))</f>
        <v>2</v>
      </c>
      <c r="T243" s="8" t="n">
        <f aca="false">INDEX(Mapping!$C$2:$C$99,MATCH(T$1&amp;"|"&amp;Customers!T243,Mapping!$D$2:$D$99,0))</f>
        <v>1</v>
      </c>
      <c r="U243" s="8" t="n">
        <f aca="false">INDEX(Mapping!$C$2:$C$99,MATCH(U$1&amp;"|"&amp;Customers!U243,Mapping!$D$2:$D$99,0))</f>
        <v>1</v>
      </c>
      <c r="V243" s="8" t="n">
        <f aca="false">INDEX(Mapping!$C$2:$C$99,MATCH(V$1&amp;"|"&amp;Customers!V243,Mapping!$D$2:$D$99,0))</f>
        <v>1</v>
      </c>
      <c r="W243" s="17" t="n">
        <f aca="false">SUMPRODUCT($C243:$V243,Weights!$C$27:$V$27)</f>
        <v>1.595</v>
      </c>
      <c r="X243" s="18" t="n">
        <f aca="false">ROUND($W243,2)</f>
        <v>1.6</v>
      </c>
      <c r="Y243" s="8" t="str">
        <f aca="false">IF($X243&lt;=2,"Low",IF($X243&lt;=3.49,"Medium","High"))</f>
        <v>Low</v>
      </c>
      <c r="Z243" s="8" t="str">
        <f aca="false">IF(OR($F243&gt;=3,$E243=5,$D243=5,$C243=5,$G243=5,$H243=5,$I243=5,$J243=5,Customers!$W243="Yes"),"Yes","No")</f>
        <v>No</v>
      </c>
      <c r="AA243" s="15" t="str">
        <f aca="false">IF($Z243="Yes","High",$Y243)</f>
        <v>Low</v>
      </c>
      <c r="AB243" s="18" t="n">
        <f aca="false">SUMPRODUCT($C243:$G243,Weights!$C$28:$G$28)</f>
        <v>1</v>
      </c>
      <c r="AC243" s="18" t="n">
        <f aca="false">SUMPRODUCT($H243:$J243,Weights!$H$28:$J$28)</f>
        <v>1</v>
      </c>
      <c r="AD243" s="18" t="n">
        <f aca="false">SUMPRODUCT($K243:$N243,Weights!$K$28:$N$28)</f>
        <v>2.85</v>
      </c>
      <c r="AE243" s="18" t="n">
        <f aca="false">SUMPRODUCT($O243:$Q243,Weights!$O$28:$Q$28)</f>
        <v>2.8</v>
      </c>
      <c r="AF243" s="18" t="n">
        <f aca="false">SUMPRODUCT($R243:$V243,Weights!$R$28:$V$28)</f>
        <v>1.3</v>
      </c>
      <c r="AH243" s="18" t="n">
        <f aca="false">SUMPRODUCT($AB243:$AF243,Validation!$D$7:$H$7)</f>
        <v>1.67999999999985</v>
      </c>
      <c r="AI243" s="18" t="n">
        <f aca="false">SUMPRODUCT($AB243:$AF243,Validation!$D$8:$H$8)</f>
        <v>1.51000000000015</v>
      </c>
      <c r="AJ243" s="18" t="n">
        <f aca="false">SUMPRODUCT($AB243:$AF243,Validation!$D$9:$H$9)</f>
        <v>1.67433333333335</v>
      </c>
      <c r="AK243" s="18" t="n">
        <f aca="false">SUMPRODUCT($AB243:$AF243,Validation!$D$10:$H$10)</f>
        <v>1.51566666666665</v>
      </c>
      <c r="AL243" s="18" t="n">
        <f aca="false">SUMPRODUCT($AB243:$AF243,Validation!$D$11:$H$11)</f>
        <v>1.438125</v>
      </c>
      <c r="AM243" s="18" t="n">
        <f aca="false">SUMPRODUCT($AB243:$AF243,Validation!$D$12:$H$12)</f>
        <v>1.751875</v>
      </c>
      <c r="AN243" s="18" t="n">
        <f aca="false">SUMPRODUCT($AB243:$AF243,Validation!$D$13:$H$13)</f>
        <v>1.4611111111108</v>
      </c>
      <c r="AO243" s="18" t="n">
        <f aca="false">SUMPRODUCT($AB243:$AF243,Validation!$D$14:$H$14)</f>
        <v>1.7288888888892</v>
      </c>
      <c r="AP243" s="18" t="n">
        <f aca="false">SUMPRODUCT($AB243:$AF243,Validation!$D$15:$H$15)</f>
        <v>1.62970588235285</v>
      </c>
      <c r="AQ243" s="18" t="n">
        <f aca="false">SUMPRODUCT($AB243:$AF243,Validation!$D$16:$H$16)</f>
        <v>1.56029411764715</v>
      </c>
      <c r="AR243" s="8" t="n">
        <f aca="false">COUNTIF($C243:$V243,"&gt;=4")</f>
        <v>1</v>
      </c>
      <c r="AS243" s="8" t="str">
        <f aca="false">IF($X243&lt;=1.6,"Low",IF($X243&lt;=2.2,"Medium","High"))</f>
        <v>Low</v>
      </c>
      <c r="AT243" s="8" t="str">
        <f aca="false">IF($AR243=0,"Low",IF($AR243&lt;3,"Medium","High"))</f>
        <v>Medium</v>
      </c>
      <c r="AU243" s="8" t="str">
        <f aca="false">IF(OR($AS243="High",$AT243="High"),"High",IF(OR($AS243="Medium",$AT243="Medium"),"Medium","Low"))</f>
        <v>Medium</v>
      </c>
      <c r="AV243" s="15" t="str">
        <f aca="false">IF($Z243="Yes","High",$AU243)</f>
        <v>Medium</v>
      </c>
    </row>
    <row r="244" customFormat="false" ht="15" hidden="false" customHeight="false" outlineLevel="0" collapsed="false">
      <c r="A244" s="7" t="str">
        <f aca="false">Customers!$A244</f>
        <v>NG-10156</v>
      </c>
      <c r="B244" s="7" t="str">
        <f aca="false">Customers!$B244</f>
        <v>Personal</v>
      </c>
      <c r="C244" s="8" t="n">
        <f aca="false">INDEX(Mapping!$C$2:$C$99,MATCH(C$1&amp;"|"&amp;Customers!C244,Mapping!$D$2:$D$99,0))</f>
        <v>1</v>
      </c>
      <c r="D244" s="8" t="n">
        <f aca="false">INDEX(Mapping!$C$2:$C$99,MATCH(D$1&amp;"|"&amp;Customers!D244,Mapping!$D$2:$D$99,0))</f>
        <v>1</v>
      </c>
      <c r="E244" s="8" t="n">
        <f aca="false">INDEX(Mapping!$C$2:$C$99,MATCH(E$1&amp;"|"&amp;Customers!E244,Mapping!$D$2:$D$99,0))</f>
        <v>1</v>
      </c>
      <c r="F244" s="8" t="n">
        <f aca="false">INDEX(Mapping!$C$2:$C$99,MATCH(F$1&amp;"|"&amp;Customers!F244,Mapping!$D$2:$D$99,0))</f>
        <v>1</v>
      </c>
      <c r="G244" s="8" t="n">
        <f aca="false">INDEX(Mapping!$C$2:$C$99,MATCH(G$1&amp;"|"&amp;Customers!G244,Mapping!$D$2:$D$99,0))</f>
        <v>1</v>
      </c>
      <c r="H244" s="8" t="n">
        <f aca="false">INDEX(Mapping!$C$2:$C$99,MATCH(H$1&amp;"|"&amp;Customers!H244,Mapping!$D$2:$D$99,0))</f>
        <v>1</v>
      </c>
      <c r="I244" s="8" t="n">
        <f aca="false">INDEX(Mapping!$C$2:$C$99,MATCH(I$1&amp;"|"&amp;Customers!I244,Mapping!$D$2:$D$99,0))</f>
        <v>1</v>
      </c>
      <c r="J244" s="8" t="n">
        <f aca="false">INDEX(Mapping!$C$2:$C$99,MATCH(J$1&amp;"|"&amp;Customers!J244,Mapping!$D$2:$D$99,0))</f>
        <v>2</v>
      </c>
      <c r="K244" s="8" t="n">
        <f aca="false">INDEX(Mapping!$C$2:$C$99,MATCH(K$1&amp;"|"&amp;Customers!K244,Mapping!$D$2:$D$99,0))</f>
        <v>1</v>
      </c>
      <c r="L244" s="8" t="n">
        <f aca="false">INDEX(Mapping!$C$2:$C$99,MATCH(L$1&amp;"|"&amp;Customers!L244,Mapping!$D$2:$D$99,0))</f>
        <v>3</v>
      </c>
      <c r="M244" s="8" t="n">
        <f aca="false">INDEX(Mapping!$C$2:$C$99,MATCH(M$1&amp;"|"&amp;Customers!M244,Mapping!$D$2:$D$99,0))</f>
        <v>4</v>
      </c>
      <c r="N244" s="8" t="n">
        <f aca="false">INDEX(Mapping!$C$2:$C$99,MATCH(N$1&amp;"|"&amp;Customers!N244,Mapping!$D$2:$D$99,0))</f>
        <v>4</v>
      </c>
      <c r="O244" s="8" t="n">
        <f aca="false">INDEX(Mapping!$C$2:$C$99,MATCH(O$1&amp;"|"&amp;Customers!O244,Mapping!$D$2:$D$99,0))</f>
        <v>3</v>
      </c>
      <c r="P244" s="8" t="n">
        <f aca="false">INDEX(Mapping!$C$2:$C$99,MATCH(P$1&amp;"|"&amp;Customers!P244,Mapping!$D$2:$D$99,0))</f>
        <v>4</v>
      </c>
      <c r="Q244" s="8" t="n">
        <f aca="false">INDEX(Mapping!$C$2:$C$99,MATCH(Q$1&amp;"|"&amp;Customers!Q244,Mapping!$D$2:$D$99,0))</f>
        <v>3</v>
      </c>
      <c r="R244" s="8" t="n">
        <f aca="false">INDEX(Mapping!$C$2:$C$99,MATCH(R$1&amp;"|"&amp;Customers!R244,Mapping!$D$2:$D$99,0))</f>
        <v>1</v>
      </c>
      <c r="S244" s="8" t="n">
        <f aca="false">INDEX(Mapping!$C$2:$C$99,MATCH(S$1&amp;"|"&amp;Customers!S244,Mapping!$D$2:$D$99,0))</f>
        <v>3</v>
      </c>
      <c r="T244" s="8" t="n">
        <f aca="false">INDEX(Mapping!$C$2:$C$99,MATCH(T$1&amp;"|"&amp;Customers!T244,Mapping!$D$2:$D$99,0))</f>
        <v>4</v>
      </c>
      <c r="U244" s="8" t="n">
        <f aca="false">INDEX(Mapping!$C$2:$C$99,MATCH(U$1&amp;"|"&amp;Customers!U244,Mapping!$D$2:$D$99,0))</f>
        <v>3</v>
      </c>
      <c r="V244" s="8" t="n">
        <f aca="false">INDEX(Mapping!$C$2:$C$99,MATCH(V$1&amp;"|"&amp;Customers!V244,Mapping!$D$2:$D$99,0))</f>
        <v>1</v>
      </c>
      <c r="W244" s="17" t="n">
        <f aca="false">SUMPRODUCT($C244:$V244,Weights!$C$27:$V$27)</f>
        <v>1.9</v>
      </c>
      <c r="X244" s="18" t="n">
        <f aca="false">ROUND($W244,2)</f>
        <v>1.9</v>
      </c>
      <c r="Y244" s="8" t="str">
        <f aca="false">IF($X244&lt;=2,"Low",IF($X244&lt;=3.49,"Medium","High"))</f>
        <v>Low</v>
      </c>
      <c r="Z244" s="8" t="str">
        <f aca="false">IF(OR($F244&gt;=3,$E244=5,$D244=5,$C244=5,$G244=5,$H244=5,$I244=5,$J244=5,Customers!$W244="Yes"),"Yes","No")</f>
        <v>No</v>
      </c>
      <c r="AA244" s="15" t="str">
        <f aca="false">IF($Z244="Yes","High",$Y244)</f>
        <v>Low</v>
      </c>
      <c r="AB244" s="18" t="n">
        <f aca="false">SUMPRODUCT($C244:$G244,Weights!$C$28:$G$28)</f>
        <v>1</v>
      </c>
      <c r="AC244" s="18" t="n">
        <f aca="false">SUMPRODUCT($H244:$J244,Weights!$H$28:$J$28)</f>
        <v>1.4</v>
      </c>
      <c r="AD244" s="18" t="n">
        <f aca="false">SUMPRODUCT($K244:$N244,Weights!$K$28:$N$28)</f>
        <v>2.7</v>
      </c>
      <c r="AE244" s="18" t="n">
        <f aca="false">SUMPRODUCT($O244:$Q244,Weights!$O$28:$Q$28)</f>
        <v>3.35</v>
      </c>
      <c r="AF244" s="18" t="n">
        <f aca="false">SUMPRODUCT($R244:$V244,Weights!$R$28:$V$28)</f>
        <v>2.5</v>
      </c>
      <c r="AH244" s="18" t="n">
        <f aca="false">SUMPRODUCT($AB244:$AF244,Validation!$D$7:$H$7)</f>
        <v>2.0285714285719</v>
      </c>
      <c r="AI244" s="18" t="n">
        <f aca="false">SUMPRODUCT($AB244:$AF244,Validation!$D$8:$H$8)</f>
        <v>1.7714285714281</v>
      </c>
      <c r="AJ244" s="18" t="n">
        <f aca="false">SUMPRODUCT($AB244:$AF244,Validation!$D$9:$H$9)</f>
        <v>1.96666666666645</v>
      </c>
      <c r="AK244" s="18" t="n">
        <f aca="false">SUMPRODUCT($AB244:$AF244,Validation!$D$10:$H$10)</f>
        <v>1.83333333333355</v>
      </c>
      <c r="AL244" s="18" t="n">
        <f aca="false">SUMPRODUCT($AB244:$AF244,Validation!$D$11:$H$11)</f>
        <v>1.8</v>
      </c>
      <c r="AM244" s="18" t="n">
        <f aca="false">SUMPRODUCT($AB244:$AF244,Validation!$D$12:$H$12)</f>
        <v>2</v>
      </c>
      <c r="AN244" s="18" t="n">
        <f aca="false">SUMPRODUCT($AB244:$AF244,Validation!$D$13:$H$13)</f>
        <v>1.7388888888891</v>
      </c>
      <c r="AO244" s="18" t="n">
        <f aca="false">SUMPRODUCT($AB244:$AF244,Validation!$D$14:$H$14)</f>
        <v>2.0611111111109</v>
      </c>
      <c r="AP244" s="18" t="n">
        <f aca="false">SUMPRODUCT($AB244:$AF244,Validation!$D$15:$H$15)</f>
        <v>1.8294117647056</v>
      </c>
      <c r="AQ244" s="18" t="n">
        <f aca="false">SUMPRODUCT($AB244:$AF244,Validation!$D$16:$H$16)</f>
        <v>1.9705882352944</v>
      </c>
      <c r="AR244" s="8" t="n">
        <f aca="false">COUNTIF($C244:$V244,"&gt;=4")</f>
        <v>4</v>
      </c>
      <c r="AS244" s="8" t="str">
        <f aca="false">IF($X244&lt;=1.6,"Low",IF($X244&lt;=2.2,"Medium","High"))</f>
        <v>Medium</v>
      </c>
      <c r="AT244" s="8" t="str">
        <f aca="false">IF($AR244=0,"Low",IF($AR244&lt;3,"Medium","High"))</f>
        <v>High</v>
      </c>
      <c r="AU244" s="8" t="str">
        <f aca="false">IF(OR($AS244="High",$AT244="High"),"High",IF(OR($AS244="Medium",$AT244="Medium"),"Medium","Low"))</f>
        <v>High</v>
      </c>
      <c r="AV244" s="15" t="str">
        <f aca="false">IF($Z244="Yes","High",$AU244)</f>
        <v>High</v>
      </c>
    </row>
    <row r="245" customFormat="false" ht="15" hidden="false" customHeight="false" outlineLevel="0" collapsed="false">
      <c r="A245" s="7" t="str">
        <f aca="false">Customers!$A245</f>
        <v>NG-10176</v>
      </c>
      <c r="B245" s="7" t="str">
        <f aca="false">Customers!$B245</f>
        <v>Personal</v>
      </c>
      <c r="C245" s="8" t="n">
        <f aca="false">INDEX(Mapping!$C$2:$C$99,MATCH(C$1&amp;"|"&amp;Customers!C245,Mapping!$D$2:$D$99,0))</f>
        <v>2</v>
      </c>
      <c r="D245" s="8" t="n">
        <f aca="false">INDEX(Mapping!$C$2:$C$99,MATCH(D$1&amp;"|"&amp;Customers!D245,Mapping!$D$2:$D$99,0))</f>
        <v>1</v>
      </c>
      <c r="E245" s="8" t="n">
        <f aca="false">INDEX(Mapping!$C$2:$C$99,MATCH(E$1&amp;"|"&amp;Customers!E245,Mapping!$D$2:$D$99,0))</f>
        <v>1</v>
      </c>
      <c r="F245" s="8" t="n">
        <f aca="false">INDEX(Mapping!$C$2:$C$99,MATCH(F$1&amp;"|"&amp;Customers!F245,Mapping!$D$2:$D$99,0))</f>
        <v>1</v>
      </c>
      <c r="G245" s="8" t="n">
        <f aca="false">INDEX(Mapping!$C$2:$C$99,MATCH(G$1&amp;"|"&amp;Customers!G245,Mapping!$D$2:$D$99,0))</f>
        <v>1</v>
      </c>
      <c r="H245" s="8" t="n">
        <f aca="false">INDEX(Mapping!$C$2:$C$99,MATCH(H$1&amp;"|"&amp;Customers!H245,Mapping!$D$2:$D$99,0))</f>
        <v>1</v>
      </c>
      <c r="I245" s="8" t="n">
        <f aca="false">INDEX(Mapping!$C$2:$C$99,MATCH(I$1&amp;"|"&amp;Customers!I245,Mapping!$D$2:$D$99,0))</f>
        <v>1</v>
      </c>
      <c r="J245" s="8" t="n">
        <f aca="false">INDEX(Mapping!$C$2:$C$99,MATCH(J$1&amp;"|"&amp;Customers!J245,Mapping!$D$2:$D$99,0))</f>
        <v>1</v>
      </c>
      <c r="K245" s="8" t="n">
        <f aca="false">INDEX(Mapping!$C$2:$C$99,MATCH(K$1&amp;"|"&amp;Customers!K245,Mapping!$D$2:$D$99,0))</f>
        <v>2</v>
      </c>
      <c r="L245" s="8" t="n">
        <f aca="false">INDEX(Mapping!$C$2:$C$99,MATCH(L$1&amp;"|"&amp;Customers!L245,Mapping!$D$2:$D$99,0))</f>
        <v>4</v>
      </c>
      <c r="M245" s="8" t="n">
        <f aca="false">INDEX(Mapping!$C$2:$C$99,MATCH(M$1&amp;"|"&amp;Customers!M245,Mapping!$D$2:$D$99,0))</f>
        <v>1</v>
      </c>
      <c r="N245" s="8" t="n">
        <f aca="false">INDEX(Mapping!$C$2:$C$99,MATCH(N$1&amp;"|"&amp;Customers!N245,Mapping!$D$2:$D$99,0))</f>
        <v>1</v>
      </c>
      <c r="O245" s="8" t="n">
        <f aca="false">INDEX(Mapping!$C$2:$C$99,MATCH(O$1&amp;"|"&amp;Customers!O245,Mapping!$D$2:$D$99,0))</f>
        <v>3</v>
      </c>
      <c r="P245" s="8" t="n">
        <f aca="false">INDEX(Mapping!$C$2:$C$99,MATCH(P$1&amp;"|"&amp;Customers!P245,Mapping!$D$2:$D$99,0))</f>
        <v>4</v>
      </c>
      <c r="Q245" s="8" t="n">
        <f aca="false">INDEX(Mapping!$C$2:$C$99,MATCH(Q$1&amp;"|"&amp;Customers!Q245,Mapping!$D$2:$D$99,0))</f>
        <v>1</v>
      </c>
      <c r="R245" s="8" t="n">
        <f aca="false">INDEX(Mapping!$C$2:$C$99,MATCH(R$1&amp;"|"&amp;Customers!R245,Mapping!$D$2:$D$99,0))</f>
        <v>2</v>
      </c>
      <c r="S245" s="8" t="n">
        <f aca="false">INDEX(Mapping!$C$2:$C$99,MATCH(S$1&amp;"|"&amp;Customers!S245,Mapping!$D$2:$D$99,0))</f>
        <v>3</v>
      </c>
      <c r="T245" s="8" t="n">
        <f aca="false">INDEX(Mapping!$C$2:$C$99,MATCH(T$1&amp;"|"&amp;Customers!T245,Mapping!$D$2:$D$99,0))</f>
        <v>1</v>
      </c>
      <c r="U245" s="8" t="n">
        <f aca="false">INDEX(Mapping!$C$2:$C$99,MATCH(U$1&amp;"|"&amp;Customers!U245,Mapping!$D$2:$D$99,0))</f>
        <v>1</v>
      </c>
      <c r="V245" s="8" t="n">
        <f aca="false">INDEX(Mapping!$C$2:$C$99,MATCH(V$1&amp;"|"&amp;Customers!V245,Mapping!$D$2:$D$99,0))</f>
        <v>3</v>
      </c>
      <c r="W245" s="17" t="n">
        <f aca="false">SUMPRODUCT($C245:$V245,Weights!$C$27:$V$27)</f>
        <v>1.6325</v>
      </c>
      <c r="X245" s="18" t="n">
        <f aca="false">ROUND($W245,2)</f>
        <v>1.63</v>
      </c>
      <c r="Y245" s="8" t="str">
        <f aca="false">IF($X245&lt;=2,"Low",IF($X245&lt;=3.49,"Medium","High"))</f>
        <v>Low</v>
      </c>
      <c r="Z245" s="8" t="str">
        <f aca="false">IF(OR($F245&gt;=3,$E245=5,$D245=5,$C245=5,$G245=5,$H245=5,$I245=5,$J245=5,Customers!$W245="Yes"),"Yes","No")</f>
        <v>No</v>
      </c>
      <c r="AA245" s="15" t="str">
        <f aca="false">IF($Z245="Yes","High",$Y245)</f>
        <v>Low</v>
      </c>
      <c r="AB245" s="18" t="n">
        <f aca="false">SUMPRODUCT($C245:$G245,Weights!$C$28:$G$28)</f>
        <v>1.2</v>
      </c>
      <c r="AC245" s="18" t="n">
        <f aca="false">SUMPRODUCT($H245:$J245,Weights!$H$28:$J$28)</f>
        <v>1</v>
      </c>
      <c r="AD245" s="18" t="n">
        <f aca="false">SUMPRODUCT($K245:$N245,Weights!$K$28:$N$28)</f>
        <v>2.1</v>
      </c>
      <c r="AE245" s="18" t="n">
        <f aca="false">SUMPRODUCT($O245:$Q245,Weights!$O$28:$Q$28)</f>
        <v>2.95</v>
      </c>
      <c r="AF245" s="18" t="n">
        <f aca="false">SUMPRODUCT($R245:$V245,Weights!$R$28:$V$28)</f>
        <v>2.05</v>
      </c>
      <c r="AH245" s="18" t="n">
        <f aca="false">SUMPRODUCT($AB245:$AF245,Validation!$D$7:$H$7)</f>
        <v>1.69428571428625</v>
      </c>
      <c r="AI245" s="18" t="n">
        <f aca="false">SUMPRODUCT($AB245:$AF245,Validation!$D$8:$H$8)</f>
        <v>1.57071428571375</v>
      </c>
      <c r="AJ245" s="18" t="n">
        <f aca="false">SUMPRODUCT($AB245:$AF245,Validation!$D$9:$H$9)</f>
        <v>1.71683333333305</v>
      </c>
      <c r="AK245" s="18" t="n">
        <f aca="false">SUMPRODUCT($AB245:$AF245,Validation!$D$10:$H$10)</f>
        <v>1.54816666666695</v>
      </c>
      <c r="AL245" s="18" t="n">
        <f aca="false">SUMPRODUCT($AB245:$AF245,Validation!$D$11:$H$11)</f>
        <v>1.5740625</v>
      </c>
      <c r="AM245" s="18" t="n">
        <f aca="false">SUMPRODUCT($AB245:$AF245,Validation!$D$12:$H$12)</f>
        <v>1.6909375</v>
      </c>
      <c r="AN245" s="18" t="n">
        <f aca="false">SUMPRODUCT($AB245:$AF245,Validation!$D$13:$H$13)</f>
        <v>1.48611111111115</v>
      </c>
      <c r="AO245" s="18" t="n">
        <f aca="false">SUMPRODUCT($AB245:$AF245,Validation!$D$14:$H$14)</f>
        <v>1.77888888888885</v>
      </c>
      <c r="AP245" s="18" t="n">
        <f aca="false">SUMPRODUCT($AB245:$AF245,Validation!$D$15:$H$15)</f>
        <v>1.5833823529408</v>
      </c>
      <c r="AQ245" s="18" t="n">
        <f aca="false">SUMPRODUCT($AB245:$AF245,Validation!$D$16:$H$16)</f>
        <v>1.6816176470592</v>
      </c>
      <c r="AR245" s="8" t="n">
        <f aca="false">COUNTIF($C245:$V245,"&gt;=4")</f>
        <v>2</v>
      </c>
      <c r="AS245" s="8" t="str">
        <f aca="false">IF($X245&lt;=1.6,"Low",IF($X245&lt;=2.2,"Medium","High"))</f>
        <v>Medium</v>
      </c>
      <c r="AT245" s="8" t="str">
        <f aca="false">IF($AR245=0,"Low",IF($AR245&lt;3,"Medium","High"))</f>
        <v>Medium</v>
      </c>
      <c r="AU245" s="8" t="str">
        <f aca="false">IF(OR($AS245="High",$AT245="High"),"High",IF(OR($AS245="Medium",$AT245="Medium"),"Medium","Low"))</f>
        <v>Medium</v>
      </c>
      <c r="AV245" s="15" t="str">
        <f aca="false">IF($Z245="Yes","High",$AU245)</f>
        <v>Medium</v>
      </c>
    </row>
    <row r="246" customFormat="false" ht="15" hidden="false" customHeight="false" outlineLevel="0" collapsed="false">
      <c r="A246" s="7" t="str">
        <f aca="false">Customers!$A246</f>
        <v>NG-10226</v>
      </c>
      <c r="B246" s="7" t="str">
        <f aca="false">Customers!$B246</f>
        <v>Personal</v>
      </c>
      <c r="C246" s="8" t="n">
        <f aca="false">INDEX(Mapping!$C$2:$C$99,MATCH(C$1&amp;"|"&amp;Customers!C246,Mapping!$D$2:$D$99,0))</f>
        <v>1</v>
      </c>
      <c r="D246" s="8" t="n">
        <f aca="false">INDEX(Mapping!$C$2:$C$99,MATCH(D$1&amp;"|"&amp;Customers!D246,Mapping!$D$2:$D$99,0))</f>
        <v>1</v>
      </c>
      <c r="E246" s="8" t="n">
        <f aca="false">INDEX(Mapping!$C$2:$C$99,MATCH(E$1&amp;"|"&amp;Customers!E246,Mapping!$D$2:$D$99,0))</f>
        <v>1</v>
      </c>
      <c r="F246" s="8" t="n">
        <f aca="false">INDEX(Mapping!$C$2:$C$99,MATCH(F$1&amp;"|"&amp;Customers!F246,Mapping!$D$2:$D$99,0))</f>
        <v>1</v>
      </c>
      <c r="G246" s="8" t="n">
        <f aca="false">INDEX(Mapping!$C$2:$C$99,MATCH(G$1&amp;"|"&amp;Customers!G246,Mapping!$D$2:$D$99,0))</f>
        <v>1</v>
      </c>
      <c r="H246" s="8" t="n">
        <f aca="false">INDEX(Mapping!$C$2:$C$99,MATCH(H$1&amp;"|"&amp;Customers!H246,Mapping!$D$2:$D$99,0))</f>
        <v>1</v>
      </c>
      <c r="I246" s="8" t="n">
        <f aca="false">INDEX(Mapping!$C$2:$C$99,MATCH(I$1&amp;"|"&amp;Customers!I246,Mapping!$D$2:$D$99,0))</f>
        <v>1</v>
      </c>
      <c r="J246" s="8" t="n">
        <f aca="false">INDEX(Mapping!$C$2:$C$99,MATCH(J$1&amp;"|"&amp;Customers!J246,Mapping!$D$2:$D$99,0))</f>
        <v>1</v>
      </c>
      <c r="K246" s="8" t="n">
        <f aca="false">INDEX(Mapping!$C$2:$C$99,MATCH(K$1&amp;"|"&amp;Customers!K246,Mapping!$D$2:$D$99,0))</f>
        <v>2</v>
      </c>
      <c r="L246" s="8" t="n">
        <f aca="false">INDEX(Mapping!$C$2:$C$99,MATCH(L$1&amp;"|"&amp;Customers!L246,Mapping!$D$2:$D$99,0))</f>
        <v>1</v>
      </c>
      <c r="M246" s="8" t="n">
        <f aca="false">INDEX(Mapping!$C$2:$C$99,MATCH(M$1&amp;"|"&amp;Customers!M246,Mapping!$D$2:$D$99,0))</f>
        <v>1</v>
      </c>
      <c r="N246" s="8" t="n">
        <f aca="false">INDEX(Mapping!$C$2:$C$99,MATCH(N$1&amp;"|"&amp;Customers!N246,Mapping!$D$2:$D$99,0))</f>
        <v>2</v>
      </c>
      <c r="O246" s="8" t="n">
        <f aca="false">INDEX(Mapping!$C$2:$C$99,MATCH(O$1&amp;"|"&amp;Customers!O246,Mapping!$D$2:$D$99,0))</f>
        <v>3</v>
      </c>
      <c r="P246" s="8" t="n">
        <f aca="false">INDEX(Mapping!$C$2:$C$99,MATCH(P$1&amp;"|"&amp;Customers!P246,Mapping!$D$2:$D$99,0))</f>
        <v>1</v>
      </c>
      <c r="Q246" s="8" t="n">
        <f aca="false">INDEX(Mapping!$C$2:$C$99,MATCH(Q$1&amp;"|"&amp;Customers!Q246,Mapping!$D$2:$D$99,0))</f>
        <v>1</v>
      </c>
      <c r="R246" s="8" t="n">
        <f aca="false">INDEX(Mapping!$C$2:$C$99,MATCH(R$1&amp;"|"&amp;Customers!R246,Mapping!$D$2:$D$99,0))</f>
        <v>4</v>
      </c>
      <c r="S246" s="8" t="n">
        <f aca="false">INDEX(Mapping!$C$2:$C$99,MATCH(S$1&amp;"|"&amp;Customers!S246,Mapping!$D$2:$D$99,0))</f>
        <v>1</v>
      </c>
      <c r="T246" s="8" t="n">
        <f aca="false">INDEX(Mapping!$C$2:$C$99,MATCH(T$1&amp;"|"&amp;Customers!T246,Mapping!$D$2:$D$99,0))</f>
        <v>1</v>
      </c>
      <c r="U246" s="8" t="n">
        <f aca="false">INDEX(Mapping!$C$2:$C$99,MATCH(U$1&amp;"|"&amp;Customers!U246,Mapping!$D$2:$D$99,0))</f>
        <v>1</v>
      </c>
      <c r="V246" s="8" t="n">
        <f aca="false">INDEX(Mapping!$C$2:$C$99,MATCH(V$1&amp;"|"&amp;Customers!V246,Mapping!$D$2:$D$99,0))</f>
        <v>2</v>
      </c>
      <c r="W246" s="17" t="n">
        <f aca="false">SUMPRODUCT($C246:$V246,Weights!$C$27:$V$27)</f>
        <v>1.3175</v>
      </c>
      <c r="X246" s="18" t="n">
        <f aca="false">ROUND($W246,2)</f>
        <v>1.32</v>
      </c>
      <c r="Y246" s="8" t="str">
        <f aca="false">IF($X246&lt;=2,"Low",IF($X246&lt;=3.49,"Medium","High"))</f>
        <v>Low</v>
      </c>
      <c r="Z246" s="8" t="str">
        <f aca="false">IF(OR($F246&gt;=3,$E246=5,$D246=5,$C246=5,$G246=5,$H246=5,$I246=5,$J246=5,Customers!$W246="Yes"),"Yes","No")</f>
        <v>No</v>
      </c>
      <c r="AA246" s="15" t="str">
        <f aca="false">IF($Z246="Yes","High",$Y246)</f>
        <v>Low</v>
      </c>
      <c r="AB246" s="18" t="n">
        <f aca="false">SUMPRODUCT($C246:$G246,Weights!$C$28:$G$28)</f>
        <v>1</v>
      </c>
      <c r="AC246" s="18" t="n">
        <f aca="false">SUMPRODUCT($H246:$J246,Weights!$H$28:$J$28)</f>
        <v>1</v>
      </c>
      <c r="AD246" s="18" t="n">
        <f aca="false">SUMPRODUCT($K246:$N246,Weights!$K$28:$N$28)</f>
        <v>1.5</v>
      </c>
      <c r="AE246" s="18" t="n">
        <f aca="false">SUMPRODUCT($O246:$Q246,Weights!$O$28:$Q$28)</f>
        <v>1.9</v>
      </c>
      <c r="AF246" s="18" t="n">
        <f aca="false">SUMPRODUCT($R246:$V246,Weights!$R$28:$V$28)</f>
        <v>1.85</v>
      </c>
      <c r="AH246" s="18" t="n">
        <f aca="false">SUMPRODUCT($AB246:$AF246,Validation!$D$7:$H$7)</f>
        <v>1.36285714285755</v>
      </c>
      <c r="AI246" s="18" t="n">
        <f aca="false">SUMPRODUCT($AB246:$AF246,Validation!$D$8:$H$8)</f>
        <v>1.27214285714245</v>
      </c>
      <c r="AJ246" s="18" t="n">
        <f aca="false">SUMPRODUCT($AB246:$AF246,Validation!$D$9:$H$9)</f>
        <v>1.3598333333332</v>
      </c>
      <c r="AK246" s="18" t="n">
        <f aca="false">SUMPRODUCT($AB246:$AF246,Validation!$D$10:$H$10)</f>
        <v>1.2751666666668</v>
      </c>
      <c r="AL246" s="18" t="n">
        <f aca="false">SUMPRODUCT($AB246:$AF246,Validation!$D$11:$H$11)</f>
        <v>1.2946875</v>
      </c>
      <c r="AM246" s="18" t="n">
        <f aca="false">SUMPRODUCT($AB246:$AF246,Validation!$D$12:$H$12)</f>
        <v>1.3403125</v>
      </c>
      <c r="AN246" s="18" t="n">
        <f aca="false">SUMPRODUCT($AB246:$AF246,Validation!$D$13:$H$13)</f>
        <v>1.25277777777795</v>
      </c>
      <c r="AO246" s="18" t="n">
        <f aca="false">SUMPRODUCT($AB246:$AF246,Validation!$D$14:$H$14)</f>
        <v>1.38222222222205</v>
      </c>
      <c r="AP246" s="18" t="n">
        <f aca="false">SUMPRODUCT($AB246:$AF246,Validation!$D$15:$H$15)</f>
        <v>1.2548529411763</v>
      </c>
      <c r="AQ246" s="18" t="n">
        <f aca="false">SUMPRODUCT($AB246:$AF246,Validation!$D$16:$H$16)</f>
        <v>1.3801470588237</v>
      </c>
      <c r="AR246" s="8" t="n">
        <f aca="false">COUNTIF($C246:$V246,"&gt;=4")</f>
        <v>1</v>
      </c>
      <c r="AS246" s="8" t="str">
        <f aca="false">IF($X246&lt;=1.6,"Low",IF($X246&lt;=2.2,"Medium","High"))</f>
        <v>Low</v>
      </c>
      <c r="AT246" s="8" t="str">
        <f aca="false">IF($AR246=0,"Low",IF($AR246&lt;3,"Medium","High"))</f>
        <v>Medium</v>
      </c>
      <c r="AU246" s="8" t="str">
        <f aca="false">IF(OR($AS246="High",$AT246="High"),"High",IF(OR($AS246="Medium",$AT246="Medium"),"Medium","Low"))</f>
        <v>Medium</v>
      </c>
      <c r="AV246" s="15" t="str">
        <f aca="false">IF($Z246="Yes","High",$AU246)</f>
        <v>Medium</v>
      </c>
    </row>
    <row r="247" customFormat="false" ht="15" hidden="false" customHeight="false" outlineLevel="0" collapsed="false">
      <c r="A247" s="7" t="str">
        <f aca="false">Customers!$A247</f>
        <v>NG-10278</v>
      </c>
      <c r="B247" s="7" t="str">
        <f aca="false">Customers!$B247</f>
        <v>Personal</v>
      </c>
      <c r="C247" s="8" t="n">
        <f aca="false">INDEX(Mapping!$C$2:$C$99,MATCH(C$1&amp;"|"&amp;Customers!C247,Mapping!$D$2:$D$99,0))</f>
        <v>2</v>
      </c>
      <c r="D247" s="8" t="n">
        <f aca="false">INDEX(Mapping!$C$2:$C$99,MATCH(D$1&amp;"|"&amp;Customers!D247,Mapping!$D$2:$D$99,0))</f>
        <v>1</v>
      </c>
      <c r="E247" s="8" t="n">
        <f aca="false">INDEX(Mapping!$C$2:$C$99,MATCH(E$1&amp;"|"&amp;Customers!E247,Mapping!$D$2:$D$99,0))</f>
        <v>4</v>
      </c>
      <c r="F247" s="8" t="n">
        <f aca="false">INDEX(Mapping!$C$2:$C$99,MATCH(F$1&amp;"|"&amp;Customers!F247,Mapping!$D$2:$D$99,0))</f>
        <v>1</v>
      </c>
      <c r="G247" s="8" t="n">
        <f aca="false">INDEX(Mapping!$C$2:$C$99,MATCH(G$1&amp;"|"&amp;Customers!G247,Mapping!$D$2:$D$99,0))</f>
        <v>1</v>
      </c>
      <c r="H247" s="8" t="n">
        <f aca="false">INDEX(Mapping!$C$2:$C$99,MATCH(H$1&amp;"|"&amp;Customers!H247,Mapping!$D$2:$D$99,0))</f>
        <v>1</v>
      </c>
      <c r="I247" s="8" t="n">
        <f aca="false">INDEX(Mapping!$C$2:$C$99,MATCH(I$1&amp;"|"&amp;Customers!I247,Mapping!$D$2:$D$99,0))</f>
        <v>1</v>
      </c>
      <c r="J247" s="8" t="n">
        <f aca="false">INDEX(Mapping!$C$2:$C$99,MATCH(J$1&amp;"|"&amp;Customers!J247,Mapping!$D$2:$D$99,0))</f>
        <v>1</v>
      </c>
      <c r="K247" s="8" t="n">
        <f aca="false">INDEX(Mapping!$C$2:$C$99,MATCH(K$1&amp;"|"&amp;Customers!K247,Mapping!$D$2:$D$99,0))</f>
        <v>3</v>
      </c>
      <c r="L247" s="8" t="n">
        <f aca="false">INDEX(Mapping!$C$2:$C$99,MATCH(L$1&amp;"|"&amp;Customers!L247,Mapping!$D$2:$D$99,0))</f>
        <v>3</v>
      </c>
      <c r="M247" s="8" t="n">
        <f aca="false">INDEX(Mapping!$C$2:$C$99,MATCH(M$1&amp;"|"&amp;Customers!M247,Mapping!$D$2:$D$99,0))</f>
        <v>1</v>
      </c>
      <c r="N247" s="8" t="n">
        <f aca="false">INDEX(Mapping!$C$2:$C$99,MATCH(N$1&amp;"|"&amp;Customers!N247,Mapping!$D$2:$D$99,0))</f>
        <v>2</v>
      </c>
      <c r="O247" s="8" t="n">
        <f aca="false">INDEX(Mapping!$C$2:$C$99,MATCH(O$1&amp;"|"&amp;Customers!O247,Mapping!$D$2:$D$99,0))</f>
        <v>3</v>
      </c>
      <c r="P247" s="8" t="n">
        <f aca="false">INDEX(Mapping!$C$2:$C$99,MATCH(P$1&amp;"|"&amp;Customers!P247,Mapping!$D$2:$D$99,0))</f>
        <v>3</v>
      </c>
      <c r="Q247" s="8" t="n">
        <f aca="false">INDEX(Mapping!$C$2:$C$99,MATCH(Q$1&amp;"|"&amp;Customers!Q247,Mapping!$D$2:$D$99,0))</f>
        <v>3</v>
      </c>
      <c r="R247" s="8" t="n">
        <f aca="false">INDEX(Mapping!$C$2:$C$99,MATCH(R$1&amp;"|"&amp;Customers!R247,Mapping!$D$2:$D$99,0))</f>
        <v>1</v>
      </c>
      <c r="S247" s="8" t="n">
        <f aca="false">INDEX(Mapping!$C$2:$C$99,MATCH(S$1&amp;"|"&amp;Customers!S247,Mapping!$D$2:$D$99,0))</f>
        <v>1</v>
      </c>
      <c r="T247" s="8" t="n">
        <f aca="false">INDEX(Mapping!$C$2:$C$99,MATCH(T$1&amp;"|"&amp;Customers!T247,Mapping!$D$2:$D$99,0))</f>
        <v>2</v>
      </c>
      <c r="U247" s="8" t="n">
        <f aca="false">INDEX(Mapping!$C$2:$C$99,MATCH(U$1&amp;"|"&amp;Customers!U247,Mapping!$D$2:$D$99,0))</f>
        <v>1</v>
      </c>
      <c r="V247" s="8" t="n">
        <f aca="false">INDEX(Mapping!$C$2:$C$99,MATCH(V$1&amp;"|"&amp;Customers!V247,Mapping!$D$2:$D$99,0))</f>
        <v>1</v>
      </c>
      <c r="W247" s="17" t="n">
        <f aca="false">SUMPRODUCT($C247:$V247,Weights!$C$27:$V$27)</f>
        <v>1.785</v>
      </c>
      <c r="X247" s="18" t="n">
        <f aca="false">ROUND($W247,2)</f>
        <v>1.79</v>
      </c>
      <c r="Y247" s="8" t="str">
        <f aca="false">IF($X247&lt;=2,"Low",IF($X247&lt;=3.49,"Medium","High"))</f>
        <v>Low</v>
      </c>
      <c r="Z247" s="8" t="str">
        <f aca="false">IF(OR($F247&gt;=3,$E247=5,$D247=5,$C247=5,$G247=5,$H247=5,$I247=5,$J247=5,Customers!$W247="Yes"),"Yes","No")</f>
        <v>No</v>
      </c>
      <c r="AA247" s="15" t="str">
        <f aca="false">IF($Z247="Yes","High",$Y247)</f>
        <v>Low</v>
      </c>
      <c r="AB247" s="18" t="n">
        <f aca="false">SUMPRODUCT($C247:$G247,Weights!$C$28:$G$28)</f>
        <v>1.95</v>
      </c>
      <c r="AC247" s="18" t="n">
        <f aca="false">SUMPRODUCT($H247:$J247,Weights!$H$28:$J$28)</f>
        <v>1</v>
      </c>
      <c r="AD247" s="18" t="n">
        <f aca="false">SUMPRODUCT($K247:$N247,Weights!$K$28:$N$28)</f>
        <v>2.35</v>
      </c>
      <c r="AE247" s="18" t="n">
        <f aca="false">SUMPRODUCT($O247:$Q247,Weights!$O$28:$Q$28)</f>
        <v>3</v>
      </c>
      <c r="AF247" s="18" t="n">
        <f aca="false">SUMPRODUCT($R247:$V247,Weights!$R$28:$V$28)</f>
        <v>1.2</v>
      </c>
      <c r="AH247" s="18" t="n">
        <f aca="false">SUMPRODUCT($AB247:$AF247,Validation!$D$7:$H$7)</f>
        <v>1.76142857142865</v>
      </c>
      <c r="AI247" s="18" t="n">
        <f aca="false">SUMPRODUCT($AB247:$AF247,Validation!$D$8:$H$8)</f>
        <v>1.80857142857135</v>
      </c>
      <c r="AJ247" s="18" t="n">
        <f aca="false">SUMPRODUCT($AB247:$AF247,Validation!$D$9:$H$9)</f>
        <v>1.88966666666645</v>
      </c>
      <c r="AK247" s="18" t="n">
        <f aca="false">SUMPRODUCT($AB247:$AF247,Validation!$D$10:$H$10)</f>
        <v>1.68033333333355</v>
      </c>
      <c r="AL247" s="18" t="n">
        <f aca="false">SUMPRODUCT($AB247:$AF247,Validation!$D$11:$H$11)</f>
        <v>1.714375</v>
      </c>
      <c r="AM247" s="18" t="n">
        <f aca="false">SUMPRODUCT($AB247:$AF247,Validation!$D$12:$H$12)</f>
        <v>1.855625</v>
      </c>
      <c r="AN247" s="18" t="n">
        <f aca="false">SUMPRODUCT($AB247:$AF247,Validation!$D$13:$H$13)</f>
        <v>1.64999999999945</v>
      </c>
      <c r="AO247" s="18" t="n">
        <f aca="false">SUMPRODUCT($AB247:$AF247,Validation!$D$14:$H$14)</f>
        <v>1.92000000000055</v>
      </c>
      <c r="AP247" s="18" t="n">
        <f aca="false">SUMPRODUCT($AB247:$AF247,Validation!$D$15:$H$15)</f>
        <v>1.8538235294114</v>
      </c>
      <c r="AQ247" s="18" t="n">
        <f aca="false">SUMPRODUCT($AB247:$AF247,Validation!$D$16:$H$16)</f>
        <v>1.7161764705886</v>
      </c>
      <c r="AR247" s="8" t="n">
        <f aca="false">COUNTIF($C247:$V247,"&gt;=4")</f>
        <v>1</v>
      </c>
      <c r="AS247" s="8" t="str">
        <f aca="false">IF($X247&lt;=1.6,"Low",IF($X247&lt;=2.2,"Medium","High"))</f>
        <v>Medium</v>
      </c>
      <c r="AT247" s="8" t="str">
        <f aca="false">IF($AR247=0,"Low",IF($AR247&lt;3,"Medium","High"))</f>
        <v>Medium</v>
      </c>
      <c r="AU247" s="8" t="str">
        <f aca="false">IF(OR($AS247="High",$AT247="High"),"High",IF(OR($AS247="Medium",$AT247="Medium"),"Medium","Low"))</f>
        <v>Medium</v>
      </c>
      <c r="AV247" s="15" t="str">
        <f aca="false">IF($Z247="Yes","High",$AU247)</f>
        <v>Medium</v>
      </c>
    </row>
    <row r="248" customFormat="false" ht="15" hidden="false" customHeight="false" outlineLevel="0" collapsed="false">
      <c r="A248" s="7" t="str">
        <f aca="false">Customers!$A248</f>
        <v>NG-10293</v>
      </c>
      <c r="B248" s="7" t="str">
        <f aca="false">Customers!$B248</f>
        <v>Personal</v>
      </c>
      <c r="C248" s="8" t="n">
        <f aca="false">INDEX(Mapping!$C$2:$C$99,MATCH(C$1&amp;"|"&amp;Customers!C248,Mapping!$D$2:$D$99,0))</f>
        <v>2</v>
      </c>
      <c r="D248" s="8" t="n">
        <f aca="false">INDEX(Mapping!$C$2:$C$99,MATCH(D$1&amp;"|"&amp;Customers!D248,Mapping!$D$2:$D$99,0))</f>
        <v>1</v>
      </c>
      <c r="E248" s="8" t="n">
        <f aca="false">INDEX(Mapping!$C$2:$C$99,MATCH(E$1&amp;"|"&amp;Customers!E248,Mapping!$D$2:$D$99,0))</f>
        <v>1</v>
      </c>
      <c r="F248" s="8" t="n">
        <f aca="false">INDEX(Mapping!$C$2:$C$99,MATCH(F$1&amp;"|"&amp;Customers!F248,Mapping!$D$2:$D$99,0))</f>
        <v>1</v>
      </c>
      <c r="G248" s="8" t="n">
        <f aca="false">INDEX(Mapping!$C$2:$C$99,MATCH(G$1&amp;"|"&amp;Customers!G248,Mapping!$D$2:$D$99,0))</f>
        <v>1</v>
      </c>
      <c r="H248" s="8" t="n">
        <f aca="false">INDEX(Mapping!$C$2:$C$99,MATCH(H$1&amp;"|"&amp;Customers!H248,Mapping!$D$2:$D$99,0))</f>
        <v>1</v>
      </c>
      <c r="I248" s="8" t="n">
        <f aca="false">INDEX(Mapping!$C$2:$C$99,MATCH(I$1&amp;"|"&amp;Customers!I248,Mapping!$D$2:$D$99,0))</f>
        <v>5</v>
      </c>
      <c r="J248" s="8" t="n">
        <f aca="false">INDEX(Mapping!$C$2:$C$99,MATCH(J$1&amp;"|"&amp;Customers!J248,Mapping!$D$2:$D$99,0))</f>
        <v>1</v>
      </c>
      <c r="K248" s="8" t="n">
        <f aca="false">INDEX(Mapping!$C$2:$C$99,MATCH(K$1&amp;"|"&amp;Customers!K248,Mapping!$D$2:$D$99,0))</f>
        <v>3</v>
      </c>
      <c r="L248" s="8" t="n">
        <f aca="false">INDEX(Mapping!$C$2:$C$99,MATCH(L$1&amp;"|"&amp;Customers!L248,Mapping!$D$2:$D$99,0))</f>
        <v>3</v>
      </c>
      <c r="M248" s="8" t="n">
        <f aca="false">INDEX(Mapping!$C$2:$C$99,MATCH(M$1&amp;"|"&amp;Customers!M248,Mapping!$D$2:$D$99,0))</f>
        <v>4</v>
      </c>
      <c r="N248" s="8" t="n">
        <f aca="false">INDEX(Mapping!$C$2:$C$99,MATCH(N$1&amp;"|"&amp;Customers!N248,Mapping!$D$2:$D$99,0))</f>
        <v>1</v>
      </c>
      <c r="O248" s="8" t="n">
        <f aca="false">INDEX(Mapping!$C$2:$C$99,MATCH(O$1&amp;"|"&amp;Customers!O248,Mapping!$D$2:$D$99,0))</f>
        <v>3</v>
      </c>
      <c r="P248" s="8" t="n">
        <f aca="false">INDEX(Mapping!$C$2:$C$99,MATCH(P$1&amp;"|"&amp;Customers!P248,Mapping!$D$2:$D$99,0))</f>
        <v>3</v>
      </c>
      <c r="Q248" s="8" t="n">
        <f aca="false">INDEX(Mapping!$C$2:$C$99,MATCH(Q$1&amp;"|"&amp;Customers!Q248,Mapping!$D$2:$D$99,0))</f>
        <v>3</v>
      </c>
      <c r="R248" s="8" t="n">
        <f aca="false">INDEX(Mapping!$C$2:$C$99,MATCH(R$1&amp;"|"&amp;Customers!R248,Mapping!$D$2:$D$99,0))</f>
        <v>1</v>
      </c>
      <c r="S248" s="8" t="n">
        <f aca="false">INDEX(Mapping!$C$2:$C$99,MATCH(S$1&amp;"|"&amp;Customers!S248,Mapping!$D$2:$D$99,0))</f>
        <v>2</v>
      </c>
      <c r="T248" s="8" t="n">
        <f aca="false">INDEX(Mapping!$C$2:$C$99,MATCH(T$1&amp;"|"&amp;Customers!T248,Mapping!$D$2:$D$99,0))</f>
        <v>4</v>
      </c>
      <c r="U248" s="8" t="n">
        <f aca="false">INDEX(Mapping!$C$2:$C$99,MATCH(U$1&amp;"|"&amp;Customers!U248,Mapping!$D$2:$D$99,0))</f>
        <v>1</v>
      </c>
      <c r="V248" s="8" t="n">
        <f aca="false">INDEX(Mapping!$C$2:$C$99,MATCH(V$1&amp;"|"&amp;Customers!V248,Mapping!$D$2:$D$99,0))</f>
        <v>1</v>
      </c>
      <c r="W248" s="17" t="n">
        <f aca="false">SUMPRODUCT($C248:$V248,Weights!$C$27:$V$27)</f>
        <v>1.985</v>
      </c>
      <c r="X248" s="18" t="n">
        <f aca="false">ROUND($W248,2)</f>
        <v>1.99</v>
      </c>
      <c r="Y248" s="8" t="str">
        <f aca="false">IF($X248&lt;=2,"Low",IF($X248&lt;=3.49,"Medium","High"))</f>
        <v>Low</v>
      </c>
      <c r="Z248" s="8" t="str">
        <f aca="false">IF(OR($F248&gt;=3,$E248=5,$D248=5,$C248=5,$G248=5,$H248=5,$I248=5,$J248=5,Customers!$W248="Yes"),"Yes","No")</f>
        <v>Yes</v>
      </c>
      <c r="AA248" s="15" t="str">
        <f aca="false">IF($Z248="Yes","High",$Y248)</f>
        <v>High</v>
      </c>
      <c r="AB248" s="18" t="n">
        <f aca="false">SUMPRODUCT($C248:$G248,Weights!$C$28:$G$28)</f>
        <v>1.2</v>
      </c>
      <c r="AC248" s="18" t="n">
        <f aca="false">SUMPRODUCT($H248:$J248,Weights!$H$28:$J$28)</f>
        <v>1.8</v>
      </c>
      <c r="AD248" s="18" t="n">
        <f aca="false">SUMPRODUCT($K248:$N248,Weights!$K$28:$N$28)</f>
        <v>2.95</v>
      </c>
      <c r="AE248" s="18" t="n">
        <f aca="false">SUMPRODUCT($O248:$Q248,Weights!$O$28:$Q$28)</f>
        <v>3</v>
      </c>
      <c r="AF248" s="18" t="n">
        <f aca="false">SUMPRODUCT($R248:$V248,Weights!$R$28:$V$28)</f>
        <v>1.9</v>
      </c>
      <c r="AH248" s="18" t="n">
        <f aca="false">SUMPRODUCT($AB248:$AF248,Validation!$D$7:$H$7)</f>
        <v>2.09714285714275</v>
      </c>
      <c r="AI248" s="18" t="n">
        <f aca="false">SUMPRODUCT($AB248:$AF248,Validation!$D$8:$H$8)</f>
        <v>1.87285714285725</v>
      </c>
      <c r="AJ248" s="18" t="n">
        <f aca="false">SUMPRODUCT($AB248:$AF248,Validation!$D$9:$H$9)</f>
        <v>2.00966666666665</v>
      </c>
      <c r="AK248" s="18" t="n">
        <f aca="false">SUMPRODUCT($AB248:$AF248,Validation!$D$10:$H$10)</f>
        <v>1.96033333333335</v>
      </c>
      <c r="AL248" s="18" t="n">
        <f aca="false">SUMPRODUCT($AB248:$AF248,Validation!$D$11:$H$11)</f>
        <v>1.864375</v>
      </c>
      <c r="AM248" s="18" t="n">
        <f aca="false">SUMPRODUCT($AB248:$AF248,Validation!$D$12:$H$12)</f>
        <v>2.105625</v>
      </c>
      <c r="AN248" s="18" t="n">
        <f aca="false">SUMPRODUCT($AB248:$AF248,Validation!$D$13:$H$13)</f>
        <v>1.8722222222222</v>
      </c>
      <c r="AO248" s="18" t="n">
        <f aca="false">SUMPRODUCT($AB248:$AF248,Validation!$D$14:$H$14)</f>
        <v>2.0977777777778</v>
      </c>
      <c r="AP248" s="18" t="n">
        <f aca="false">SUMPRODUCT($AB248:$AF248,Validation!$D$15:$H$15)</f>
        <v>1.99499999999995</v>
      </c>
      <c r="AQ248" s="18" t="n">
        <f aca="false">SUMPRODUCT($AB248:$AF248,Validation!$D$16:$H$16)</f>
        <v>1.97500000000005</v>
      </c>
      <c r="AR248" s="8" t="n">
        <f aca="false">COUNTIF($C248:$V248,"&gt;=4")</f>
        <v>3</v>
      </c>
      <c r="AS248" s="8" t="str">
        <f aca="false">IF($X248&lt;=1.6,"Low",IF($X248&lt;=2.2,"Medium","High"))</f>
        <v>Medium</v>
      </c>
      <c r="AT248" s="8" t="str">
        <f aca="false">IF($AR248=0,"Low",IF($AR248&lt;3,"Medium","High"))</f>
        <v>High</v>
      </c>
      <c r="AU248" s="8" t="str">
        <f aca="false">IF(OR($AS248="High",$AT248="High"),"High",IF(OR($AS248="Medium",$AT248="Medium"),"Medium","Low"))</f>
        <v>High</v>
      </c>
      <c r="AV248" s="15" t="str">
        <f aca="false">IF($Z248="Yes","High",$AU248)</f>
        <v>High</v>
      </c>
    </row>
    <row r="249" customFormat="false" ht="15" hidden="false" customHeight="false" outlineLevel="0" collapsed="false">
      <c r="A249" s="7" t="str">
        <f aca="false">Customers!$A249</f>
        <v>NG-10103</v>
      </c>
      <c r="B249" s="7" t="str">
        <f aca="false">Customers!$B249</f>
        <v>Personal</v>
      </c>
      <c r="C249" s="8" t="n">
        <f aca="false">INDEX(Mapping!$C$2:$C$99,MATCH(C$1&amp;"|"&amp;Customers!C249,Mapping!$D$2:$D$99,0))</f>
        <v>1</v>
      </c>
      <c r="D249" s="8" t="n">
        <f aca="false">INDEX(Mapping!$C$2:$C$99,MATCH(D$1&amp;"|"&amp;Customers!D249,Mapping!$D$2:$D$99,0))</f>
        <v>1</v>
      </c>
      <c r="E249" s="8" t="n">
        <f aca="false">INDEX(Mapping!$C$2:$C$99,MATCH(E$1&amp;"|"&amp;Customers!E249,Mapping!$D$2:$D$99,0))</f>
        <v>2</v>
      </c>
      <c r="F249" s="8" t="n">
        <f aca="false">INDEX(Mapping!$C$2:$C$99,MATCH(F$1&amp;"|"&amp;Customers!F249,Mapping!$D$2:$D$99,0))</f>
        <v>1</v>
      </c>
      <c r="G249" s="8" t="n">
        <f aca="false">INDEX(Mapping!$C$2:$C$99,MATCH(G$1&amp;"|"&amp;Customers!G249,Mapping!$D$2:$D$99,0))</f>
        <v>1</v>
      </c>
      <c r="H249" s="8" t="n">
        <f aca="false">INDEX(Mapping!$C$2:$C$99,MATCH(H$1&amp;"|"&amp;Customers!H249,Mapping!$D$2:$D$99,0))</f>
        <v>1</v>
      </c>
      <c r="I249" s="8" t="n">
        <f aca="false">INDEX(Mapping!$C$2:$C$99,MATCH(I$1&amp;"|"&amp;Customers!I249,Mapping!$D$2:$D$99,0))</f>
        <v>1</v>
      </c>
      <c r="J249" s="8" t="n">
        <f aca="false">INDEX(Mapping!$C$2:$C$99,MATCH(J$1&amp;"|"&amp;Customers!J249,Mapping!$D$2:$D$99,0))</f>
        <v>1</v>
      </c>
      <c r="K249" s="8" t="n">
        <f aca="false">INDEX(Mapping!$C$2:$C$99,MATCH(K$1&amp;"|"&amp;Customers!K249,Mapping!$D$2:$D$99,0))</f>
        <v>3</v>
      </c>
      <c r="L249" s="8" t="n">
        <f aca="false">INDEX(Mapping!$C$2:$C$99,MATCH(L$1&amp;"|"&amp;Customers!L249,Mapping!$D$2:$D$99,0))</f>
        <v>3</v>
      </c>
      <c r="M249" s="8" t="n">
        <f aca="false">INDEX(Mapping!$C$2:$C$99,MATCH(M$1&amp;"|"&amp;Customers!M249,Mapping!$D$2:$D$99,0))</f>
        <v>3</v>
      </c>
      <c r="N249" s="8" t="n">
        <f aca="false">INDEX(Mapping!$C$2:$C$99,MATCH(N$1&amp;"|"&amp;Customers!N249,Mapping!$D$2:$D$99,0))</f>
        <v>1</v>
      </c>
      <c r="O249" s="8" t="n">
        <f aca="false">INDEX(Mapping!$C$2:$C$99,MATCH(O$1&amp;"|"&amp;Customers!O249,Mapping!$D$2:$D$99,0))</f>
        <v>3</v>
      </c>
      <c r="P249" s="8" t="n">
        <f aca="false">INDEX(Mapping!$C$2:$C$99,MATCH(P$1&amp;"|"&amp;Customers!P249,Mapping!$D$2:$D$99,0))</f>
        <v>1</v>
      </c>
      <c r="Q249" s="8" t="n">
        <f aca="false">INDEX(Mapping!$C$2:$C$99,MATCH(Q$1&amp;"|"&amp;Customers!Q249,Mapping!$D$2:$D$99,0))</f>
        <v>1</v>
      </c>
      <c r="R249" s="8" t="n">
        <f aca="false">INDEX(Mapping!$C$2:$C$99,MATCH(R$1&amp;"|"&amp;Customers!R249,Mapping!$D$2:$D$99,0))</f>
        <v>1</v>
      </c>
      <c r="S249" s="8" t="n">
        <f aca="false">INDEX(Mapping!$C$2:$C$99,MATCH(S$1&amp;"|"&amp;Customers!S249,Mapping!$D$2:$D$99,0))</f>
        <v>1</v>
      </c>
      <c r="T249" s="8" t="n">
        <f aca="false">INDEX(Mapping!$C$2:$C$99,MATCH(T$1&amp;"|"&amp;Customers!T249,Mapping!$D$2:$D$99,0))</f>
        <v>1</v>
      </c>
      <c r="U249" s="8" t="n">
        <f aca="false">INDEX(Mapping!$C$2:$C$99,MATCH(U$1&amp;"|"&amp;Customers!U249,Mapping!$D$2:$D$99,0))</f>
        <v>2</v>
      </c>
      <c r="V249" s="8" t="n">
        <f aca="false">INDEX(Mapping!$C$2:$C$99,MATCH(V$1&amp;"|"&amp;Customers!V249,Mapping!$D$2:$D$99,0))</f>
        <v>1</v>
      </c>
      <c r="W249" s="17" t="n">
        <f aca="false">SUMPRODUCT($C249:$V249,Weights!$C$27:$V$27)</f>
        <v>1.5275</v>
      </c>
      <c r="X249" s="18" t="n">
        <f aca="false">ROUND($W249,2)</f>
        <v>1.53</v>
      </c>
      <c r="Y249" s="8" t="str">
        <f aca="false">IF($X249&lt;=2,"Low",IF($X249&lt;=3.49,"Medium","High"))</f>
        <v>Low</v>
      </c>
      <c r="Z249" s="8" t="str">
        <f aca="false">IF(OR($F249&gt;=3,$E249=5,$D249=5,$C249=5,$G249=5,$H249=5,$I249=5,$J249=5,Customers!$W249="Yes"),"Yes","No")</f>
        <v>No</v>
      </c>
      <c r="AA249" s="15" t="str">
        <f aca="false">IF($Z249="Yes","High",$Y249)</f>
        <v>Low</v>
      </c>
      <c r="AB249" s="18" t="n">
        <f aca="false">SUMPRODUCT($C249:$G249,Weights!$C$28:$G$28)</f>
        <v>1.25</v>
      </c>
      <c r="AC249" s="18" t="n">
        <f aca="false">SUMPRODUCT($H249:$J249,Weights!$H$28:$J$28)</f>
        <v>1</v>
      </c>
      <c r="AD249" s="18" t="n">
        <f aca="false">SUMPRODUCT($K249:$N249,Weights!$K$28:$N$28)</f>
        <v>2.7</v>
      </c>
      <c r="AE249" s="18" t="n">
        <f aca="false">SUMPRODUCT($O249:$Q249,Weights!$O$28:$Q$28)</f>
        <v>1.9</v>
      </c>
      <c r="AF249" s="18" t="n">
        <f aca="false">SUMPRODUCT($R249:$V249,Weights!$R$28:$V$28)</f>
        <v>1.15</v>
      </c>
      <c r="AH249" s="18" t="n">
        <f aca="false">SUMPRODUCT($AB249:$AF249,Validation!$D$7:$H$7)</f>
        <v>1.56714285714245</v>
      </c>
      <c r="AI249" s="18" t="n">
        <f aca="false">SUMPRODUCT($AB249:$AF249,Validation!$D$8:$H$8)</f>
        <v>1.48785714285755</v>
      </c>
      <c r="AJ249" s="18" t="n">
        <f aca="false">SUMPRODUCT($AB249:$AF249,Validation!$D$9:$H$9)</f>
        <v>1.5978333333336</v>
      </c>
      <c r="AK249" s="18" t="n">
        <f aca="false">SUMPRODUCT($AB249:$AF249,Validation!$D$10:$H$10)</f>
        <v>1.4571666666664</v>
      </c>
      <c r="AL249" s="18" t="n">
        <f aca="false">SUMPRODUCT($AB249:$AF249,Validation!$D$11:$H$11)</f>
        <v>1.3809375</v>
      </c>
      <c r="AM249" s="18" t="n">
        <f aca="false">SUMPRODUCT($AB249:$AF249,Validation!$D$12:$H$12)</f>
        <v>1.6740625</v>
      </c>
      <c r="AN249" s="18" t="n">
        <f aca="false">SUMPRODUCT($AB249:$AF249,Validation!$D$13:$H$13)</f>
        <v>1.4861111111107</v>
      </c>
      <c r="AO249" s="18" t="n">
        <f aca="false">SUMPRODUCT($AB249:$AF249,Validation!$D$14:$H$14)</f>
        <v>1.5688888888893</v>
      </c>
      <c r="AP249" s="18" t="n">
        <f aca="false">SUMPRODUCT($AB249:$AF249,Validation!$D$15:$H$15)</f>
        <v>1.57191176470605</v>
      </c>
      <c r="AQ249" s="18" t="n">
        <f aca="false">SUMPRODUCT($AB249:$AF249,Validation!$D$16:$H$16)</f>
        <v>1.48308823529395</v>
      </c>
      <c r="AR249" s="8" t="n">
        <f aca="false">COUNTIF($C249:$V249,"&gt;=4")</f>
        <v>0</v>
      </c>
      <c r="AS249" s="8" t="str">
        <f aca="false">IF($X249&lt;=1.6,"Low",IF($X249&lt;=2.2,"Medium","High"))</f>
        <v>Low</v>
      </c>
      <c r="AT249" s="8" t="str">
        <f aca="false">IF($AR249=0,"Low",IF($AR249&lt;3,"Medium","High"))</f>
        <v>Low</v>
      </c>
      <c r="AU249" s="8" t="str">
        <f aca="false">IF(OR($AS249="High",$AT249="High"),"High",IF(OR($AS249="Medium",$AT249="Medium"),"Medium","Low"))</f>
        <v>Low</v>
      </c>
      <c r="AV249" s="15" t="str">
        <f aca="false">IF($Z249="Yes","High",$AU249)</f>
        <v>Low</v>
      </c>
    </row>
    <row r="250" customFormat="false" ht="15" hidden="false" customHeight="false" outlineLevel="0" collapsed="false">
      <c r="A250" s="7" t="str">
        <f aca="false">Customers!$A250</f>
        <v>NG-10210</v>
      </c>
      <c r="B250" s="7" t="str">
        <f aca="false">Customers!$B250</f>
        <v>Personal</v>
      </c>
      <c r="C250" s="8" t="n">
        <f aca="false">INDEX(Mapping!$C$2:$C$99,MATCH(C$1&amp;"|"&amp;Customers!C250,Mapping!$D$2:$D$99,0))</f>
        <v>1</v>
      </c>
      <c r="D250" s="8" t="n">
        <f aca="false">INDEX(Mapping!$C$2:$C$99,MATCH(D$1&amp;"|"&amp;Customers!D250,Mapping!$D$2:$D$99,0))</f>
        <v>1</v>
      </c>
      <c r="E250" s="8" t="n">
        <f aca="false">INDEX(Mapping!$C$2:$C$99,MATCH(E$1&amp;"|"&amp;Customers!E250,Mapping!$D$2:$D$99,0))</f>
        <v>1</v>
      </c>
      <c r="F250" s="8" t="n">
        <f aca="false">INDEX(Mapping!$C$2:$C$99,MATCH(F$1&amp;"|"&amp;Customers!F250,Mapping!$D$2:$D$99,0))</f>
        <v>1</v>
      </c>
      <c r="G250" s="8" t="n">
        <f aca="false">INDEX(Mapping!$C$2:$C$99,MATCH(G$1&amp;"|"&amp;Customers!G250,Mapping!$D$2:$D$99,0))</f>
        <v>1</v>
      </c>
      <c r="H250" s="8" t="n">
        <f aca="false">INDEX(Mapping!$C$2:$C$99,MATCH(H$1&amp;"|"&amp;Customers!H250,Mapping!$D$2:$D$99,0))</f>
        <v>1</v>
      </c>
      <c r="I250" s="8" t="n">
        <f aca="false">INDEX(Mapping!$C$2:$C$99,MATCH(I$1&amp;"|"&amp;Customers!I250,Mapping!$D$2:$D$99,0))</f>
        <v>1</v>
      </c>
      <c r="J250" s="8" t="n">
        <f aca="false">INDEX(Mapping!$C$2:$C$99,MATCH(J$1&amp;"|"&amp;Customers!J250,Mapping!$D$2:$D$99,0))</f>
        <v>1</v>
      </c>
      <c r="K250" s="8" t="n">
        <f aca="false">INDEX(Mapping!$C$2:$C$99,MATCH(K$1&amp;"|"&amp;Customers!K250,Mapping!$D$2:$D$99,0))</f>
        <v>2</v>
      </c>
      <c r="L250" s="8" t="n">
        <f aca="false">INDEX(Mapping!$C$2:$C$99,MATCH(L$1&amp;"|"&amp;Customers!L250,Mapping!$D$2:$D$99,0))</f>
        <v>2</v>
      </c>
      <c r="M250" s="8" t="n">
        <f aca="false">INDEX(Mapping!$C$2:$C$99,MATCH(M$1&amp;"|"&amp;Customers!M250,Mapping!$D$2:$D$99,0))</f>
        <v>2</v>
      </c>
      <c r="N250" s="8" t="n">
        <f aca="false">INDEX(Mapping!$C$2:$C$99,MATCH(N$1&amp;"|"&amp;Customers!N250,Mapping!$D$2:$D$99,0))</f>
        <v>3</v>
      </c>
      <c r="O250" s="8" t="n">
        <f aca="false">INDEX(Mapping!$C$2:$C$99,MATCH(O$1&amp;"|"&amp;Customers!O250,Mapping!$D$2:$D$99,0))</f>
        <v>3</v>
      </c>
      <c r="P250" s="8" t="n">
        <f aca="false">INDEX(Mapping!$C$2:$C$99,MATCH(P$1&amp;"|"&amp;Customers!P250,Mapping!$D$2:$D$99,0))</f>
        <v>3</v>
      </c>
      <c r="Q250" s="8" t="n">
        <f aca="false">INDEX(Mapping!$C$2:$C$99,MATCH(Q$1&amp;"|"&amp;Customers!Q250,Mapping!$D$2:$D$99,0))</f>
        <v>2</v>
      </c>
      <c r="R250" s="8" t="n">
        <f aca="false">INDEX(Mapping!$C$2:$C$99,MATCH(R$1&amp;"|"&amp;Customers!R250,Mapping!$D$2:$D$99,0))</f>
        <v>1</v>
      </c>
      <c r="S250" s="8" t="n">
        <f aca="false">INDEX(Mapping!$C$2:$C$99,MATCH(S$1&amp;"|"&amp;Customers!S250,Mapping!$D$2:$D$99,0))</f>
        <v>2</v>
      </c>
      <c r="T250" s="8" t="n">
        <f aca="false">INDEX(Mapping!$C$2:$C$99,MATCH(T$1&amp;"|"&amp;Customers!T250,Mapping!$D$2:$D$99,0))</f>
        <v>1</v>
      </c>
      <c r="U250" s="8" t="n">
        <f aca="false">INDEX(Mapping!$C$2:$C$99,MATCH(U$1&amp;"|"&amp;Customers!U250,Mapping!$D$2:$D$99,0))</f>
        <v>1</v>
      </c>
      <c r="V250" s="8" t="n">
        <f aca="false">INDEX(Mapping!$C$2:$C$99,MATCH(V$1&amp;"|"&amp;Customers!V250,Mapping!$D$2:$D$99,0))</f>
        <v>1</v>
      </c>
      <c r="W250" s="17" t="n">
        <f aca="false">SUMPRODUCT($C250:$V250,Weights!$C$27:$V$27)</f>
        <v>1.455</v>
      </c>
      <c r="X250" s="18" t="n">
        <f aca="false">ROUND($W250,2)</f>
        <v>1.46</v>
      </c>
      <c r="Y250" s="8" t="str">
        <f aca="false">IF($X250&lt;=2,"Low",IF($X250&lt;=3.49,"Medium","High"))</f>
        <v>Low</v>
      </c>
      <c r="Z250" s="8" t="str">
        <f aca="false">IF(OR($F250&gt;=3,$E250=5,$D250=5,$C250=5,$G250=5,$H250=5,$I250=5,$J250=5,Customers!$W250="Yes"),"Yes","No")</f>
        <v>No</v>
      </c>
      <c r="AA250" s="15" t="str">
        <f aca="false">IF($Z250="Yes","High",$Y250)</f>
        <v>Low</v>
      </c>
      <c r="AB250" s="18" t="n">
        <f aca="false">SUMPRODUCT($C250:$G250,Weights!$C$28:$G$28)</f>
        <v>1</v>
      </c>
      <c r="AC250" s="18" t="n">
        <f aca="false">SUMPRODUCT($H250:$J250,Weights!$H$28:$J$28)</f>
        <v>1</v>
      </c>
      <c r="AD250" s="18" t="n">
        <f aca="false">SUMPRODUCT($K250:$N250,Weights!$K$28:$N$28)</f>
        <v>2.15</v>
      </c>
      <c r="AE250" s="18" t="n">
        <f aca="false">SUMPRODUCT($O250:$Q250,Weights!$O$28:$Q$28)</f>
        <v>2.8</v>
      </c>
      <c r="AF250" s="18" t="n">
        <f aca="false">SUMPRODUCT($R250:$V250,Weights!$R$28:$V$28)</f>
        <v>1.3</v>
      </c>
      <c r="AH250" s="18" t="n">
        <f aca="false">SUMPRODUCT($AB250:$AF250,Validation!$D$7:$H$7)</f>
        <v>1.52000000000015</v>
      </c>
      <c r="AI250" s="18" t="n">
        <f aca="false">SUMPRODUCT($AB250:$AF250,Validation!$D$8:$H$8)</f>
        <v>1.38999999999985</v>
      </c>
      <c r="AJ250" s="18" t="n">
        <f aca="false">SUMPRODUCT($AB250:$AF250,Validation!$D$9:$H$9)</f>
        <v>1.51566666666645</v>
      </c>
      <c r="AK250" s="18" t="n">
        <f aca="false">SUMPRODUCT($AB250:$AF250,Validation!$D$10:$H$10)</f>
        <v>1.39433333333355</v>
      </c>
      <c r="AL250" s="18" t="n">
        <f aca="false">SUMPRODUCT($AB250:$AF250,Validation!$D$11:$H$11)</f>
        <v>1.368125</v>
      </c>
      <c r="AM250" s="18" t="n">
        <f aca="false">SUMPRODUCT($AB250:$AF250,Validation!$D$12:$H$12)</f>
        <v>1.541875</v>
      </c>
      <c r="AN250" s="18" t="n">
        <f aca="false">SUMPRODUCT($AB250:$AF250,Validation!$D$13:$H$13)</f>
        <v>1.3055555555554</v>
      </c>
      <c r="AO250" s="18" t="n">
        <f aca="false">SUMPRODUCT($AB250:$AF250,Validation!$D$14:$H$14)</f>
        <v>1.6044444444446</v>
      </c>
      <c r="AP250" s="18" t="n">
        <f aca="false">SUMPRODUCT($AB250:$AF250,Validation!$D$15:$H$15)</f>
        <v>1.47323529411735</v>
      </c>
      <c r="AQ250" s="18" t="n">
        <f aca="false">SUMPRODUCT($AB250:$AF250,Validation!$D$16:$H$16)</f>
        <v>1.43676470588265</v>
      </c>
      <c r="AR250" s="8" t="n">
        <f aca="false">COUNTIF($C250:$V250,"&gt;=4")</f>
        <v>0</v>
      </c>
      <c r="AS250" s="8" t="str">
        <f aca="false">IF($X250&lt;=1.6,"Low",IF($X250&lt;=2.2,"Medium","High"))</f>
        <v>Low</v>
      </c>
      <c r="AT250" s="8" t="str">
        <f aca="false">IF($AR250=0,"Low",IF($AR250&lt;3,"Medium","High"))</f>
        <v>Low</v>
      </c>
      <c r="AU250" s="8" t="str">
        <f aca="false">IF(OR($AS250="High",$AT250="High"),"High",IF(OR($AS250="Medium",$AT250="Medium"),"Medium","Low"))</f>
        <v>Low</v>
      </c>
      <c r="AV250" s="15" t="str">
        <f aca="false">IF($Z250="Yes","High",$AU250)</f>
        <v>Low</v>
      </c>
    </row>
    <row r="251" customFormat="false" ht="15" hidden="false" customHeight="false" outlineLevel="0" collapsed="false">
      <c r="A251" s="7" t="str">
        <f aca="false">Customers!$A251</f>
        <v>NG-10370</v>
      </c>
      <c r="B251" s="7" t="str">
        <f aca="false">Customers!$B251</f>
        <v>Limited company</v>
      </c>
      <c r="C251" s="8" t="n">
        <f aca="false">INDEX(Mapping!$C$2:$C$99,MATCH(C$1&amp;"|"&amp;Customers!C251,Mapping!$D$2:$D$99,0))</f>
        <v>5</v>
      </c>
      <c r="D251" s="8" t="n">
        <f aca="false">INDEX(Mapping!$C$2:$C$99,MATCH(D$1&amp;"|"&amp;Customers!D251,Mapping!$D$2:$D$99,0))</f>
        <v>2</v>
      </c>
      <c r="E251" s="8" t="n">
        <f aca="false">INDEX(Mapping!$C$2:$C$99,MATCH(E$1&amp;"|"&amp;Customers!E251,Mapping!$D$2:$D$99,0))</f>
        <v>3</v>
      </c>
      <c r="F251" s="8" t="n">
        <f aca="false">INDEX(Mapping!$C$2:$C$99,MATCH(F$1&amp;"|"&amp;Customers!F251,Mapping!$D$2:$D$99,0))</f>
        <v>1</v>
      </c>
      <c r="G251" s="8" t="n">
        <f aca="false">INDEX(Mapping!$C$2:$C$99,MATCH(G$1&amp;"|"&amp;Customers!G251,Mapping!$D$2:$D$99,0))</f>
        <v>1</v>
      </c>
      <c r="H251" s="8" t="n">
        <f aca="false">INDEX(Mapping!$C$2:$C$99,MATCH(H$1&amp;"|"&amp;Customers!H251,Mapping!$D$2:$D$99,0))</f>
        <v>1</v>
      </c>
      <c r="I251" s="8" t="n">
        <f aca="false">INDEX(Mapping!$C$2:$C$99,MATCH(I$1&amp;"|"&amp;Customers!I251,Mapping!$D$2:$D$99,0))</f>
        <v>1</v>
      </c>
      <c r="J251" s="8" t="n">
        <f aca="false">INDEX(Mapping!$C$2:$C$99,MATCH(J$1&amp;"|"&amp;Customers!J251,Mapping!$D$2:$D$99,0))</f>
        <v>2</v>
      </c>
      <c r="K251" s="8" t="n">
        <f aca="false">INDEX(Mapping!$C$2:$C$99,MATCH(K$1&amp;"|"&amp;Customers!K251,Mapping!$D$2:$D$99,0))</f>
        <v>4</v>
      </c>
      <c r="L251" s="8" t="n">
        <f aca="false">INDEX(Mapping!$C$2:$C$99,MATCH(L$1&amp;"|"&amp;Customers!L251,Mapping!$D$2:$D$99,0))</f>
        <v>4</v>
      </c>
      <c r="M251" s="8" t="n">
        <f aca="false">INDEX(Mapping!$C$2:$C$99,MATCH(M$1&amp;"|"&amp;Customers!M251,Mapping!$D$2:$D$99,0))</f>
        <v>1</v>
      </c>
      <c r="N251" s="8" t="n">
        <f aca="false">INDEX(Mapping!$C$2:$C$99,MATCH(N$1&amp;"|"&amp;Customers!N251,Mapping!$D$2:$D$99,0))</f>
        <v>3</v>
      </c>
      <c r="O251" s="8" t="n">
        <f aca="false">INDEX(Mapping!$C$2:$C$99,MATCH(O$1&amp;"|"&amp;Customers!O251,Mapping!$D$2:$D$99,0))</f>
        <v>3</v>
      </c>
      <c r="P251" s="8" t="n">
        <f aca="false">INDEX(Mapping!$C$2:$C$99,MATCH(P$1&amp;"|"&amp;Customers!P251,Mapping!$D$2:$D$99,0))</f>
        <v>4</v>
      </c>
      <c r="Q251" s="8" t="n">
        <f aca="false">INDEX(Mapping!$C$2:$C$99,MATCH(Q$1&amp;"|"&amp;Customers!Q251,Mapping!$D$2:$D$99,0))</f>
        <v>1</v>
      </c>
      <c r="R251" s="8" t="n">
        <f aca="false">INDEX(Mapping!$C$2:$C$99,MATCH(R$1&amp;"|"&amp;Customers!R251,Mapping!$D$2:$D$99,0))</f>
        <v>4</v>
      </c>
      <c r="S251" s="8" t="n">
        <f aca="false">INDEX(Mapping!$C$2:$C$99,MATCH(S$1&amp;"|"&amp;Customers!S251,Mapping!$D$2:$D$99,0))</f>
        <v>1</v>
      </c>
      <c r="T251" s="8" t="n">
        <f aca="false">INDEX(Mapping!$C$2:$C$99,MATCH(T$1&amp;"|"&amp;Customers!T251,Mapping!$D$2:$D$99,0))</f>
        <v>4</v>
      </c>
      <c r="U251" s="8" t="n">
        <f aca="false">INDEX(Mapping!$C$2:$C$99,MATCH(U$1&amp;"|"&amp;Customers!U251,Mapping!$D$2:$D$99,0))</f>
        <v>2</v>
      </c>
      <c r="V251" s="8" t="n">
        <f aca="false">INDEX(Mapping!$C$2:$C$99,MATCH(V$1&amp;"|"&amp;Customers!V251,Mapping!$D$2:$D$99,0))</f>
        <v>1</v>
      </c>
      <c r="W251" s="17" t="n">
        <f aca="false">SUMPRODUCT($C251:$V251,Weights!$C$27:$V$27)</f>
        <v>2.39</v>
      </c>
      <c r="X251" s="18" t="n">
        <f aca="false">ROUND($W251,2)</f>
        <v>2.39</v>
      </c>
      <c r="Y251" s="8" t="str">
        <f aca="false">IF($X251&lt;=2,"Low",IF($X251&lt;=3.49,"Medium","High"))</f>
        <v>Medium</v>
      </c>
      <c r="Z251" s="8" t="str">
        <f aca="false">IF(OR($F251&gt;=3,$E251=5,$D251=5,$C251=5,$G251=5,$H251=5,$I251=5,$J251=5,Customers!$W251="Yes"),"Yes","No")</f>
        <v>Yes</v>
      </c>
      <c r="AA251" s="15" t="str">
        <f aca="false">IF($Z251="Yes","High",$Y251)</f>
        <v>High</v>
      </c>
      <c r="AB251" s="18" t="n">
        <f aca="false">SUMPRODUCT($C251:$G251,Weights!$C$28:$G$28)</f>
        <v>2.5</v>
      </c>
      <c r="AC251" s="18" t="n">
        <f aca="false">SUMPRODUCT($H251:$J251,Weights!$H$28:$J$28)</f>
        <v>1.4</v>
      </c>
      <c r="AD251" s="18" t="n">
        <f aca="false">SUMPRODUCT($K251:$N251,Weights!$K$28:$N$28)</f>
        <v>3.1</v>
      </c>
      <c r="AE251" s="18" t="n">
        <f aca="false">SUMPRODUCT($O251:$Q251,Weights!$O$28:$Q$28)</f>
        <v>2.95</v>
      </c>
      <c r="AF251" s="18" t="n">
        <f aca="false">SUMPRODUCT($R251:$V251,Weights!$R$28:$V$28)</f>
        <v>2.5</v>
      </c>
      <c r="AH251" s="18" t="n">
        <f aca="false">SUMPRODUCT($AB251:$AF251,Validation!$D$7:$H$7)</f>
        <v>2.3742857142859</v>
      </c>
      <c r="AI251" s="18" t="n">
        <f aca="false">SUMPRODUCT($AB251:$AF251,Validation!$D$8:$H$8)</f>
        <v>2.4057142857141</v>
      </c>
      <c r="AJ251" s="18" t="n">
        <f aca="false">SUMPRODUCT($AB251:$AF251,Validation!$D$9:$H$9)</f>
        <v>2.52200000000005</v>
      </c>
      <c r="AK251" s="18" t="n">
        <f aca="false">SUMPRODUCT($AB251:$AF251,Validation!$D$10:$H$10)</f>
        <v>2.25799999999995</v>
      </c>
      <c r="AL251" s="18" t="n">
        <f aca="false">SUMPRODUCT($AB251:$AF251,Validation!$D$11:$H$11)</f>
        <v>2.30125</v>
      </c>
      <c r="AM251" s="18" t="n">
        <f aca="false">SUMPRODUCT($AB251:$AF251,Validation!$D$12:$H$12)</f>
        <v>2.47875</v>
      </c>
      <c r="AN251" s="18" t="n">
        <f aca="false">SUMPRODUCT($AB251:$AF251,Validation!$D$13:$H$13)</f>
        <v>2.3277777777774</v>
      </c>
      <c r="AO251" s="18" t="n">
        <f aca="false">SUMPRODUCT($AB251:$AF251,Validation!$D$14:$H$14)</f>
        <v>2.4522222222226</v>
      </c>
      <c r="AP251" s="18" t="n">
        <f aca="false">SUMPRODUCT($AB251:$AF251,Validation!$D$15:$H$15)</f>
        <v>2.3770588235293</v>
      </c>
      <c r="AQ251" s="18" t="n">
        <f aca="false">SUMPRODUCT($AB251:$AF251,Validation!$D$16:$H$16)</f>
        <v>2.4029411764707</v>
      </c>
      <c r="AR251" s="8" t="n">
        <f aca="false">COUNTIF($C251:$V251,"&gt;=4")</f>
        <v>6</v>
      </c>
      <c r="AS251" s="8" t="str">
        <f aca="false">IF($X251&lt;=1.6,"Low",IF($X251&lt;=2.2,"Medium","High"))</f>
        <v>High</v>
      </c>
      <c r="AT251" s="8" t="str">
        <f aca="false">IF($AR251=0,"Low",IF($AR251&lt;3,"Medium","High"))</f>
        <v>High</v>
      </c>
      <c r="AU251" s="8" t="str">
        <f aca="false">IF(OR($AS251="High",$AT251="High"),"High",IF(OR($AS251="Medium",$AT251="Medium"),"Medium","Low"))</f>
        <v>High</v>
      </c>
      <c r="AV251" s="15" t="str">
        <f aca="false">IF($Z251="Yes","High",$AU251)</f>
        <v>High</v>
      </c>
    </row>
    <row r="252" customFormat="false" ht="15" hidden="false" customHeight="false" outlineLevel="0" collapsed="false">
      <c r="A252" s="7" t="str">
        <f aca="false">Customers!$A252</f>
        <v>NG-10244</v>
      </c>
      <c r="B252" s="7" t="str">
        <f aca="false">Customers!$B252</f>
        <v>Personal</v>
      </c>
      <c r="C252" s="8" t="n">
        <f aca="false">INDEX(Mapping!$C$2:$C$99,MATCH(C$1&amp;"|"&amp;Customers!C252,Mapping!$D$2:$D$99,0))</f>
        <v>1</v>
      </c>
      <c r="D252" s="8" t="n">
        <f aca="false">INDEX(Mapping!$C$2:$C$99,MATCH(D$1&amp;"|"&amp;Customers!D252,Mapping!$D$2:$D$99,0))</f>
        <v>1</v>
      </c>
      <c r="E252" s="8" t="n">
        <f aca="false">INDEX(Mapping!$C$2:$C$99,MATCH(E$1&amp;"|"&amp;Customers!E252,Mapping!$D$2:$D$99,0))</f>
        <v>4</v>
      </c>
      <c r="F252" s="8" t="n">
        <f aca="false">INDEX(Mapping!$C$2:$C$99,MATCH(F$1&amp;"|"&amp;Customers!F252,Mapping!$D$2:$D$99,0))</f>
        <v>1</v>
      </c>
      <c r="G252" s="8" t="n">
        <f aca="false">INDEX(Mapping!$C$2:$C$99,MATCH(G$1&amp;"|"&amp;Customers!G252,Mapping!$D$2:$D$99,0))</f>
        <v>3</v>
      </c>
      <c r="H252" s="8" t="n">
        <f aca="false">INDEX(Mapping!$C$2:$C$99,MATCH(H$1&amp;"|"&amp;Customers!H252,Mapping!$D$2:$D$99,0))</f>
        <v>1</v>
      </c>
      <c r="I252" s="8" t="n">
        <f aca="false">INDEX(Mapping!$C$2:$C$99,MATCH(I$1&amp;"|"&amp;Customers!I252,Mapping!$D$2:$D$99,0))</f>
        <v>1</v>
      </c>
      <c r="J252" s="8" t="n">
        <f aca="false">INDEX(Mapping!$C$2:$C$99,MATCH(J$1&amp;"|"&amp;Customers!J252,Mapping!$D$2:$D$99,0))</f>
        <v>1</v>
      </c>
      <c r="K252" s="8" t="n">
        <f aca="false">INDEX(Mapping!$C$2:$C$99,MATCH(K$1&amp;"|"&amp;Customers!K252,Mapping!$D$2:$D$99,0))</f>
        <v>2</v>
      </c>
      <c r="L252" s="8" t="n">
        <f aca="false">INDEX(Mapping!$C$2:$C$99,MATCH(L$1&amp;"|"&amp;Customers!L252,Mapping!$D$2:$D$99,0))</f>
        <v>3</v>
      </c>
      <c r="M252" s="8" t="n">
        <f aca="false">INDEX(Mapping!$C$2:$C$99,MATCH(M$1&amp;"|"&amp;Customers!M252,Mapping!$D$2:$D$99,0))</f>
        <v>1</v>
      </c>
      <c r="N252" s="8" t="n">
        <f aca="false">INDEX(Mapping!$C$2:$C$99,MATCH(N$1&amp;"|"&amp;Customers!N252,Mapping!$D$2:$D$99,0))</f>
        <v>1</v>
      </c>
      <c r="O252" s="8" t="n">
        <f aca="false">INDEX(Mapping!$C$2:$C$99,MATCH(O$1&amp;"|"&amp;Customers!O252,Mapping!$D$2:$D$99,0))</f>
        <v>1</v>
      </c>
      <c r="P252" s="8" t="n">
        <f aca="false">INDEX(Mapping!$C$2:$C$99,MATCH(P$1&amp;"|"&amp;Customers!P252,Mapping!$D$2:$D$99,0))</f>
        <v>4</v>
      </c>
      <c r="Q252" s="8" t="n">
        <f aca="false">INDEX(Mapping!$C$2:$C$99,MATCH(Q$1&amp;"|"&amp;Customers!Q252,Mapping!$D$2:$D$99,0))</f>
        <v>1</v>
      </c>
      <c r="R252" s="8" t="n">
        <f aca="false">INDEX(Mapping!$C$2:$C$99,MATCH(R$1&amp;"|"&amp;Customers!R252,Mapping!$D$2:$D$99,0))</f>
        <v>1</v>
      </c>
      <c r="S252" s="8" t="n">
        <f aca="false">INDEX(Mapping!$C$2:$C$99,MATCH(S$1&amp;"|"&amp;Customers!S252,Mapping!$D$2:$D$99,0))</f>
        <v>3</v>
      </c>
      <c r="T252" s="8" t="n">
        <f aca="false">INDEX(Mapping!$C$2:$C$99,MATCH(T$1&amp;"|"&amp;Customers!T252,Mapping!$D$2:$D$99,0))</f>
        <v>3</v>
      </c>
      <c r="U252" s="8" t="n">
        <f aca="false">INDEX(Mapping!$C$2:$C$99,MATCH(U$1&amp;"|"&amp;Customers!U252,Mapping!$D$2:$D$99,0))</f>
        <v>1</v>
      </c>
      <c r="V252" s="8" t="n">
        <f aca="false">INDEX(Mapping!$C$2:$C$99,MATCH(V$1&amp;"|"&amp;Customers!V252,Mapping!$D$2:$D$99,0))</f>
        <v>1</v>
      </c>
      <c r="W252" s="17" t="n">
        <f aca="false">SUMPRODUCT($C252:$V252,Weights!$C$27:$V$27)</f>
        <v>1.74</v>
      </c>
      <c r="X252" s="18" t="n">
        <f aca="false">ROUND($W252,2)</f>
        <v>1.74</v>
      </c>
      <c r="Y252" s="8" t="str">
        <f aca="false">IF($X252&lt;=2,"Low",IF($X252&lt;=3.49,"Medium","High"))</f>
        <v>Low</v>
      </c>
      <c r="Z252" s="8" t="str">
        <f aca="false">IF(OR($F252&gt;=3,$E252=5,$D252=5,$C252=5,$G252=5,$H252=5,$I252=5,$J252=5,Customers!$W252="Yes"),"Yes","No")</f>
        <v>No</v>
      </c>
      <c r="AA252" s="15" t="str">
        <f aca="false">IF($Z252="Yes","High",$Y252)</f>
        <v>Low</v>
      </c>
      <c r="AB252" s="18" t="n">
        <f aca="false">SUMPRODUCT($C252:$G252,Weights!$C$28:$G$28)</f>
        <v>2.05</v>
      </c>
      <c r="AC252" s="18" t="n">
        <f aca="false">SUMPRODUCT($H252:$J252,Weights!$H$28:$J$28)</f>
        <v>1</v>
      </c>
      <c r="AD252" s="18" t="n">
        <f aca="false">SUMPRODUCT($K252:$N252,Weights!$K$28:$N$28)</f>
        <v>1.85</v>
      </c>
      <c r="AE252" s="18" t="n">
        <f aca="false">SUMPRODUCT($O252:$Q252,Weights!$O$28:$Q$28)</f>
        <v>2.05</v>
      </c>
      <c r="AF252" s="18" t="n">
        <f aca="false">SUMPRODUCT($R252:$V252,Weights!$R$28:$V$28)</f>
        <v>2</v>
      </c>
      <c r="AH252" s="18" t="n">
        <f aca="false">SUMPRODUCT($AB252:$AF252,Validation!$D$7:$H$7)</f>
        <v>1.69571428571465</v>
      </c>
      <c r="AI252" s="18" t="n">
        <f aca="false">SUMPRODUCT($AB252:$AF252,Validation!$D$8:$H$8)</f>
        <v>1.78428571428535</v>
      </c>
      <c r="AJ252" s="18" t="n">
        <f aca="false">SUMPRODUCT($AB252:$AF252,Validation!$D$9:$H$9)</f>
        <v>1.8386666666666</v>
      </c>
      <c r="AK252" s="18" t="n">
        <f aca="false">SUMPRODUCT($AB252:$AF252,Validation!$D$10:$H$10)</f>
        <v>1.6413333333334</v>
      </c>
      <c r="AL252" s="18" t="n">
        <f aca="false">SUMPRODUCT($AB252:$AF252,Validation!$D$11:$H$11)</f>
        <v>1.72625</v>
      </c>
      <c r="AM252" s="18" t="n">
        <f aca="false">SUMPRODUCT($AB252:$AF252,Validation!$D$12:$H$12)</f>
        <v>1.75375</v>
      </c>
      <c r="AN252" s="18" t="n">
        <f aca="false">SUMPRODUCT($AB252:$AF252,Validation!$D$13:$H$13)</f>
        <v>1.70555555555535</v>
      </c>
      <c r="AO252" s="18" t="n">
        <f aca="false">SUMPRODUCT($AB252:$AF252,Validation!$D$14:$H$14)</f>
        <v>1.77444444444465</v>
      </c>
      <c r="AP252" s="18" t="n">
        <f aca="false">SUMPRODUCT($AB252:$AF252,Validation!$D$15:$H$15)</f>
        <v>1.7094117647057</v>
      </c>
      <c r="AQ252" s="18" t="n">
        <f aca="false">SUMPRODUCT($AB252:$AF252,Validation!$D$16:$H$16)</f>
        <v>1.7705882352943</v>
      </c>
      <c r="AR252" s="8" t="n">
        <f aca="false">COUNTIF($C252:$V252,"&gt;=4")</f>
        <v>2</v>
      </c>
      <c r="AS252" s="8" t="str">
        <f aca="false">IF($X252&lt;=1.6,"Low",IF($X252&lt;=2.2,"Medium","High"))</f>
        <v>Medium</v>
      </c>
      <c r="AT252" s="8" t="str">
        <f aca="false">IF($AR252=0,"Low",IF($AR252&lt;3,"Medium","High"))</f>
        <v>Medium</v>
      </c>
      <c r="AU252" s="8" t="str">
        <f aca="false">IF(OR($AS252="High",$AT252="High"),"High",IF(OR($AS252="Medium",$AT252="Medium"),"Medium","Low"))</f>
        <v>Medium</v>
      </c>
      <c r="AV252" s="15" t="str">
        <f aca="false">IF($Z252="Yes","High",$AU252)</f>
        <v>Medium</v>
      </c>
    </row>
    <row r="253" customFormat="false" ht="15" hidden="false" customHeight="false" outlineLevel="0" collapsed="false">
      <c r="A253" s="7" t="str">
        <f aca="false">Customers!$A253</f>
        <v>NG-10059</v>
      </c>
      <c r="B253" s="7" t="str">
        <f aca="false">Customers!$B253</f>
        <v>Personal</v>
      </c>
      <c r="C253" s="8" t="n">
        <f aca="false">INDEX(Mapping!$C$2:$C$99,MATCH(C$1&amp;"|"&amp;Customers!C253,Mapping!$D$2:$D$99,0))</f>
        <v>1</v>
      </c>
      <c r="D253" s="8" t="n">
        <f aca="false">INDEX(Mapping!$C$2:$C$99,MATCH(D$1&amp;"|"&amp;Customers!D253,Mapping!$D$2:$D$99,0))</f>
        <v>1</v>
      </c>
      <c r="E253" s="8" t="n">
        <f aca="false">INDEX(Mapping!$C$2:$C$99,MATCH(E$1&amp;"|"&amp;Customers!E253,Mapping!$D$2:$D$99,0))</f>
        <v>3</v>
      </c>
      <c r="F253" s="8" t="n">
        <f aca="false">INDEX(Mapping!$C$2:$C$99,MATCH(F$1&amp;"|"&amp;Customers!F253,Mapping!$D$2:$D$99,0))</f>
        <v>1</v>
      </c>
      <c r="G253" s="8" t="n">
        <f aca="false">INDEX(Mapping!$C$2:$C$99,MATCH(G$1&amp;"|"&amp;Customers!G253,Mapping!$D$2:$D$99,0))</f>
        <v>1</v>
      </c>
      <c r="H253" s="8" t="n">
        <f aca="false">INDEX(Mapping!$C$2:$C$99,MATCH(H$1&amp;"|"&amp;Customers!H253,Mapping!$D$2:$D$99,0))</f>
        <v>1</v>
      </c>
      <c r="I253" s="8" t="n">
        <f aca="false">INDEX(Mapping!$C$2:$C$99,MATCH(I$1&amp;"|"&amp;Customers!I253,Mapping!$D$2:$D$99,0))</f>
        <v>4</v>
      </c>
      <c r="J253" s="8" t="n">
        <f aca="false">INDEX(Mapping!$C$2:$C$99,MATCH(J$1&amp;"|"&amp;Customers!J253,Mapping!$D$2:$D$99,0))</f>
        <v>1</v>
      </c>
      <c r="K253" s="8" t="n">
        <f aca="false">INDEX(Mapping!$C$2:$C$99,MATCH(K$1&amp;"|"&amp;Customers!K253,Mapping!$D$2:$D$99,0))</f>
        <v>2</v>
      </c>
      <c r="L253" s="8" t="n">
        <f aca="false">INDEX(Mapping!$C$2:$C$99,MATCH(L$1&amp;"|"&amp;Customers!L253,Mapping!$D$2:$D$99,0))</f>
        <v>2</v>
      </c>
      <c r="M253" s="8" t="n">
        <f aca="false">INDEX(Mapping!$C$2:$C$99,MATCH(M$1&amp;"|"&amp;Customers!M253,Mapping!$D$2:$D$99,0))</f>
        <v>1</v>
      </c>
      <c r="N253" s="8" t="n">
        <f aca="false">INDEX(Mapping!$C$2:$C$99,MATCH(N$1&amp;"|"&amp;Customers!N253,Mapping!$D$2:$D$99,0))</f>
        <v>1</v>
      </c>
      <c r="O253" s="8" t="n">
        <f aca="false">INDEX(Mapping!$C$2:$C$99,MATCH(O$1&amp;"|"&amp;Customers!O253,Mapping!$D$2:$D$99,0))</f>
        <v>4</v>
      </c>
      <c r="P253" s="8" t="n">
        <f aca="false">INDEX(Mapping!$C$2:$C$99,MATCH(P$1&amp;"|"&amp;Customers!P253,Mapping!$D$2:$D$99,0))</f>
        <v>3</v>
      </c>
      <c r="Q253" s="8" t="n">
        <f aca="false">INDEX(Mapping!$C$2:$C$99,MATCH(Q$1&amp;"|"&amp;Customers!Q253,Mapping!$D$2:$D$99,0))</f>
        <v>1</v>
      </c>
      <c r="R253" s="8" t="n">
        <f aca="false">INDEX(Mapping!$C$2:$C$99,MATCH(R$1&amp;"|"&amp;Customers!R253,Mapping!$D$2:$D$99,0))</f>
        <v>1</v>
      </c>
      <c r="S253" s="8" t="n">
        <f aca="false">INDEX(Mapping!$C$2:$C$99,MATCH(S$1&amp;"|"&amp;Customers!S253,Mapping!$D$2:$D$99,0))</f>
        <v>1</v>
      </c>
      <c r="T253" s="8" t="n">
        <f aca="false">INDEX(Mapping!$C$2:$C$99,MATCH(T$1&amp;"|"&amp;Customers!T253,Mapping!$D$2:$D$99,0))</f>
        <v>1</v>
      </c>
      <c r="U253" s="8" t="n">
        <f aca="false">INDEX(Mapping!$C$2:$C$99,MATCH(U$1&amp;"|"&amp;Customers!U253,Mapping!$D$2:$D$99,0))</f>
        <v>1</v>
      </c>
      <c r="V253" s="8" t="n">
        <f aca="false">INDEX(Mapping!$C$2:$C$99,MATCH(V$1&amp;"|"&amp;Customers!V253,Mapping!$D$2:$D$99,0))</f>
        <v>2</v>
      </c>
      <c r="W253" s="17" t="n">
        <f aca="false">SUMPRODUCT($C253:$V253,Weights!$C$27:$V$27)</f>
        <v>1.64</v>
      </c>
      <c r="X253" s="18" t="n">
        <f aca="false">ROUND($W253,2)</f>
        <v>1.64</v>
      </c>
      <c r="Y253" s="8" t="str">
        <f aca="false">IF($X253&lt;=2,"Low",IF($X253&lt;=3.49,"Medium","High"))</f>
        <v>Low</v>
      </c>
      <c r="Z253" s="8" t="str">
        <f aca="false">IF(OR($F253&gt;=3,$E253=5,$D253=5,$C253=5,$G253=5,$H253=5,$I253=5,$J253=5,Customers!$W253="Yes"),"Yes","No")</f>
        <v>No</v>
      </c>
      <c r="AA253" s="15" t="str">
        <f aca="false">IF($Z253="Yes","High",$Y253)</f>
        <v>Low</v>
      </c>
      <c r="AB253" s="18" t="n">
        <f aca="false">SUMPRODUCT($C253:$G253,Weights!$C$28:$G$28)</f>
        <v>1.5</v>
      </c>
      <c r="AC253" s="18" t="n">
        <f aca="false">SUMPRODUCT($H253:$J253,Weights!$H$28:$J$28)</f>
        <v>1.6</v>
      </c>
      <c r="AD253" s="18" t="n">
        <f aca="false">SUMPRODUCT($K253:$N253,Weights!$K$28:$N$28)</f>
        <v>1.6</v>
      </c>
      <c r="AE253" s="18" t="n">
        <f aca="false">SUMPRODUCT($O253:$Q253,Weights!$O$28:$Q$28)</f>
        <v>3.05</v>
      </c>
      <c r="AF253" s="18" t="n">
        <f aca="false">SUMPRODUCT($R253:$V253,Weights!$R$28:$V$28)</f>
        <v>1.1</v>
      </c>
      <c r="AH253" s="18" t="n">
        <f aca="false">SUMPRODUCT($AB253:$AF253,Validation!$D$7:$H$7)</f>
        <v>1.6600000000002</v>
      </c>
      <c r="AI253" s="18" t="n">
        <f aca="false">SUMPRODUCT($AB253:$AF253,Validation!$D$8:$H$8)</f>
        <v>1.6199999999998</v>
      </c>
      <c r="AJ253" s="18" t="n">
        <f aca="false">SUMPRODUCT($AB253:$AF253,Validation!$D$9:$H$9)</f>
        <v>1.64533333333285</v>
      </c>
      <c r="AK253" s="18" t="n">
        <f aca="false">SUMPRODUCT($AB253:$AF253,Validation!$D$10:$H$10)</f>
        <v>1.63466666666715</v>
      </c>
      <c r="AL253" s="18" t="n">
        <f aca="false">SUMPRODUCT($AB253:$AF253,Validation!$D$11:$H$11)</f>
        <v>1.645</v>
      </c>
      <c r="AM253" s="18" t="n">
        <f aca="false">SUMPRODUCT($AB253:$AF253,Validation!$D$12:$H$12)</f>
        <v>1.635</v>
      </c>
      <c r="AN253" s="18" t="n">
        <f aca="false">SUMPRODUCT($AB253:$AF253,Validation!$D$13:$H$13)</f>
        <v>1.4833333333332</v>
      </c>
      <c r="AO253" s="18" t="n">
        <f aca="false">SUMPRODUCT($AB253:$AF253,Validation!$D$14:$H$14)</f>
        <v>1.7966666666668</v>
      </c>
      <c r="AP253" s="18" t="n">
        <f aca="false">SUMPRODUCT($AB253:$AF253,Validation!$D$15:$H$15)</f>
        <v>1.7035294117642</v>
      </c>
      <c r="AQ253" s="18" t="n">
        <f aca="false">SUMPRODUCT($AB253:$AF253,Validation!$D$16:$H$16)</f>
        <v>1.5764705882358</v>
      </c>
      <c r="AR253" s="8" t="n">
        <f aca="false">COUNTIF($C253:$V253,"&gt;=4")</f>
        <v>2</v>
      </c>
      <c r="AS253" s="8" t="str">
        <f aca="false">IF($X253&lt;=1.6,"Low",IF($X253&lt;=2.2,"Medium","High"))</f>
        <v>Medium</v>
      </c>
      <c r="AT253" s="8" t="str">
        <f aca="false">IF($AR253=0,"Low",IF($AR253&lt;3,"Medium","High"))</f>
        <v>Medium</v>
      </c>
      <c r="AU253" s="8" t="str">
        <f aca="false">IF(OR($AS253="High",$AT253="High"),"High",IF(OR($AS253="Medium",$AT253="Medium"),"Medium","Low"))</f>
        <v>Medium</v>
      </c>
      <c r="AV253" s="15" t="str">
        <f aca="false">IF($Z253="Yes","High",$AU253)</f>
        <v>Medium</v>
      </c>
    </row>
    <row r="254" customFormat="false" ht="15" hidden="false" customHeight="false" outlineLevel="0" collapsed="false">
      <c r="A254" s="7" t="str">
        <f aca="false">Customers!$A254</f>
        <v>NG-10181</v>
      </c>
      <c r="B254" s="7" t="str">
        <f aca="false">Customers!$B254</f>
        <v>Personal</v>
      </c>
      <c r="C254" s="8" t="n">
        <f aca="false">INDEX(Mapping!$C$2:$C$99,MATCH(C$1&amp;"|"&amp;Customers!C254,Mapping!$D$2:$D$99,0))</f>
        <v>1</v>
      </c>
      <c r="D254" s="8" t="n">
        <f aca="false">INDEX(Mapping!$C$2:$C$99,MATCH(D$1&amp;"|"&amp;Customers!D254,Mapping!$D$2:$D$99,0))</f>
        <v>1</v>
      </c>
      <c r="E254" s="8" t="n">
        <f aca="false">INDEX(Mapping!$C$2:$C$99,MATCH(E$1&amp;"|"&amp;Customers!E254,Mapping!$D$2:$D$99,0))</f>
        <v>1</v>
      </c>
      <c r="F254" s="8" t="n">
        <f aca="false">INDEX(Mapping!$C$2:$C$99,MATCH(F$1&amp;"|"&amp;Customers!F254,Mapping!$D$2:$D$99,0))</f>
        <v>1</v>
      </c>
      <c r="G254" s="8" t="n">
        <f aca="false">INDEX(Mapping!$C$2:$C$99,MATCH(G$1&amp;"|"&amp;Customers!G254,Mapping!$D$2:$D$99,0))</f>
        <v>1</v>
      </c>
      <c r="H254" s="8" t="n">
        <f aca="false">INDEX(Mapping!$C$2:$C$99,MATCH(H$1&amp;"|"&amp;Customers!H254,Mapping!$D$2:$D$99,0))</f>
        <v>1</v>
      </c>
      <c r="I254" s="8" t="n">
        <f aca="false">INDEX(Mapping!$C$2:$C$99,MATCH(I$1&amp;"|"&amp;Customers!I254,Mapping!$D$2:$D$99,0))</f>
        <v>1</v>
      </c>
      <c r="J254" s="8" t="n">
        <f aca="false">INDEX(Mapping!$C$2:$C$99,MATCH(J$1&amp;"|"&amp;Customers!J254,Mapping!$D$2:$D$99,0))</f>
        <v>1</v>
      </c>
      <c r="K254" s="8" t="n">
        <f aca="false">INDEX(Mapping!$C$2:$C$99,MATCH(K$1&amp;"|"&amp;Customers!K254,Mapping!$D$2:$D$99,0))</f>
        <v>3</v>
      </c>
      <c r="L254" s="8" t="n">
        <f aca="false">INDEX(Mapping!$C$2:$C$99,MATCH(L$1&amp;"|"&amp;Customers!L254,Mapping!$D$2:$D$99,0))</f>
        <v>3</v>
      </c>
      <c r="M254" s="8" t="n">
        <f aca="false">INDEX(Mapping!$C$2:$C$99,MATCH(M$1&amp;"|"&amp;Customers!M254,Mapping!$D$2:$D$99,0))</f>
        <v>2</v>
      </c>
      <c r="N254" s="8" t="n">
        <f aca="false">INDEX(Mapping!$C$2:$C$99,MATCH(N$1&amp;"|"&amp;Customers!N254,Mapping!$D$2:$D$99,0))</f>
        <v>1</v>
      </c>
      <c r="O254" s="8" t="n">
        <f aca="false">INDEX(Mapping!$C$2:$C$99,MATCH(O$1&amp;"|"&amp;Customers!O254,Mapping!$D$2:$D$99,0))</f>
        <v>3</v>
      </c>
      <c r="P254" s="8" t="n">
        <f aca="false">INDEX(Mapping!$C$2:$C$99,MATCH(P$1&amp;"|"&amp;Customers!P254,Mapping!$D$2:$D$99,0))</f>
        <v>4</v>
      </c>
      <c r="Q254" s="8" t="n">
        <f aca="false">INDEX(Mapping!$C$2:$C$99,MATCH(Q$1&amp;"|"&amp;Customers!Q254,Mapping!$D$2:$D$99,0))</f>
        <v>3</v>
      </c>
      <c r="R254" s="8" t="n">
        <f aca="false">INDEX(Mapping!$C$2:$C$99,MATCH(R$1&amp;"|"&amp;Customers!R254,Mapping!$D$2:$D$99,0))</f>
        <v>4</v>
      </c>
      <c r="S254" s="8" t="n">
        <f aca="false">INDEX(Mapping!$C$2:$C$99,MATCH(S$1&amp;"|"&amp;Customers!S254,Mapping!$D$2:$D$99,0))</f>
        <v>1</v>
      </c>
      <c r="T254" s="8" t="n">
        <f aca="false">INDEX(Mapping!$C$2:$C$99,MATCH(T$1&amp;"|"&amp;Customers!T254,Mapping!$D$2:$D$99,0))</f>
        <v>2</v>
      </c>
      <c r="U254" s="8" t="n">
        <f aca="false">INDEX(Mapping!$C$2:$C$99,MATCH(U$1&amp;"|"&amp;Customers!U254,Mapping!$D$2:$D$99,0))</f>
        <v>1</v>
      </c>
      <c r="V254" s="8" t="n">
        <f aca="false">INDEX(Mapping!$C$2:$C$99,MATCH(V$1&amp;"|"&amp;Customers!V254,Mapping!$D$2:$D$99,0))</f>
        <v>1</v>
      </c>
      <c r="W254" s="17" t="n">
        <f aca="false">SUMPRODUCT($C254:$V254,Weights!$C$27:$V$27)</f>
        <v>1.6675</v>
      </c>
      <c r="X254" s="18" t="n">
        <f aca="false">ROUND($W254,2)</f>
        <v>1.67</v>
      </c>
      <c r="Y254" s="8" t="str">
        <f aca="false">IF($X254&lt;=2,"Low",IF($X254&lt;=3.49,"Medium","High"))</f>
        <v>Low</v>
      </c>
      <c r="Z254" s="8" t="str">
        <f aca="false">IF(OR($F254&gt;=3,$E254=5,$D254=5,$C254=5,$G254=5,$H254=5,$I254=5,$J254=5,Customers!$W254="Yes"),"Yes","No")</f>
        <v>No</v>
      </c>
      <c r="AA254" s="15" t="str">
        <f aca="false">IF($Z254="Yes","High",$Y254)</f>
        <v>Low</v>
      </c>
      <c r="AB254" s="18" t="n">
        <f aca="false">SUMPRODUCT($C254:$G254,Weights!$C$28:$G$28)</f>
        <v>1</v>
      </c>
      <c r="AC254" s="18" t="n">
        <f aca="false">SUMPRODUCT($H254:$J254,Weights!$H$28:$J$28)</f>
        <v>1</v>
      </c>
      <c r="AD254" s="18" t="n">
        <f aca="false">SUMPRODUCT($K254:$N254,Weights!$K$28:$N$28)</f>
        <v>2.45</v>
      </c>
      <c r="AE254" s="18" t="n">
        <f aca="false">SUMPRODUCT($O254:$Q254,Weights!$O$28:$Q$28)</f>
        <v>3.35</v>
      </c>
      <c r="AF254" s="18" t="n">
        <f aca="false">SUMPRODUCT($R254:$V254,Weights!$R$28:$V$28)</f>
        <v>1.95</v>
      </c>
      <c r="AH254" s="18" t="n">
        <f aca="false">SUMPRODUCT($AB254:$AF254,Validation!$D$7:$H$7)</f>
        <v>1.7628571428576</v>
      </c>
      <c r="AI254" s="18" t="n">
        <f aca="false">SUMPRODUCT($AB254:$AF254,Validation!$D$8:$H$8)</f>
        <v>1.5721428571424</v>
      </c>
      <c r="AJ254" s="18" t="n">
        <f aca="false">SUMPRODUCT($AB254:$AF254,Validation!$D$9:$H$9)</f>
        <v>1.7564999999997</v>
      </c>
      <c r="AK254" s="18" t="n">
        <f aca="false">SUMPRODUCT($AB254:$AF254,Validation!$D$10:$H$10)</f>
        <v>1.5785000000003</v>
      </c>
      <c r="AL254" s="18" t="n">
        <f aca="false">SUMPRODUCT($AB254:$AF254,Validation!$D$11:$H$11)</f>
        <v>1.5696875</v>
      </c>
      <c r="AM254" s="18" t="n">
        <f aca="false">SUMPRODUCT($AB254:$AF254,Validation!$D$12:$H$12)</f>
        <v>1.7653125</v>
      </c>
      <c r="AN254" s="18" t="n">
        <f aca="false">SUMPRODUCT($AB254:$AF254,Validation!$D$13:$H$13)</f>
        <v>1.48055555555555</v>
      </c>
      <c r="AO254" s="18" t="n">
        <f aca="false">SUMPRODUCT($AB254:$AF254,Validation!$D$14:$H$14)</f>
        <v>1.85444444444445</v>
      </c>
      <c r="AP254" s="18" t="n">
        <f aca="false">SUMPRODUCT($AB254:$AF254,Validation!$D$15:$H$15)</f>
        <v>1.63426470588195</v>
      </c>
      <c r="AQ254" s="18" t="n">
        <f aca="false">SUMPRODUCT($AB254:$AF254,Validation!$D$16:$H$16)</f>
        <v>1.70073529411805</v>
      </c>
      <c r="AR254" s="8" t="n">
        <f aca="false">COUNTIF($C254:$V254,"&gt;=4")</f>
        <v>2</v>
      </c>
      <c r="AS254" s="8" t="str">
        <f aca="false">IF($X254&lt;=1.6,"Low",IF($X254&lt;=2.2,"Medium","High"))</f>
        <v>Medium</v>
      </c>
      <c r="AT254" s="8" t="str">
        <f aca="false">IF($AR254=0,"Low",IF($AR254&lt;3,"Medium","High"))</f>
        <v>Medium</v>
      </c>
      <c r="AU254" s="8" t="str">
        <f aca="false">IF(OR($AS254="High",$AT254="High"),"High",IF(OR($AS254="Medium",$AT254="Medium"),"Medium","Low"))</f>
        <v>Medium</v>
      </c>
      <c r="AV254" s="15" t="str">
        <f aca="false">IF($Z254="Yes","High",$AU254)</f>
        <v>Medium</v>
      </c>
    </row>
    <row r="255" customFormat="false" ht="15" hidden="false" customHeight="false" outlineLevel="0" collapsed="false">
      <c r="A255" s="7" t="str">
        <f aca="false">Customers!$A255</f>
        <v>NG-10132</v>
      </c>
      <c r="B255" s="7" t="str">
        <f aca="false">Customers!$B255</f>
        <v>Personal</v>
      </c>
      <c r="C255" s="8" t="n">
        <f aca="false">INDEX(Mapping!$C$2:$C$99,MATCH(C$1&amp;"|"&amp;Customers!C255,Mapping!$D$2:$D$99,0))</f>
        <v>1</v>
      </c>
      <c r="D255" s="8" t="n">
        <f aca="false">INDEX(Mapping!$C$2:$C$99,MATCH(D$1&amp;"|"&amp;Customers!D255,Mapping!$D$2:$D$99,0))</f>
        <v>1</v>
      </c>
      <c r="E255" s="8" t="n">
        <f aca="false">INDEX(Mapping!$C$2:$C$99,MATCH(E$1&amp;"|"&amp;Customers!E255,Mapping!$D$2:$D$99,0))</f>
        <v>1</v>
      </c>
      <c r="F255" s="8" t="n">
        <f aca="false">INDEX(Mapping!$C$2:$C$99,MATCH(F$1&amp;"|"&amp;Customers!F255,Mapping!$D$2:$D$99,0))</f>
        <v>1</v>
      </c>
      <c r="G255" s="8" t="n">
        <f aca="false">INDEX(Mapping!$C$2:$C$99,MATCH(G$1&amp;"|"&amp;Customers!G255,Mapping!$D$2:$D$99,0))</f>
        <v>1</v>
      </c>
      <c r="H255" s="8" t="n">
        <f aca="false">INDEX(Mapping!$C$2:$C$99,MATCH(H$1&amp;"|"&amp;Customers!H255,Mapping!$D$2:$D$99,0))</f>
        <v>1</v>
      </c>
      <c r="I255" s="8" t="n">
        <f aca="false">INDEX(Mapping!$C$2:$C$99,MATCH(I$1&amp;"|"&amp;Customers!I255,Mapping!$D$2:$D$99,0))</f>
        <v>1</v>
      </c>
      <c r="J255" s="8" t="n">
        <f aca="false">INDEX(Mapping!$C$2:$C$99,MATCH(J$1&amp;"|"&amp;Customers!J255,Mapping!$D$2:$D$99,0))</f>
        <v>1</v>
      </c>
      <c r="K255" s="8" t="n">
        <f aca="false">INDEX(Mapping!$C$2:$C$99,MATCH(K$1&amp;"|"&amp;Customers!K255,Mapping!$D$2:$D$99,0))</f>
        <v>3</v>
      </c>
      <c r="L255" s="8" t="n">
        <f aca="false">INDEX(Mapping!$C$2:$C$99,MATCH(L$1&amp;"|"&amp;Customers!L255,Mapping!$D$2:$D$99,0))</f>
        <v>2</v>
      </c>
      <c r="M255" s="8" t="n">
        <f aca="false">INDEX(Mapping!$C$2:$C$99,MATCH(M$1&amp;"|"&amp;Customers!M255,Mapping!$D$2:$D$99,0))</f>
        <v>1</v>
      </c>
      <c r="N255" s="8" t="n">
        <f aca="false">INDEX(Mapping!$C$2:$C$99,MATCH(N$1&amp;"|"&amp;Customers!N255,Mapping!$D$2:$D$99,0))</f>
        <v>1</v>
      </c>
      <c r="O255" s="8" t="n">
        <f aca="false">INDEX(Mapping!$C$2:$C$99,MATCH(O$1&amp;"|"&amp;Customers!O255,Mapping!$D$2:$D$99,0))</f>
        <v>3</v>
      </c>
      <c r="P255" s="8" t="n">
        <f aca="false">INDEX(Mapping!$C$2:$C$99,MATCH(P$1&amp;"|"&amp;Customers!P255,Mapping!$D$2:$D$99,0))</f>
        <v>3</v>
      </c>
      <c r="Q255" s="8" t="n">
        <f aca="false">INDEX(Mapping!$C$2:$C$99,MATCH(Q$1&amp;"|"&amp;Customers!Q255,Mapping!$D$2:$D$99,0))</f>
        <v>2</v>
      </c>
      <c r="R255" s="8" t="n">
        <f aca="false">INDEX(Mapping!$C$2:$C$99,MATCH(R$1&amp;"|"&amp;Customers!R255,Mapping!$D$2:$D$99,0))</f>
        <v>1</v>
      </c>
      <c r="S255" s="8" t="n">
        <f aca="false">INDEX(Mapping!$C$2:$C$99,MATCH(S$1&amp;"|"&amp;Customers!S255,Mapping!$D$2:$D$99,0))</f>
        <v>1</v>
      </c>
      <c r="T255" s="8" t="n">
        <f aca="false">INDEX(Mapping!$C$2:$C$99,MATCH(T$1&amp;"|"&amp;Customers!T255,Mapping!$D$2:$D$99,0))</f>
        <v>2</v>
      </c>
      <c r="U255" s="8" t="n">
        <f aca="false">INDEX(Mapping!$C$2:$C$99,MATCH(U$1&amp;"|"&amp;Customers!U255,Mapping!$D$2:$D$99,0))</f>
        <v>4</v>
      </c>
      <c r="V255" s="8" t="n">
        <f aca="false">INDEX(Mapping!$C$2:$C$99,MATCH(V$1&amp;"|"&amp;Customers!V255,Mapping!$D$2:$D$99,0))</f>
        <v>3</v>
      </c>
      <c r="W255" s="17" t="n">
        <f aca="false">SUMPRODUCT($C255:$V255,Weights!$C$27:$V$27)</f>
        <v>1.4975</v>
      </c>
      <c r="X255" s="18" t="n">
        <f aca="false">ROUND($W255,2)</f>
        <v>1.5</v>
      </c>
      <c r="Y255" s="8" t="str">
        <f aca="false">IF($X255&lt;=2,"Low",IF($X255&lt;=3.49,"Medium","High"))</f>
        <v>Low</v>
      </c>
      <c r="Z255" s="8" t="str">
        <f aca="false">IF(OR($F255&gt;=3,$E255=5,$D255=5,$C255=5,$G255=5,$H255=5,$I255=5,$J255=5,Customers!$W255="Yes"),"Yes","No")</f>
        <v>No</v>
      </c>
      <c r="AA255" s="15" t="str">
        <f aca="false">IF($Z255="Yes","High",$Y255)</f>
        <v>Low</v>
      </c>
      <c r="AB255" s="18" t="n">
        <f aca="false">SUMPRODUCT($C255:$G255,Weights!$C$28:$G$28)</f>
        <v>1</v>
      </c>
      <c r="AC255" s="18" t="n">
        <f aca="false">SUMPRODUCT($H255:$J255,Weights!$H$28:$J$28)</f>
        <v>1</v>
      </c>
      <c r="AD255" s="18" t="n">
        <f aca="false">SUMPRODUCT($K255:$N255,Weights!$K$28:$N$28)</f>
        <v>1.95</v>
      </c>
      <c r="AE255" s="18" t="n">
        <f aca="false">SUMPRODUCT($O255:$Q255,Weights!$O$28:$Q$28)</f>
        <v>2.8</v>
      </c>
      <c r="AF255" s="18" t="n">
        <f aca="false">SUMPRODUCT($R255:$V255,Weights!$R$28:$V$28)</f>
        <v>1.85</v>
      </c>
      <c r="AH255" s="18" t="n">
        <f aca="false">SUMPRODUCT($AB255:$AF255,Validation!$D$7:$H$7)</f>
        <v>1.5685714285719</v>
      </c>
      <c r="AI255" s="18" t="n">
        <f aca="false">SUMPRODUCT($AB255:$AF255,Validation!$D$8:$H$8)</f>
        <v>1.4264285714281</v>
      </c>
      <c r="AJ255" s="18" t="n">
        <f aca="false">SUMPRODUCT($AB255:$AF255,Validation!$D$9:$H$9)</f>
        <v>1.56383333333305</v>
      </c>
      <c r="AK255" s="18" t="n">
        <f aca="false">SUMPRODUCT($AB255:$AF255,Validation!$D$10:$H$10)</f>
        <v>1.43116666666695</v>
      </c>
      <c r="AL255" s="18" t="n">
        <f aca="false">SUMPRODUCT($AB255:$AF255,Validation!$D$11:$H$11)</f>
        <v>1.4409375</v>
      </c>
      <c r="AM255" s="18" t="n">
        <f aca="false">SUMPRODUCT($AB255:$AF255,Validation!$D$12:$H$12)</f>
        <v>1.5540625</v>
      </c>
      <c r="AN255" s="18" t="n">
        <f aca="false">SUMPRODUCT($AB255:$AF255,Validation!$D$13:$H$13)</f>
        <v>1.35277777777785</v>
      </c>
      <c r="AO255" s="18" t="n">
        <f aca="false">SUMPRODUCT($AB255:$AF255,Validation!$D$14:$H$14)</f>
        <v>1.64222222222215</v>
      </c>
      <c r="AP255" s="18" t="n">
        <f aca="false">SUMPRODUCT($AB255:$AF255,Validation!$D$15:$H$15)</f>
        <v>1.45602941176435</v>
      </c>
      <c r="AQ255" s="18" t="n">
        <f aca="false">SUMPRODUCT($AB255:$AF255,Validation!$D$16:$H$16)</f>
        <v>1.53897058823565</v>
      </c>
      <c r="AR255" s="8" t="n">
        <f aca="false">COUNTIF($C255:$V255,"&gt;=4")</f>
        <v>1</v>
      </c>
      <c r="AS255" s="8" t="str">
        <f aca="false">IF($X255&lt;=1.6,"Low",IF($X255&lt;=2.2,"Medium","High"))</f>
        <v>Low</v>
      </c>
      <c r="AT255" s="8" t="str">
        <f aca="false">IF($AR255=0,"Low",IF($AR255&lt;3,"Medium","High"))</f>
        <v>Medium</v>
      </c>
      <c r="AU255" s="8" t="str">
        <f aca="false">IF(OR($AS255="High",$AT255="High"),"High",IF(OR($AS255="Medium",$AT255="Medium"),"Medium","Low"))</f>
        <v>Medium</v>
      </c>
      <c r="AV255" s="15" t="str">
        <f aca="false">IF($Z255="Yes","High",$AU255)</f>
        <v>Medium</v>
      </c>
    </row>
    <row r="256" customFormat="false" ht="15" hidden="false" customHeight="false" outlineLevel="0" collapsed="false">
      <c r="A256" s="7" t="str">
        <f aca="false">Customers!$A256</f>
        <v>NG-10208</v>
      </c>
      <c r="B256" s="7" t="str">
        <f aca="false">Customers!$B256</f>
        <v>Personal</v>
      </c>
      <c r="C256" s="8" t="n">
        <f aca="false">INDEX(Mapping!$C$2:$C$99,MATCH(C$1&amp;"|"&amp;Customers!C256,Mapping!$D$2:$D$99,0))</f>
        <v>1</v>
      </c>
      <c r="D256" s="8" t="n">
        <f aca="false">INDEX(Mapping!$C$2:$C$99,MATCH(D$1&amp;"|"&amp;Customers!D256,Mapping!$D$2:$D$99,0))</f>
        <v>1</v>
      </c>
      <c r="E256" s="8" t="n">
        <f aca="false">INDEX(Mapping!$C$2:$C$99,MATCH(E$1&amp;"|"&amp;Customers!E256,Mapping!$D$2:$D$99,0))</f>
        <v>3</v>
      </c>
      <c r="F256" s="8" t="n">
        <f aca="false">INDEX(Mapping!$C$2:$C$99,MATCH(F$1&amp;"|"&amp;Customers!F256,Mapping!$D$2:$D$99,0))</f>
        <v>1</v>
      </c>
      <c r="G256" s="8" t="n">
        <f aca="false">INDEX(Mapping!$C$2:$C$99,MATCH(G$1&amp;"|"&amp;Customers!G256,Mapping!$D$2:$D$99,0))</f>
        <v>1</v>
      </c>
      <c r="H256" s="8" t="n">
        <f aca="false">INDEX(Mapping!$C$2:$C$99,MATCH(H$1&amp;"|"&amp;Customers!H256,Mapping!$D$2:$D$99,0))</f>
        <v>1</v>
      </c>
      <c r="I256" s="8" t="n">
        <f aca="false">INDEX(Mapping!$C$2:$C$99,MATCH(I$1&amp;"|"&amp;Customers!I256,Mapping!$D$2:$D$99,0))</f>
        <v>1</v>
      </c>
      <c r="J256" s="8" t="n">
        <f aca="false">INDEX(Mapping!$C$2:$C$99,MATCH(J$1&amp;"|"&amp;Customers!J256,Mapping!$D$2:$D$99,0))</f>
        <v>1</v>
      </c>
      <c r="K256" s="8" t="n">
        <f aca="false">INDEX(Mapping!$C$2:$C$99,MATCH(K$1&amp;"|"&amp;Customers!K256,Mapping!$D$2:$D$99,0))</f>
        <v>1</v>
      </c>
      <c r="L256" s="8" t="n">
        <f aca="false">INDEX(Mapping!$C$2:$C$99,MATCH(L$1&amp;"|"&amp;Customers!L256,Mapping!$D$2:$D$99,0))</f>
        <v>2</v>
      </c>
      <c r="M256" s="8" t="n">
        <f aca="false">INDEX(Mapping!$C$2:$C$99,MATCH(M$1&amp;"|"&amp;Customers!M256,Mapping!$D$2:$D$99,0))</f>
        <v>2</v>
      </c>
      <c r="N256" s="8" t="n">
        <f aca="false">INDEX(Mapping!$C$2:$C$99,MATCH(N$1&amp;"|"&amp;Customers!N256,Mapping!$D$2:$D$99,0))</f>
        <v>1</v>
      </c>
      <c r="O256" s="8" t="n">
        <f aca="false">INDEX(Mapping!$C$2:$C$99,MATCH(O$1&amp;"|"&amp;Customers!O256,Mapping!$D$2:$D$99,0))</f>
        <v>2</v>
      </c>
      <c r="P256" s="8" t="n">
        <f aca="false">INDEX(Mapping!$C$2:$C$99,MATCH(P$1&amp;"|"&amp;Customers!P256,Mapping!$D$2:$D$99,0))</f>
        <v>3</v>
      </c>
      <c r="Q256" s="8" t="n">
        <f aca="false">INDEX(Mapping!$C$2:$C$99,MATCH(Q$1&amp;"|"&amp;Customers!Q256,Mapping!$D$2:$D$99,0))</f>
        <v>1</v>
      </c>
      <c r="R256" s="8" t="n">
        <f aca="false">INDEX(Mapping!$C$2:$C$99,MATCH(R$1&amp;"|"&amp;Customers!R256,Mapping!$D$2:$D$99,0))</f>
        <v>2</v>
      </c>
      <c r="S256" s="8" t="n">
        <f aca="false">INDEX(Mapping!$C$2:$C$99,MATCH(S$1&amp;"|"&amp;Customers!S256,Mapping!$D$2:$D$99,0))</f>
        <v>3</v>
      </c>
      <c r="T256" s="8" t="n">
        <f aca="false">INDEX(Mapping!$C$2:$C$99,MATCH(T$1&amp;"|"&amp;Customers!T256,Mapping!$D$2:$D$99,0))</f>
        <v>1</v>
      </c>
      <c r="U256" s="8" t="n">
        <f aca="false">INDEX(Mapping!$C$2:$C$99,MATCH(U$1&amp;"|"&amp;Customers!U256,Mapping!$D$2:$D$99,0))</f>
        <v>1</v>
      </c>
      <c r="V256" s="8" t="n">
        <f aca="false">INDEX(Mapping!$C$2:$C$99,MATCH(V$1&amp;"|"&amp;Customers!V256,Mapping!$D$2:$D$99,0))</f>
        <v>1</v>
      </c>
      <c r="W256" s="17" t="n">
        <f aca="false">SUMPRODUCT($C256:$V256,Weights!$C$27:$V$27)</f>
        <v>1.4925</v>
      </c>
      <c r="X256" s="18" t="n">
        <f aca="false">ROUND($W256,2)</f>
        <v>1.49</v>
      </c>
      <c r="Y256" s="8" t="str">
        <f aca="false">IF($X256&lt;=2,"Low",IF($X256&lt;=3.49,"Medium","High"))</f>
        <v>Low</v>
      </c>
      <c r="Z256" s="8" t="str">
        <f aca="false">IF(OR($F256&gt;=3,$E256=5,$D256=5,$C256=5,$G256=5,$H256=5,$I256=5,$J256=5,Customers!$W256="Yes"),"Yes","No")</f>
        <v>No</v>
      </c>
      <c r="AA256" s="15" t="str">
        <f aca="false">IF($Z256="Yes","High",$Y256)</f>
        <v>Low</v>
      </c>
      <c r="AB256" s="18" t="n">
        <f aca="false">SUMPRODUCT($C256:$G256,Weights!$C$28:$G$28)</f>
        <v>1.5</v>
      </c>
      <c r="AC256" s="18" t="n">
        <f aca="false">SUMPRODUCT($H256:$J256,Weights!$H$28:$J$28)</f>
        <v>1</v>
      </c>
      <c r="AD256" s="18" t="n">
        <f aca="false">SUMPRODUCT($K256:$N256,Weights!$K$28:$N$28)</f>
        <v>1.5</v>
      </c>
      <c r="AE256" s="18" t="n">
        <f aca="false">SUMPRODUCT($O256:$Q256,Weights!$O$28:$Q$28)</f>
        <v>2.15</v>
      </c>
      <c r="AF256" s="18" t="n">
        <f aca="false">SUMPRODUCT($R256:$V256,Weights!$R$28:$V$28)</f>
        <v>1.85</v>
      </c>
      <c r="AH256" s="18" t="n">
        <f aca="false">SUMPRODUCT($AB256:$AF256,Validation!$D$7:$H$7)</f>
        <v>1.49142857142905</v>
      </c>
      <c r="AI256" s="18" t="n">
        <f aca="false">SUMPRODUCT($AB256:$AF256,Validation!$D$8:$H$8)</f>
        <v>1.49357142857095</v>
      </c>
      <c r="AJ256" s="18" t="n">
        <f aca="false">SUMPRODUCT($AB256:$AF256,Validation!$D$9:$H$9)</f>
        <v>1.55816666666645</v>
      </c>
      <c r="AK256" s="18" t="n">
        <f aca="false">SUMPRODUCT($AB256:$AF256,Validation!$D$10:$H$10)</f>
        <v>1.42683333333355</v>
      </c>
      <c r="AL256" s="18" t="n">
        <f aca="false">SUMPRODUCT($AB256:$AF256,Validation!$D$11:$H$11)</f>
        <v>1.4915625</v>
      </c>
      <c r="AM256" s="18" t="n">
        <f aca="false">SUMPRODUCT($AB256:$AF256,Validation!$D$12:$H$12)</f>
        <v>1.4934375</v>
      </c>
      <c r="AN256" s="18" t="n">
        <f aca="false">SUMPRODUCT($AB256:$AF256,Validation!$D$13:$H$13)</f>
        <v>1.41944444444445</v>
      </c>
      <c r="AO256" s="18" t="n">
        <f aca="false">SUMPRODUCT($AB256:$AF256,Validation!$D$14:$H$14)</f>
        <v>1.56555555555555</v>
      </c>
      <c r="AP256" s="18" t="n">
        <f aca="false">SUMPRODUCT($AB256:$AF256,Validation!$D$15:$H$15)</f>
        <v>1.4504411764703</v>
      </c>
      <c r="AQ256" s="18" t="n">
        <f aca="false">SUMPRODUCT($AB256:$AF256,Validation!$D$16:$H$16)</f>
        <v>1.5345588235297</v>
      </c>
      <c r="AR256" s="8" t="n">
        <f aca="false">COUNTIF($C256:$V256,"&gt;=4")</f>
        <v>0</v>
      </c>
      <c r="AS256" s="8" t="str">
        <f aca="false">IF($X256&lt;=1.6,"Low",IF($X256&lt;=2.2,"Medium","High"))</f>
        <v>Low</v>
      </c>
      <c r="AT256" s="8" t="str">
        <f aca="false">IF($AR256=0,"Low",IF($AR256&lt;3,"Medium","High"))</f>
        <v>Low</v>
      </c>
      <c r="AU256" s="8" t="str">
        <f aca="false">IF(OR($AS256="High",$AT256="High"),"High",IF(OR($AS256="Medium",$AT256="Medium"),"Medium","Low"))</f>
        <v>Low</v>
      </c>
      <c r="AV256" s="15" t="str">
        <f aca="false">IF($Z256="Yes","High",$AU256)</f>
        <v>Low</v>
      </c>
    </row>
    <row r="257" customFormat="false" ht="15" hidden="false" customHeight="false" outlineLevel="0" collapsed="false">
      <c r="A257" s="7" t="str">
        <f aca="false">Customers!$A257</f>
        <v>NG-10123</v>
      </c>
      <c r="B257" s="7" t="str">
        <f aca="false">Customers!$B257</f>
        <v>Personal</v>
      </c>
      <c r="C257" s="8" t="n">
        <f aca="false">INDEX(Mapping!$C$2:$C$99,MATCH(C$1&amp;"|"&amp;Customers!C257,Mapping!$D$2:$D$99,0))</f>
        <v>1</v>
      </c>
      <c r="D257" s="8" t="n">
        <f aca="false">INDEX(Mapping!$C$2:$C$99,MATCH(D$1&amp;"|"&amp;Customers!D257,Mapping!$D$2:$D$99,0))</f>
        <v>1</v>
      </c>
      <c r="E257" s="8" t="n">
        <f aca="false">INDEX(Mapping!$C$2:$C$99,MATCH(E$1&amp;"|"&amp;Customers!E257,Mapping!$D$2:$D$99,0))</f>
        <v>4</v>
      </c>
      <c r="F257" s="8" t="n">
        <f aca="false">INDEX(Mapping!$C$2:$C$99,MATCH(F$1&amp;"|"&amp;Customers!F257,Mapping!$D$2:$D$99,0))</f>
        <v>1</v>
      </c>
      <c r="G257" s="8" t="n">
        <f aca="false">INDEX(Mapping!$C$2:$C$99,MATCH(G$1&amp;"|"&amp;Customers!G257,Mapping!$D$2:$D$99,0))</f>
        <v>1</v>
      </c>
      <c r="H257" s="8" t="n">
        <f aca="false">INDEX(Mapping!$C$2:$C$99,MATCH(H$1&amp;"|"&amp;Customers!H257,Mapping!$D$2:$D$99,0))</f>
        <v>1</v>
      </c>
      <c r="I257" s="8" t="n">
        <f aca="false">INDEX(Mapping!$C$2:$C$99,MATCH(I$1&amp;"|"&amp;Customers!I257,Mapping!$D$2:$D$99,0))</f>
        <v>1</v>
      </c>
      <c r="J257" s="8" t="n">
        <f aca="false">INDEX(Mapping!$C$2:$C$99,MATCH(J$1&amp;"|"&amp;Customers!J257,Mapping!$D$2:$D$99,0))</f>
        <v>1</v>
      </c>
      <c r="K257" s="8" t="n">
        <f aca="false">INDEX(Mapping!$C$2:$C$99,MATCH(K$1&amp;"|"&amp;Customers!K257,Mapping!$D$2:$D$99,0))</f>
        <v>2</v>
      </c>
      <c r="L257" s="8" t="n">
        <f aca="false">INDEX(Mapping!$C$2:$C$99,MATCH(L$1&amp;"|"&amp;Customers!L257,Mapping!$D$2:$D$99,0))</f>
        <v>2</v>
      </c>
      <c r="M257" s="8" t="n">
        <f aca="false">INDEX(Mapping!$C$2:$C$99,MATCH(M$1&amp;"|"&amp;Customers!M257,Mapping!$D$2:$D$99,0))</f>
        <v>3</v>
      </c>
      <c r="N257" s="8" t="n">
        <f aca="false">INDEX(Mapping!$C$2:$C$99,MATCH(N$1&amp;"|"&amp;Customers!N257,Mapping!$D$2:$D$99,0))</f>
        <v>1</v>
      </c>
      <c r="O257" s="8" t="n">
        <f aca="false">INDEX(Mapping!$C$2:$C$99,MATCH(O$1&amp;"|"&amp;Customers!O257,Mapping!$D$2:$D$99,0))</f>
        <v>3</v>
      </c>
      <c r="P257" s="8" t="n">
        <f aca="false">INDEX(Mapping!$C$2:$C$99,MATCH(P$1&amp;"|"&amp;Customers!P257,Mapping!$D$2:$D$99,0))</f>
        <v>4</v>
      </c>
      <c r="Q257" s="8" t="n">
        <f aca="false">INDEX(Mapping!$C$2:$C$99,MATCH(Q$1&amp;"|"&amp;Customers!Q257,Mapping!$D$2:$D$99,0))</f>
        <v>1</v>
      </c>
      <c r="R257" s="8" t="n">
        <f aca="false">INDEX(Mapping!$C$2:$C$99,MATCH(R$1&amp;"|"&amp;Customers!R257,Mapping!$D$2:$D$99,0))</f>
        <v>1</v>
      </c>
      <c r="S257" s="8" t="n">
        <f aca="false">INDEX(Mapping!$C$2:$C$99,MATCH(S$1&amp;"|"&amp;Customers!S257,Mapping!$D$2:$D$99,0))</f>
        <v>1</v>
      </c>
      <c r="T257" s="8" t="n">
        <f aca="false">INDEX(Mapping!$C$2:$C$99,MATCH(T$1&amp;"|"&amp;Customers!T257,Mapping!$D$2:$D$99,0))</f>
        <v>1</v>
      </c>
      <c r="U257" s="8" t="n">
        <f aca="false">INDEX(Mapping!$C$2:$C$99,MATCH(U$1&amp;"|"&amp;Customers!U257,Mapping!$D$2:$D$99,0))</f>
        <v>1</v>
      </c>
      <c r="V257" s="8" t="n">
        <f aca="false">INDEX(Mapping!$C$2:$C$99,MATCH(V$1&amp;"|"&amp;Customers!V257,Mapping!$D$2:$D$99,0))</f>
        <v>1</v>
      </c>
      <c r="W257" s="17" t="n">
        <f aca="false">SUMPRODUCT($C257:$V257,Weights!$C$27:$V$27)</f>
        <v>1.64</v>
      </c>
      <c r="X257" s="18" t="n">
        <f aca="false">ROUND($W257,2)</f>
        <v>1.64</v>
      </c>
      <c r="Y257" s="8" t="str">
        <f aca="false">IF($X257&lt;=2,"Low",IF($X257&lt;=3.49,"Medium","High"))</f>
        <v>Low</v>
      </c>
      <c r="Z257" s="8" t="str">
        <f aca="false">IF(OR($F257&gt;=3,$E257=5,$D257=5,$C257=5,$G257=5,$H257=5,$I257=5,$J257=5,Customers!$W257="Yes"),"Yes","No")</f>
        <v>No</v>
      </c>
      <c r="AA257" s="15" t="str">
        <f aca="false">IF($Z257="Yes","High",$Y257)</f>
        <v>Low</v>
      </c>
      <c r="AB257" s="18" t="n">
        <f aca="false">SUMPRODUCT($C257:$G257,Weights!$C$28:$G$28)</f>
        <v>1.75</v>
      </c>
      <c r="AC257" s="18" t="n">
        <f aca="false">SUMPRODUCT($H257:$J257,Weights!$H$28:$J$28)</f>
        <v>1</v>
      </c>
      <c r="AD257" s="18" t="n">
        <f aca="false">SUMPRODUCT($K257:$N257,Weights!$K$28:$N$28)</f>
        <v>2.1</v>
      </c>
      <c r="AE257" s="18" t="n">
        <f aca="false">SUMPRODUCT($O257:$Q257,Weights!$O$28:$Q$28)</f>
        <v>2.95</v>
      </c>
      <c r="AF257" s="18" t="n">
        <f aca="false">SUMPRODUCT($R257:$V257,Weights!$R$28:$V$28)</f>
        <v>1</v>
      </c>
      <c r="AH257" s="18" t="n">
        <f aca="false">SUMPRODUCT($AB257:$AF257,Validation!$D$7:$H$7)</f>
        <v>1.6242857142858</v>
      </c>
      <c r="AI257" s="18" t="n">
        <f aca="false">SUMPRODUCT($AB257:$AF257,Validation!$D$8:$H$8)</f>
        <v>1.6557142857142</v>
      </c>
      <c r="AJ257" s="18" t="n">
        <f aca="false">SUMPRODUCT($AB257:$AF257,Validation!$D$9:$H$9)</f>
        <v>1.72533333333305</v>
      </c>
      <c r="AK257" s="18" t="n">
        <f aca="false">SUMPRODUCT($AB257:$AF257,Validation!$D$10:$H$10)</f>
        <v>1.55466666666695</v>
      </c>
      <c r="AL257" s="18" t="n">
        <f aca="false">SUMPRODUCT($AB257:$AF257,Validation!$D$11:$H$11)</f>
        <v>1.5825</v>
      </c>
      <c r="AM257" s="18" t="n">
        <f aca="false">SUMPRODUCT($AB257:$AF257,Validation!$D$12:$H$12)</f>
        <v>1.6975</v>
      </c>
      <c r="AN257" s="18" t="n">
        <f aca="false">SUMPRODUCT($AB257:$AF257,Validation!$D$13:$H$13)</f>
        <v>1.49444444444395</v>
      </c>
      <c r="AO257" s="18" t="n">
        <f aca="false">SUMPRODUCT($AB257:$AF257,Validation!$D$14:$H$14)</f>
        <v>1.78555555555605</v>
      </c>
      <c r="AP257" s="18" t="n">
        <f aca="false">SUMPRODUCT($AB257:$AF257,Validation!$D$15:$H$15)</f>
        <v>1.71529411764665</v>
      </c>
      <c r="AQ257" s="18" t="n">
        <f aca="false">SUMPRODUCT($AB257:$AF257,Validation!$D$16:$H$16)</f>
        <v>1.56470588235335</v>
      </c>
      <c r="AR257" s="8" t="n">
        <f aca="false">COUNTIF($C257:$V257,"&gt;=4")</f>
        <v>2</v>
      </c>
      <c r="AS257" s="8" t="str">
        <f aca="false">IF($X257&lt;=1.6,"Low",IF($X257&lt;=2.2,"Medium","High"))</f>
        <v>Medium</v>
      </c>
      <c r="AT257" s="8" t="str">
        <f aca="false">IF($AR257=0,"Low",IF($AR257&lt;3,"Medium","High"))</f>
        <v>Medium</v>
      </c>
      <c r="AU257" s="8" t="str">
        <f aca="false">IF(OR($AS257="High",$AT257="High"),"High",IF(OR($AS257="Medium",$AT257="Medium"),"Medium","Low"))</f>
        <v>Medium</v>
      </c>
      <c r="AV257" s="15" t="str">
        <f aca="false">IF($Z257="Yes","High",$AU257)</f>
        <v>Medium</v>
      </c>
    </row>
    <row r="258" customFormat="false" ht="15" hidden="false" customHeight="false" outlineLevel="0" collapsed="false">
      <c r="A258" s="7" t="str">
        <f aca="false">Customers!$A258</f>
        <v>NG-10218</v>
      </c>
      <c r="B258" s="7" t="str">
        <f aca="false">Customers!$B258</f>
        <v>Personal</v>
      </c>
      <c r="C258" s="8" t="n">
        <f aca="false">INDEX(Mapping!$C$2:$C$99,MATCH(C$1&amp;"|"&amp;Customers!C258,Mapping!$D$2:$D$99,0))</f>
        <v>1</v>
      </c>
      <c r="D258" s="8" t="n">
        <f aca="false">INDEX(Mapping!$C$2:$C$99,MATCH(D$1&amp;"|"&amp;Customers!D258,Mapping!$D$2:$D$99,0))</f>
        <v>1</v>
      </c>
      <c r="E258" s="8" t="n">
        <f aca="false">INDEX(Mapping!$C$2:$C$99,MATCH(E$1&amp;"|"&amp;Customers!E258,Mapping!$D$2:$D$99,0))</f>
        <v>3</v>
      </c>
      <c r="F258" s="8" t="n">
        <f aca="false">INDEX(Mapping!$C$2:$C$99,MATCH(F$1&amp;"|"&amp;Customers!F258,Mapping!$D$2:$D$99,0))</f>
        <v>1</v>
      </c>
      <c r="G258" s="8" t="n">
        <f aca="false">INDEX(Mapping!$C$2:$C$99,MATCH(G$1&amp;"|"&amp;Customers!G258,Mapping!$D$2:$D$99,0))</f>
        <v>1</v>
      </c>
      <c r="H258" s="8" t="n">
        <f aca="false">INDEX(Mapping!$C$2:$C$99,MATCH(H$1&amp;"|"&amp;Customers!H258,Mapping!$D$2:$D$99,0))</f>
        <v>1</v>
      </c>
      <c r="I258" s="8" t="n">
        <f aca="false">INDEX(Mapping!$C$2:$C$99,MATCH(I$1&amp;"|"&amp;Customers!I258,Mapping!$D$2:$D$99,0))</f>
        <v>1</v>
      </c>
      <c r="J258" s="8" t="n">
        <f aca="false">INDEX(Mapping!$C$2:$C$99,MATCH(J$1&amp;"|"&amp;Customers!J258,Mapping!$D$2:$D$99,0))</f>
        <v>1</v>
      </c>
      <c r="K258" s="8" t="n">
        <f aca="false">INDEX(Mapping!$C$2:$C$99,MATCH(K$1&amp;"|"&amp;Customers!K258,Mapping!$D$2:$D$99,0))</f>
        <v>2</v>
      </c>
      <c r="L258" s="8" t="n">
        <f aca="false">INDEX(Mapping!$C$2:$C$99,MATCH(L$1&amp;"|"&amp;Customers!L258,Mapping!$D$2:$D$99,0))</f>
        <v>3</v>
      </c>
      <c r="M258" s="8" t="n">
        <f aca="false">INDEX(Mapping!$C$2:$C$99,MATCH(M$1&amp;"|"&amp;Customers!M258,Mapping!$D$2:$D$99,0))</f>
        <v>1</v>
      </c>
      <c r="N258" s="8" t="n">
        <f aca="false">INDEX(Mapping!$C$2:$C$99,MATCH(N$1&amp;"|"&amp;Customers!N258,Mapping!$D$2:$D$99,0))</f>
        <v>1</v>
      </c>
      <c r="O258" s="8" t="n">
        <f aca="false">INDEX(Mapping!$C$2:$C$99,MATCH(O$1&amp;"|"&amp;Customers!O258,Mapping!$D$2:$D$99,0))</f>
        <v>4</v>
      </c>
      <c r="P258" s="8" t="n">
        <f aca="false">INDEX(Mapping!$C$2:$C$99,MATCH(P$1&amp;"|"&amp;Customers!P258,Mapping!$D$2:$D$99,0))</f>
        <v>4</v>
      </c>
      <c r="Q258" s="8" t="n">
        <f aca="false">INDEX(Mapping!$C$2:$C$99,MATCH(Q$1&amp;"|"&amp;Customers!Q258,Mapping!$D$2:$D$99,0))</f>
        <v>3</v>
      </c>
      <c r="R258" s="8" t="n">
        <f aca="false">INDEX(Mapping!$C$2:$C$99,MATCH(R$1&amp;"|"&amp;Customers!R258,Mapping!$D$2:$D$99,0))</f>
        <v>1</v>
      </c>
      <c r="S258" s="8" t="n">
        <f aca="false">INDEX(Mapping!$C$2:$C$99,MATCH(S$1&amp;"|"&amp;Customers!S258,Mapping!$D$2:$D$99,0))</f>
        <v>2</v>
      </c>
      <c r="T258" s="8" t="n">
        <f aca="false">INDEX(Mapping!$C$2:$C$99,MATCH(T$1&amp;"|"&amp;Customers!T258,Mapping!$D$2:$D$99,0))</f>
        <v>1</v>
      </c>
      <c r="U258" s="8" t="n">
        <f aca="false">INDEX(Mapping!$C$2:$C$99,MATCH(U$1&amp;"|"&amp;Customers!U258,Mapping!$D$2:$D$99,0))</f>
        <v>1</v>
      </c>
      <c r="V258" s="8" t="n">
        <f aca="false">INDEX(Mapping!$C$2:$C$99,MATCH(V$1&amp;"|"&amp;Customers!V258,Mapping!$D$2:$D$99,0))</f>
        <v>1</v>
      </c>
      <c r="W258" s="17" t="n">
        <f aca="false">SUMPRODUCT($C258:$V258,Weights!$C$27:$V$27)</f>
        <v>1.645</v>
      </c>
      <c r="X258" s="18" t="n">
        <f aca="false">ROUND($W258,2)</f>
        <v>1.65</v>
      </c>
      <c r="Y258" s="8" t="str">
        <f aca="false">IF($X258&lt;=2,"Low",IF($X258&lt;=3.49,"Medium","High"))</f>
        <v>Low</v>
      </c>
      <c r="Z258" s="8" t="str">
        <f aca="false">IF(OR($F258&gt;=3,$E258=5,$D258=5,$C258=5,$G258=5,$H258=5,$I258=5,$J258=5,Customers!$W258="Yes"),"Yes","No")</f>
        <v>No</v>
      </c>
      <c r="AA258" s="15" t="str">
        <f aca="false">IF($Z258="Yes","High",$Y258)</f>
        <v>Low</v>
      </c>
      <c r="AB258" s="18" t="n">
        <f aca="false">SUMPRODUCT($C258:$G258,Weights!$C$28:$G$28)</f>
        <v>1.5</v>
      </c>
      <c r="AC258" s="18" t="n">
        <f aca="false">SUMPRODUCT($H258:$J258,Weights!$H$28:$J$28)</f>
        <v>1</v>
      </c>
      <c r="AD258" s="18" t="n">
        <f aca="false">SUMPRODUCT($K258:$N258,Weights!$K$28:$N$28)</f>
        <v>1.85</v>
      </c>
      <c r="AE258" s="18" t="n">
        <f aca="false">SUMPRODUCT($O258:$Q258,Weights!$O$28:$Q$28)</f>
        <v>3.8</v>
      </c>
      <c r="AF258" s="18" t="n">
        <f aca="false">SUMPRODUCT($R258:$V258,Weights!$R$28:$V$28)</f>
        <v>1.3</v>
      </c>
      <c r="AH258" s="18" t="n">
        <f aca="false">SUMPRODUCT($AB258:$AF258,Validation!$D$7:$H$7)</f>
        <v>1.66571428571485</v>
      </c>
      <c r="AI258" s="18" t="n">
        <f aca="false">SUMPRODUCT($AB258:$AF258,Validation!$D$8:$H$8)</f>
        <v>1.62428571428515</v>
      </c>
      <c r="AJ258" s="18" t="n">
        <f aca="false">SUMPRODUCT($AB258:$AF258,Validation!$D$9:$H$9)</f>
        <v>1.73099999999935</v>
      </c>
      <c r="AK258" s="18" t="n">
        <f aca="false">SUMPRODUCT($AB258:$AF258,Validation!$D$10:$H$10)</f>
        <v>1.55900000000065</v>
      </c>
      <c r="AL258" s="18" t="n">
        <f aca="false">SUMPRODUCT($AB258:$AF258,Validation!$D$11:$H$11)</f>
        <v>1.619375</v>
      </c>
      <c r="AM258" s="18" t="n">
        <f aca="false">SUMPRODUCT($AB258:$AF258,Validation!$D$12:$H$12)</f>
        <v>1.670625</v>
      </c>
      <c r="AN258" s="18" t="n">
        <f aca="false">SUMPRODUCT($AB258:$AF258,Validation!$D$13:$H$13)</f>
        <v>1.4055555555553</v>
      </c>
      <c r="AO258" s="18" t="n">
        <f aca="false">SUMPRODUCT($AB258:$AF258,Validation!$D$14:$H$14)</f>
        <v>1.8844444444447</v>
      </c>
      <c r="AP258" s="18" t="n">
        <f aca="false">SUMPRODUCT($AB258:$AF258,Validation!$D$15:$H$15)</f>
        <v>1.68558823529335</v>
      </c>
      <c r="AQ258" s="18" t="n">
        <f aca="false">SUMPRODUCT($AB258:$AF258,Validation!$D$16:$H$16)</f>
        <v>1.60441176470665</v>
      </c>
      <c r="AR258" s="8" t="n">
        <f aca="false">COUNTIF($C258:$V258,"&gt;=4")</f>
        <v>2</v>
      </c>
      <c r="AS258" s="8" t="str">
        <f aca="false">IF($X258&lt;=1.6,"Low",IF($X258&lt;=2.2,"Medium","High"))</f>
        <v>Medium</v>
      </c>
      <c r="AT258" s="8" t="str">
        <f aca="false">IF($AR258=0,"Low",IF($AR258&lt;3,"Medium","High"))</f>
        <v>Medium</v>
      </c>
      <c r="AU258" s="8" t="str">
        <f aca="false">IF(OR($AS258="High",$AT258="High"),"High",IF(OR($AS258="Medium",$AT258="Medium"),"Medium","Low"))</f>
        <v>Medium</v>
      </c>
      <c r="AV258" s="15" t="str">
        <f aca="false">IF($Z258="Yes","High",$AU258)</f>
        <v>Medium</v>
      </c>
    </row>
    <row r="259" customFormat="false" ht="15" hidden="false" customHeight="false" outlineLevel="0" collapsed="false">
      <c r="A259" s="7" t="str">
        <f aca="false">Customers!$A259</f>
        <v>NG-10142</v>
      </c>
      <c r="B259" s="7" t="str">
        <f aca="false">Customers!$B259</f>
        <v>Personal</v>
      </c>
      <c r="C259" s="8" t="n">
        <f aca="false">INDEX(Mapping!$C$2:$C$99,MATCH(C$1&amp;"|"&amp;Customers!C259,Mapping!$D$2:$D$99,0))</f>
        <v>1</v>
      </c>
      <c r="D259" s="8" t="n">
        <f aca="false">INDEX(Mapping!$C$2:$C$99,MATCH(D$1&amp;"|"&amp;Customers!D259,Mapping!$D$2:$D$99,0))</f>
        <v>1</v>
      </c>
      <c r="E259" s="8" t="n">
        <f aca="false">INDEX(Mapping!$C$2:$C$99,MATCH(E$1&amp;"|"&amp;Customers!E259,Mapping!$D$2:$D$99,0))</f>
        <v>2</v>
      </c>
      <c r="F259" s="8" t="n">
        <f aca="false">INDEX(Mapping!$C$2:$C$99,MATCH(F$1&amp;"|"&amp;Customers!F259,Mapping!$D$2:$D$99,0))</f>
        <v>1</v>
      </c>
      <c r="G259" s="8" t="n">
        <f aca="false">INDEX(Mapping!$C$2:$C$99,MATCH(G$1&amp;"|"&amp;Customers!G259,Mapping!$D$2:$D$99,0))</f>
        <v>1</v>
      </c>
      <c r="H259" s="8" t="n">
        <f aca="false">INDEX(Mapping!$C$2:$C$99,MATCH(H$1&amp;"|"&amp;Customers!H259,Mapping!$D$2:$D$99,0))</f>
        <v>1</v>
      </c>
      <c r="I259" s="8" t="n">
        <f aca="false">INDEX(Mapping!$C$2:$C$99,MATCH(I$1&amp;"|"&amp;Customers!I259,Mapping!$D$2:$D$99,0))</f>
        <v>2</v>
      </c>
      <c r="J259" s="8" t="n">
        <f aca="false">INDEX(Mapping!$C$2:$C$99,MATCH(J$1&amp;"|"&amp;Customers!J259,Mapping!$D$2:$D$99,0))</f>
        <v>2</v>
      </c>
      <c r="K259" s="8" t="n">
        <f aca="false">INDEX(Mapping!$C$2:$C$99,MATCH(K$1&amp;"|"&amp;Customers!K259,Mapping!$D$2:$D$99,0))</f>
        <v>1</v>
      </c>
      <c r="L259" s="8" t="n">
        <f aca="false">INDEX(Mapping!$C$2:$C$99,MATCH(L$1&amp;"|"&amp;Customers!L259,Mapping!$D$2:$D$99,0))</f>
        <v>1</v>
      </c>
      <c r="M259" s="8" t="n">
        <f aca="false">INDEX(Mapping!$C$2:$C$99,MATCH(M$1&amp;"|"&amp;Customers!M259,Mapping!$D$2:$D$99,0))</f>
        <v>2</v>
      </c>
      <c r="N259" s="8" t="n">
        <f aca="false">INDEX(Mapping!$C$2:$C$99,MATCH(N$1&amp;"|"&amp;Customers!N259,Mapping!$D$2:$D$99,0))</f>
        <v>1</v>
      </c>
      <c r="O259" s="8" t="n">
        <f aca="false">INDEX(Mapping!$C$2:$C$99,MATCH(O$1&amp;"|"&amp;Customers!O259,Mapping!$D$2:$D$99,0))</f>
        <v>3</v>
      </c>
      <c r="P259" s="8" t="n">
        <f aca="false">INDEX(Mapping!$C$2:$C$99,MATCH(P$1&amp;"|"&amp;Customers!P259,Mapping!$D$2:$D$99,0))</f>
        <v>3</v>
      </c>
      <c r="Q259" s="8" t="n">
        <f aca="false">INDEX(Mapping!$C$2:$C$99,MATCH(Q$1&amp;"|"&amp;Customers!Q259,Mapping!$D$2:$D$99,0))</f>
        <v>1</v>
      </c>
      <c r="R259" s="8" t="n">
        <f aca="false">INDEX(Mapping!$C$2:$C$99,MATCH(R$1&amp;"|"&amp;Customers!R259,Mapping!$D$2:$D$99,0))</f>
        <v>1</v>
      </c>
      <c r="S259" s="8" t="n">
        <f aca="false">INDEX(Mapping!$C$2:$C$99,MATCH(S$1&amp;"|"&amp;Customers!S259,Mapping!$D$2:$D$99,0))</f>
        <v>1</v>
      </c>
      <c r="T259" s="8" t="n">
        <f aca="false">INDEX(Mapping!$C$2:$C$99,MATCH(T$1&amp;"|"&amp;Customers!T259,Mapping!$D$2:$D$99,0))</f>
        <v>1</v>
      </c>
      <c r="U259" s="8" t="n">
        <f aca="false">INDEX(Mapping!$C$2:$C$99,MATCH(U$1&amp;"|"&amp;Customers!U259,Mapping!$D$2:$D$99,0))</f>
        <v>1</v>
      </c>
      <c r="V259" s="8" t="n">
        <f aca="false">INDEX(Mapping!$C$2:$C$99,MATCH(V$1&amp;"|"&amp;Customers!V259,Mapping!$D$2:$D$99,0))</f>
        <v>1</v>
      </c>
      <c r="W259" s="17" t="n">
        <f aca="false">SUMPRODUCT($C259:$V259,Weights!$C$27:$V$27)</f>
        <v>1.435</v>
      </c>
      <c r="X259" s="18" t="n">
        <f aca="false">ROUND($W259,2)</f>
        <v>1.44</v>
      </c>
      <c r="Y259" s="8" t="str">
        <f aca="false">IF($X259&lt;=2,"Low",IF($X259&lt;=3.49,"Medium","High"))</f>
        <v>Low</v>
      </c>
      <c r="Z259" s="8" t="str">
        <f aca="false">IF(OR($F259&gt;=3,$E259=5,$D259=5,$C259=5,$G259=5,$H259=5,$I259=5,$J259=5,Customers!$W259="Yes"),"Yes","No")</f>
        <v>No</v>
      </c>
      <c r="AA259" s="15" t="str">
        <f aca="false">IF($Z259="Yes","High",$Y259)</f>
        <v>Low</v>
      </c>
      <c r="AB259" s="18" t="n">
        <f aca="false">SUMPRODUCT($C259:$G259,Weights!$C$28:$G$28)</f>
        <v>1.25</v>
      </c>
      <c r="AC259" s="18" t="n">
        <f aca="false">SUMPRODUCT($H259:$J259,Weights!$H$28:$J$28)</f>
        <v>1.6</v>
      </c>
      <c r="AD259" s="18" t="n">
        <f aca="false">SUMPRODUCT($K259:$N259,Weights!$K$28:$N$28)</f>
        <v>1.25</v>
      </c>
      <c r="AE259" s="18" t="n">
        <f aca="false">SUMPRODUCT($O259:$Q259,Weights!$O$28:$Q$28)</f>
        <v>2.6</v>
      </c>
      <c r="AF259" s="18" t="n">
        <f aca="false">SUMPRODUCT($R259:$V259,Weights!$R$28:$V$28)</f>
        <v>1</v>
      </c>
      <c r="AH259" s="18" t="n">
        <f aca="false">SUMPRODUCT($AB259:$AF259,Validation!$D$7:$H$7)</f>
        <v>1.46142857142875</v>
      </c>
      <c r="AI259" s="18" t="n">
        <f aca="false">SUMPRODUCT($AB259:$AF259,Validation!$D$8:$H$8)</f>
        <v>1.40857142857125</v>
      </c>
      <c r="AJ259" s="18" t="n">
        <f aca="false">SUMPRODUCT($AB259:$AF259,Validation!$D$9:$H$9)</f>
        <v>1.41299999999955</v>
      </c>
      <c r="AK259" s="18" t="n">
        <f aca="false">SUMPRODUCT($AB259:$AF259,Validation!$D$10:$H$10)</f>
        <v>1.45700000000045</v>
      </c>
      <c r="AL259" s="18" t="n">
        <f aca="false">SUMPRODUCT($AB259:$AF259,Validation!$D$11:$H$11)</f>
        <v>1.458125</v>
      </c>
      <c r="AM259" s="18" t="n">
        <f aca="false">SUMPRODUCT($AB259:$AF259,Validation!$D$12:$H$12)</f>
        <v>1.411875</v>
      </c>
      <c r="AN259" s="18" t="n">
        <f aca="false">SUMPRODUCT($AB259:$AF259,Validation!$D$13:$H$13)</f>
        <v>1.30555555555555</v>
      </c>
      <c r="AO259" s="18" t="n">
        <f aca="false">SUMPRODUCT($AB259:$AF259,Validation!$D$14:$H$14)</f>
        <v>1.56444444444445</v>
      </c>
      <c r="AP259" s="18" t="n">
        <f aca="false">SUMPRODUCT($AB259:$AF259,Validation!$D$15:$H$15)</f>
        <v>1.4861764705878</v>
      </c>
      <c r="AQ259" s="18" t="n">
        <f aca="false">SUMPRODUCT($AB259:$AF259,Validation!$D$16:$H$16)</f>
        <v>1.3838235294122</v>
      </c>
      <c r="AR259" s="8" t="n">
        <f aca="false">COUNTIF($C259:$V259,"&gt;=4")</f>
        <v>0</v>
      </c>
      <c r="AS259" s="8" t="str">
        <f aca="false">IF($X259&lt;=1.6,"Low",IF($X259&lt;=2.2,"Medium","High"))</f>
        <v>Low</v>
      </c>
      <c r="AT259" s="8" t="str">
        <f aca="false">IF($AR259=0,"Low",IF($AR259&lt;3,"Medium","High"))</f>
        <v>Low</v>
      </c>
      <c r="AU259" s="8" t="str">
        <f aca="false">IF(OR($AS259="High",$AT259="High"),"High",IF(OR($AS259="Medium",$AT259="Medium"),"Medium","Low"))</f>
        <v>Low</v>
      </c>
      <c r="AV259" s="15" t="str">
        <f aca="false">IF($Z259="Yes","High",$AU259)</f>
        <v>Low</v>
      </c>
    </row>
    <row r="260" customFormat="false" ht="15" hidden="false" customHeight="false" outlineLevel="0" collapsed="false">
      <c r="A260" s="7" t="str">
        <f aca="false">Customers!$A260</f>
        <v>NG-10036</v>
      </c>
      <c r="B260" s="7" t="str">
        <f aca="false">Customers!$B260</f>
        <v>Personal</v>
      </c>
      <c r="C260" s="8" t="n">
        <f aca="false">INDEX(Mapping!$C$2:$C$99,MATCH(C$1&amp;"|"&amp;Customers!C260,Mapping!$D$2:$D$99,0))</f>
        <v>2</v>
      </c>
      <c r="D260" s="8" t="n">
        <f aca="false">INDEX(Mapping!$C$2:$C$99,MATCH(D$1&amp;"|"&amp;Customers!D260,Mapping!$D$2:$D$99,0))</f>
        <v>1</v>
      </c>
      <c r="E260" s="8" t="n">
        <f aca="false">INDEX(Mapping!$C$2:$C$99,MATCH(E$1&amp;"|"&amp;Customers!E260,Mapping!$D$2:$D$99,0))</f>
        <v>1</v>
      </c>
      <c r="F260" s="8" t="n">
        <f aca="false">INDEX(Mapping!$C$2:$C$99,MATCH(F$1&amp;"|"&amp;Customers!F260,Mapping!$D$2:$D$99,0))</f>
        <v>1</v>
      </c>
      <c r="G260" s="8" t="n">
        <f aca="false">INDEX(Mapping!$C$2:$C$99,MATCH(G$1&amp;"|"&amp;Customers!G260,Mapping!$D$2:$D$99,0))</f>
        <v>2</v>
      </c>
      <c r="H260" s="8" t="n">
        <f aca="false">INDEX(Mapping!$C$2:$C$99,MATCH(H$1&amp;"|"&amp;Customers!H260,Mapping!$D$2:$D$99,0))</f>
        <v>1</v>
      </c>
      <c r="I260" s="8" t="n">
        <f aca="false">INDEX(Mapping!$C$2:$C$99,MATCH(I$1&amp;"|"&amp;Customers!I260,Mapping!$D$2:$D$99,0))</f>
        <v>1</v>
      </c>
      <c r="J260" s="8" t="n">
        <f aca="false">INDEX(Mapping!$C$2:$C$99,MATCH(J$1&amp;"|"&amp;Customers!J260,Mapping!$D$2:$D$99,0))</f>
        <v>1</v>
      </c>
      <c r="K260" s="8" t="n">
        <f aca="false">INDEX(Mapping!$C$2:$C$99,MATCH(K$1&amp;"|"&amp;Customers!K260,Mapping!$D$2:$D$99,0))</f>
        <v>3</v>
      </c>
      <c r="L260" s="8" t="n">
        <f aca="false">INDEX(Mapping!$C$2:$C$99,MATCH(L$1&amp;"|"&amp;Customers!L260,Mapping!$D$2:$D$99,0))</f>
        <v>3</v>
      </c>
      <c r="M260" s="8" t="n">
        <f aca="false">INDEX(Mapping!$C$2:$C$99,MATCH(M$1&amp;"|"&amp;Customers!M260,Mapping!$D$2:$D$99,0))</f>
        <v>1</v>
      </c>
      <c r="N260" s="8" t="n">
        <f aca="false">INDEX(Mapping!$C$2:$C$99,MATCH(N$1&amp;"|"&amp;Customers!N260,Mapping!$D$2:$D$99,0))</f>
        <v>1</v>
      </c>
      <c r="O260" s="8" t="n">
        <f aca="false">INDEX(Mapping!$C$2:$C$99,MATCH(O$1&amp;"|"&amp;Customers!O260,Mapping!$D$2:$D$99,0))</f>
        <v>4</v>
      </c>
      <c r="P260" s="8" t="n">
        <f aca="false">INDEX(Mapping!$C$2:$C$99,MATCH(P$1&amp;"|"&amp;Customers!P260,Mapping!$D$2:$D$99,0))</f>
        <v>3</v>
      </c>
      <c r="Q260" s="8" t="n">
        <f aca="false">INDEX(Mapping!$C$2:$C$99,MATCH(Q$1&amp;"|"&amp;Customers!Q260,Mapping!$D$2:$D$99,0))</f>
        <v>1</v>
      </c>
      <c r="R260" s="8" t="n">
        <f aca="false">INDEX(Mapping!$C$2:$C$99,MATCH(R$1&amp;"|"&amp;Customers!R260,Mapping!$D$2:$D$99,0))</f>
        <v>1</v>
      </c>
      <c r="S260" s="8" t="n">
        <f aca="false">INDEX(Mapping!$C$2:$C$99,MATCH(S$1&amp;"|"&amp;Customers!S260,Mapping!$D$2:$D$99,0))</f>
        <v>2</v>
      </c>
      <c r="T260" s="8" t="n">
        <f aca="false">INDEX(Mapping!$C$2:$C$99,MATCH(T$1&amp;"|"&amp;Customers!T260,Mapping!$D$2:$D$99,0))</f>
        <v>1</v>
      </c>
      <c r="U260" s="8" t="n">
        <f aca="false">INDEX(Mapping!$C$2:$C$99,MATCH(U$1&amp;"|"&amp;Customers!U260,Mapping!$D$2:$D$99,0))</f>
        <v>1</v>
      </c>
      <c r="V260" s="8" t="n">
        <f aca="false">INDEX(Mapping!$C$2:$C$99,MATCH(V$1&amp;"|"&amp;Customers!V260,Mapping!$D$2:$D$99,0))</f>
        <v>1</v>
      </c>
      <c r="W260" s="17" t="n">
        <f aca="false">SUMPRODUCT($C260:$V260,Weights!$C$27:$V$27)</f>
        <v>1.595</v>
      </c>
      <c r="X260" s="18" t="n">
        <f aca="false">ROUND($W260,2)</f>
        <v>1.6</v>
      </c>
      <c r="Y260" s="8" t="str">
        <f aca="false">IF($X260&lt;=2,"Low",IF($X260&lt;=3.49,"Medium","High"))</f>
        <v>Low</v>
      </c>
      <c r="Z260" s="8" t="str">
        <f aca="false">IF(OR($F260&gt;=3,$E260=5,$D260=5,$C260=5,$G260=5,$H260=5,$I260=5,$J260=5,Customers!$W260="Yes"),"Yes","No")</f>
        <v>No</v>
      </c>
      <c r="AA260" s="15" t="str">
        <f aca="false">IF($Z260="Yes","High",$Y260)</f>
        <v>Low</v>
      </c>
      <c r="AB260" s="18" t="n">
        <f aca="false">SUMPRODUCT($C260:$G260,Weights!$C$28:$G$28)</f>
        <v>1.35</v>
      </c>
      <c r="AC260" s="18" t="n">
        <f aca="false">SUMPRODUCT($H260:$J260,Weights!$H$28:$J$28)</f>
        <v>1</v>
      </c>
      <c r="AD260" s="18" t="n">
        <f aca="false">SUMPRODUCT($K260:$N260,Weights!$K$28:$N$28)</f>
        <v>2.2</v>
      </c>
      <c r="AE260" s="18" t="n">
        <f aca="false">SUMPRODUCT($O260:$Q260,Weights!$O$28:$Q$28)</f>
        <v>3.05</v>
      </c>
      <c r="AF260" s="18" t="n">
        <f aca="false">SUMPRODUCT($R260:$V260,Weights!$R$28:$V$28)</f>
        <v>1.3</v>
      </c>
      <c r="AH260" s="18" t="n">
        <f aca="false">SUMPRODUCT($AB260:$AF260,Validation!$D$7:$H$7)</f>
        <v>1.6300000000002</v>
      </c>
      <c r="AI260" s="18" t="n">
        <f aca="false">SUMPRODUCT($AB260:$AF260,Validation!$D$8:$H$8)</f>
        <v>1.5599999999998</v>
      </c>
      <c r="AJ260" s="18" t="n">
        <f aca="false">SUMPRODUCT($AB260:$AF260,Validation!$D$9:$H$9)</f>
        <v>1.67433333333305</v>
      </c>
      <c r="AK260" s="18" t="n">
        <f aca="false">SUMPRODUCT($AB260:$AF260,Validation!$D$10:$H$10)</f>
        <v>1.51566666666695</v>
      </c>
      <c r="AL260" s="18" t="n">
        <f aca="false">SUMPRODUCT($AB260:$AF260,Validation!$D$11:$H$11)</f>
        <v>1.519375</v>
      </c>
      <c r="AM260" s="18" t="n">
        <f aca="false">SUMPRODUCT($AB260:$AF260,Validation!$D$12:$H$12)</f>
        <v>1.670625</v>
      </c>
      <c r="AN260" s="18" t="n">
        <f aca="false">SUMPRODUCT($AB260:$AF260,Validation!$D$13:$H$13)</f>
        <v>1.43333333333305</v>
      </c>
      <c r="AO260" s="18" t="n">
        <f aca="false">SUMPRODUCT($AB260:$AF260,Validation!$D$14:$H$14)</f>
        <v>1.75666666666695</v>
      </c>
      <c r="AP260" s="18" t="n">
        <f aca="false">SUMPRODUCT($AB260:$AF260,Validation!$D$15:$H$15)</f>
        <v>1.62970588235255</v>
      </c>
      <c r="AQ260" s="18" t="n">
        <f aca="false">SUMPRODUCT($AB260:$AF260,Validation!$D$16:$H$16)</f>
        <v>1.56029411764745</v>
      </c>
      <c r="AR260" s="8" t="n">
        <f aca="false">COUNTIF($C260:$V260,"&gt;=4")</f>
        <v>1</v>
      </c>
      <c r="AS260" s="8" t="str">
        <f aca="false">IF($X260&lt;=1.6,"Low",IF($X260&lt;=2.2,"Medium","High"))</f>
        <v>Low</v>
      </c>
      <c r="AT260" s="8" t="str">
        <f aca="false">IF($AR260=0,"Low",IF($AR260&lt;3,"Medium","High"))</f>
        <v>Medium</v>
      </c>
      <c r="AU260" s="8" t="str">
        <f aca="false">IF(OR($AS260="High",$AT260="High"),"High",IF(OR($AS260="Medium",$AT260="Medium"),"Medium","Low"))</f>
        <v>Medium</v>
      </c>
      <c r="AV260" s="15" t="str">
        <f aca="false">IF($Z260="Yes","High",$AU260)</f>
        <v>Medium</v>
      </c>
    </row>
    <row r="261" customFormat="false" ht="15" hidden="false" customHeight="false" outlineLevel="0" collapsed="false">
      <c r="A261" s="7" t="str">
        <f aca="false">Customers!$A261</f>
        <v>NG-10236</v>
      </c>
      <c r="B261" s="7" t="str">
        <f aca="false">Customers!$B261</f>
        <v>Personal</v>
      </c>
      <c r="C261" s="8" t="n">
        <f aca="false">INDEX(Mapping!$C$2:$C$99,MATCH(C$1&amp;"|"&amp;Customers!C261,Mapping!$D$2:$D$99,0))</f>
        <v>1</v>
      </c>
      <c r="D261" s="8" t="n">
        <f aca="false">INDEX(Mapping!$C$2:$C$99,MATCH(D$1&amp;"|"&amp;Customers!D261,Mapping!$D$2:$D$99,0))</f>
        <v>1</v>
      </c>
      <c r="E261" s="8" t="n">
        <f aca="false">INDEX(Mapping!$C$2:$C$99,MATCH(E$1&amp;"|"&amp;Customers!E261,Mapping!$D$2:$D$99,0))</f>
        <v>1</v>
      </c>
      <c r="F261" s="8" t="n">
        <f aca="false">INDEX(Mapping!$C$2:$C$99,MATCH(F$1&amp;"|"&amp;Customers!F261,Mapping!$D$2:$D$99,0))</f>
        <v>1</v>
      </c>
      <c r="G261" s="8" t="n">
        <f aca="false">INDEX(Mapping!$C$2:$C$99,MATCH(G$1&amp;"|"&amp;Customers!G261,Mapping!$D$2:$D$99,0))</f>
        <v>1</v>
      </c>
      <c r="H261" s="8" t="n">
        <f aca="false">INDEX(Mapping!$C$2:$C$99,MATCH(H$1&amp;"|"&amp;Customers!H261,Mapping!$D$2:$D$99,0))</f>
        <v>1</v>
      </c>
      <c r="I261" s="8" t="n">
        <f aca="false">INDEX(Mapping!$C$2:$C$99,MATCH(I$1&amp;"|"&amp;Customers!I261,Mapping!$D$2:$D$99,0))</f>
        <v>1</v>
      </c>
      <c r="J261" s="8" t="n">
        <f aca="false">INDEX(Mapping!$C$2:$C$99,MATCH(J$1&amp;"|"&amp;Customers!J261,Mapping!$D$2:$D$99,0))</f>
        <v>1</v>
      </c>
      <c r="K261" s="8" t="n">
        <f aca="false">INDEX(Mapping!$C$2:$C$99,MATCH(K$1&amp;"|"&amp;Customers!K261,Mapping!$D$2:$D$99,0))</f>
        <v>3</v>
      </c>
      <c r="L261" s="8" t="n">
        <f aca="false">INDEX(Mapping!$C$2:$C$99,MATCH(L$1&amp;"|"&amp;Customers!L261,Mapping!$D$2:$D$99,0))</f>
        <v>1</v>
      </c>
      <c r="M261" s="8" t="n">
        <f aca="false">INDEX(Mapping!$C$2:$C$99,MATCH(M$1&amp;"|"&amp;Customers!M261,Mapping!$D$2:$D$99,0))</f>
        <v>1</v>
      </c>
      <c r="N261" s="8" t="n">
        <f aca="false">INDEX(Mapping!$C$2:$C$99,MATCH(N$1&amp;"|"&amp;Customers!N261,Mapping!$D$2:$D$99,0))</f>
        <v>1</v>
      </c>
      <c r="O261" s="8" t="n">
        <f aca="false">INDEX(Mapping!$C$2:$C$99,MATCH(O$1&amp;"|"&amp;Customers!O261,Mapping!$D$2:$D$99,0))</f>
        <v>4</v>
      </c>
      <c r="P261" s="8" t="n">
        <f aca="false">INDEX(Mapping!$C$2:$C$99,MATCH(P$1&amp;"|"&amp;Customers!P261,Mapping!$D$2:$D$99,0))</f>
        <v>3</v>
      </c>
      <c r="Q261" s="8" t="n">
        <f aca="false">INDEX(Mapping!$C$2:$C$99,MATCH(Q$1&amp;"|"&amp;Customers!Q261,Mapping!$D$2:$D$99,0))</f>
        <v>3</v>
      </c>
      <c r="R261" s="8" t="n">
        <f aca="false">INDEX(Mapping!$C$2:$C$99,MATCH(R$1&amp;"|"&amp;Customers!R261,Mapping!$D$2:$D$99,0))</f>
        <v>1</v>
      </c>
      <c r="S261" s="8" t="n">
        <f aca="false">INDEX(Mapping!$C$2:$C$99,MATCH(S$1&amp;"|"&amp;Customers!S261,Mapping!$D$2:$D$99,0))</f>
        <v>1</v>
      </c>
      <c r="T261" s="8" t="n">
        <f aca="false">INDEX(Mapping!$C$2:$C$99,MATCH(T$1&amp;"|"&amp;Customers!T261,Mapping!$D$2:$D$99,0))</f>
        <v>1</v>
      </c>
      <c r="U261" s="8" t="n">
        <f aca="false">INDEX(Mapping!$C$2:$C$99,MATCH(U$1&amp;"|"&amp;Customers!U261,Mapping!$D$2:$D$99,0))</f>
        <v>2</v>
      </c>
      <c r="V261" s="8" t="n">
        <f aca="false">INDEX(Mapping!$C$2:$C$99,MATCH(V$1&amp;"|"&amp;Customers!V261,Mapping!$D$2:$D$99,0))</f>
        <v>1</v>
      </c>
      <c r="W261" s="17" t="n">
        <f aca="false">SUMPRODUCT($C261:$V261,Weights!$C$27:$V$27)</f>
        <v>1.4075</v>
      </c>
      <c r="X261" s="18" t="n">
        <f aca="false">ROUND($W261,2)</f>
        <v>1.41</v>
      </c>
      <c r="Y261" s="8" t="str">
        <f aca="false">IF($X261&lt;=2,"Low",IF($X261&lt;=3.49,"Medium","High"))</f>
        <v>Low</v>
      </c>
      <c r="Z261" s="8" t="str">
        <f aca="false">IF(OR($F261&gt;=3,$E261=5,$D261=5,$C261=5,$G261=5,$H261=5,$I261=5,$J261=5,Customers!$W261="Yes"),"Yes","No")</f>
        <v>No</v>
      </c>
      <c r="AA261" s="15" t="str">
        <f aca="false">IF($Z261="Yes","High",$Y261)</f>
        <v>Low</v>
      </c>
      <c r="AB261" s="18" t="n">
        <f aca="false">SUMPRODUCT($C261:$G261,Weights!$C$28:$G$28)</f>
        <v>1</v>
      </c>
      <c r="AC261" s="18" t="n">
        <f aca="false">SUMPRODUCT($H261:$J261,Weights!$H$28:$J$28)</f>
        <v>1</v>
      </c>
      <c r="AD261" s="18" t="n">
        <f aca="false">SUMPRODUCT($K261:$N261,Weights!$K$28:$N$28)</f>
        <v>1.7</v>
      </c>
      <c r="AE261" s="18" t="n">
        <f aca="false">SUMPRODUCT($O261:$Q261,Weights!$O$28:$Q$28)</f>
        <v>3.45</v>
      </c>
      <c r="AF261" s="18" t="n">
        <f aca="false">SUMPRODUCT($R261:$V261,Weights!$R$28:$V$28)</f>
        <v>1.15</v>
      </c>
      <c r="AH261" s="18" t="n">
        <f aca="false">SUMPRODUCT($AB261:$AF261,Validation!$D$7:$H$7)</f>
        <v>1.46571428571475</v>
      </c>
      <c r="AI261" s="18" t="n">
        <f aca="false">SUMPRODUCT($AB261:$AF261,Validation!$D$8:$H$8)</f>
        <v>1.34928571428525</v>
      </c>
      <c r="AJ261" s="18" t="n">
        <f aca="false">SUMPRODUCT($AB261:$AF261,Validation!$D$9:$H$9)</f>
        <v>1.46183333333275</v>
      </c>
      <c r="AK261" s="18" t="n">
        <f aca="false">SUMPRODUCT($AB261:$AF261,Validation!$D$10:$H$10)</f>
        <v>1.35316666666725</v>
      </c>
      <c r="AL261" s="18" t="n">
        <f aca="false">SUMPRODUCT($AB261:$AF261,Validation!$D$11:$H$11)</f>
        <v>1.3709375</v>
      </c>
      <c r="AM261" s="18" t="n">
        <f aca="false">SUMPRODUCT($AB261:$AF261,Validation!$D$12:$H$12)</f>
        <v>1.4440625</v>
      </c>
      <c r="AN261" s="18" t="n">
        <f aca="false">SUMPRODUCT($AB261:$AF261,Validation!$D$13:$H$13)</f>
        <v>1.18055555555545</v>
      </c>
      <c r="AO261" s="18" t="n">
        <f aca="false">SUMPRODUCT($AB261:$AF261,Validation!$D$14:$H$14)</f>
        <v>1.63444444444455</v>
      </c>
      <c r="AP261" s="18" t="n">
        <f aca="false">SUMPRODUCT($AB261:$AF261,Validation!$D$15:$H$15)</f>
        <v>1.4377941176464</v>
      </c>
      <c r="AQ261" s="18" t="n">
        <f aca="false">SUMPRODUCT($AB261:$AF261,Validation!$D$16:$H$16)</f>
        <v>1.3772058823536</v>
      </c>
      <c r="AR261" s="8" t="n">
        <f aca="false">COUNTIF($C261:$V261,"&gt;=4")</f>
        <v>1</v>
      </c>
      <c r="AS261" s="8" t="str">
        <f aca="false">IF($X261&lt;=1.6,"Low",IF($X261&lt;=2.2,"Medium","High"))</f>
        <v>Low</v>
      </c>
      <c r="AT261" s="8" t="str">
        <f aca="false">IF($AR261=0,"Low",IF($AR261&lt;3,"Medium","High"))</f>
        <v>Medium</v>
      </c>
      <c r="AU261" s="8" t="str">
        <f aca="false">IF(OR($AS261="High",$AT261="High"),"High",IF(OR($AS261="Medium",$AT261="Medium"),"Medium","Low"))</f>
        <v>Medium</v>
      </c>
      <c r="AV261" s="15" t="str">
        <f aca="false">IF($Z261="Yes","High",$AU261)</f>
        <v>Medium</v>
      </c>
    </row>
    <row r="262" customFormat="false" ht="15" hidden="false" customHeight="false" outlineLevel="0" collapsed="false">
      <c r="A262" s="7" t="str">
        <f aca="false">Customers!$A262</f>
        <v>NG-10345</v>
      </c>
      <c r="B262" s="7" t="str">
        <f aca="false">Customers!$B262</f>
        <v>Sole trader</v>
      </c>
      <c r="C262" s="8" t="n">
        <f aca="false">INDEX(Mapping!$C$2:$C$99,MATCH(C$1&amp;"|"&amp;Customers!C262,Mapping!$D$2:$D$99,0))</f>
        <v>2</v>
      </c>
      <c r="D262" s="8" t="n">
        <f aca="false">INDEX(Mapping!$C$2:$C$99,MATCH(D$1&amp;"|"&amp;Customers!D262,Mapping!$D$2:$D$99,0))</f>
        <v>1</v>
      </c>
      <c r="E262" s="8" t="n">
        <f aca="false">INDEX(Mapping!$C$2:$C$99,MATCH(E$1&amp;"|"&amp;Customers!E262,Mapping!$D$2:$D$99,0))</f>
        <v>4</v>
      </c>
      <c r="F262" s="8" t="n">
        <f aca="false">INDEX(Mapping!$C$2:$C$99,MATCH(F$1&amp;"|"&amp;Customers!F262,Mapping!$D$2:$D$99,0))</f>
        <v>1</v>
      </c>
      <c r="G262" s="8" t="n">
        <f aca="false">INDEX(Mapping!$C$2:$C$99,MATCH(G$1&amp;"|"&amp;Customers!G262,Mapping!$D$2:$D$99,0))</f>
        <v>1</v>
      </c>
      <c r="H262" s="8" t="n">
        <f aca="false">INDEX(Mapping!$C$2:$C$99,MATCH(H$1&amp;"|"&amp;Customers!H262,Mapping!$D$2:$D$99,0))</f>
        <v>1</v>
      </c>
      <c r="I262" s="8" t="n">
        <f aca="false">INDEX(Mapping!$C$2:$C$99,MATCH(I$1&amp;"|"&amp;Customers!I262,Mapping!$D$2:$D$99,0))</f>
        <v>2</v>
      </c>
      <c r="J262" s="8" t="n">
        <f aca="false">INDEX(Mapping!$C$2:$C$99,MATCH(J$1&amp;"|"&amp;Customers!J262,Mapping!$D$2:$D$99,0))</f>
        <v>5</v>
      </c>
      <c r="K262" s="8" t="n">
        <f aca="false">INDEX(Mapping!$C$2:$C$99,MATCH(K$1&amp;"|"&amp;Customers!K262,Mapping!$D$2:$D$99,0))</f>
        <v>4</v>
      </c>
      <c r="L262" s="8" t="n">
        <f aca="false">INDEX(Mapping!$C$2:$C$99,MATCH(L$1&amp;"|"&amp;Customers!L262,Mapping!$D$2:$D$99,0))</f>
        <v>3</v>
      </c>
      <c r="M262" s="8" t="n">
        <f aca="false">INDEX(Mapping!$C$2:$C$99,MATCH(M$1&amp;"|"&amp;Customers!M262,Mapping!$D$2:$D$99,0))</f>
        <v>1</v>
      </c>
      <c r="N262" s="8" t="n">
        <f aca="false">INDEX(Mapping!$C$2:$C$99,MATCH(N$1&amp;"|"&amp;Customers!N262,Mapping!$D$2:$D$99,0))</f>
        <v>1</v>
      </c>
      <c r="O262" s="8" t="n">
        <f aca="false">INDEX(Mapping!$C$2:$C$99,MATCH(O$1&amp;"|"&amp;Customers!O262,Mapping!$D$2:$D$99,0))</f>
        <v>3</v>
      </c>
      <c r="P262" s="8" t="n">
        <f aca="false">INDEX(Mapping!$C$2:$C$99,MATCH(P$1&amp;"|"&amp;Customers!P262,Mapping!$D$2:$D$99,0))</f>
        <v>4</v>
      </c>
      <c r="Q262" s="8" t="n">
        <f aca="false">INDEX(Mapping!$C$2:$C$99,MATCH(Q$1&amp;"|"&amp;Customers!Q262,Mapping!$D$2:$D$99,0))</f>
        <v>1</v>
      </c>
      <c r="R262" s="8" t="n">
        <f aca="false">INDEX(Mapping!$C$2:$C$99,MATCH(R$1&amp;"|"&amp;Customers!R262,Mapping!$D$2:$D$99,0))</f>
        <v>3</v>
      </c>
      <c r="S262" s="8" t="n">
        <f aca="false">INDEX(Mapping!$C$2:$C$99,MATCH(S$1&amp;"|"&amp;Customers!S262,Mapping!$D$2:$D$99,0))</f>
        <v>3</v>
      </c>
      <c r="T262" s="8" t="n">
        <f aca="false">INDEX(Mapping!$C$2:$C$99,MATCH(T$1&amp;"|"&amp;Customers!T262,Mapping!$D$2:$D$99,0))</f>
        <v>1</v>
      </c>
      <c r="U262" s="8" t="n">
        <f aca="false">INDEX(Mapping!$C$2:$C$99,MATCH(U$1&amp;"|"&amp;Customers!U262,Mapping!$D$2:$D$99,0))</f>
        <v>2</v>
      </c>
      <c r="V262" s="8" t="n">
        <f aca="false">INDEX(Mapping!$C$2:$C$99,MATCH(V$1&amp;"|"&amp;Customers!V262,Mapping!$D$2:$D$99,0))</f>
        <v>2</v>
      </c>
      <c r="W262" s="17" t="n">
        <f aca="false">SUMPRODUCT($C262:$V262,Weights!$C$27:$V$27)</f>
        <v>2.4425</v>
      </c>
      <c r="X262" s="18" t="n">
        <f aca="false">ROUND($W262,2)</f>
        <v>2.44</v>
      </c>
      <c r="Y262" s="8" t="str">
        <f aca="false">IF($X262&lt;=2,"Low",IF($X262&lt;=3.49,"Medium","High"))</f>
        <v>Medium</v>
      </c>
      <c r="Z262" s="8" t="str">
        <f aca="false">IF(OR($F262&gt;=3,$E262=5,$D262=5,$C262=5,$G262=5,$H262=5,$I262=5,$J262=5,Customers!$W262="Yes"),"Yes","No")</f>
        <v>Yes</v>
      </c>
      <c r="AA262" s="15" t="str">
        <f aca="false">IF($Z262="Yes","High",$Y262)</f>
        <v>High</v>
      </c>
      <c r="AB262" s="18" t="n">
        <f aca="false">SUMPRODUCT($C262:$G262,Weights!$C$28:$G$28)</f>
        <v>1.95</v>
      </c>
      <c r="AC262" s="18" t="n">
        <f aca="false">SUMPRODUCT($H262:$J262,Weights!$H$28:$J$28)</f>
        <v>2.8</v>
      </c>
      <c r="AD262" s="18" t="n">
        <f aca="false">SUMPRODUCT($K262:$N262,Weights!$K$28:$N$28)</f>
        <v>2.55</v>
      </c>
      <c r="AE262" s="18" t="n">
        <f aca="false">SUMPRODUCT($O262:$Q262,Weights!$O$28:$Q$28)</f>
        <v>2.95</v>
      </c>
      <c r="AF262" s="18" t="n">
        <f aca="false">SUMPRODUCT($R262:$V262,Weights!$R$28:$V$28)</f>
        <v>2.35</v>
      </c>
      <c r="AH262" s="18" t="n">
        <f aca="false">SUMPRODUCT($AB262:$AF262,Validation!$D$7:$H$7)</f>
        <v>2.5128571428571</v>
      </c>
      <c r="AI262" s="18" t="n">
        <f aca="false">SUMPRODUCT($AB262:$AF262,Validation!$D$8:$H$8)</f>
        <v>2.3721428571429</v>
      </c>
      <c r="AJ262" s="18" t="n">
        <f aca="false">SUMPRODUCT($AB262:$AF262,Validation!$D$9:$H$9)</f>
        <v>2.3948333333332</v>
      </c>
      <c r="AK262" s="18" t="n">
        <f aca="false">SUMPRODUCT($AB262:$AF262,Validation!$D$10:$H$10)</f>
        <v>2.4901666666668</v>
      </c>
      <c r="AL262" s="18" t="n">
        <f aca="false">SUMPRODUCT($AB262:$AF262,Validation!$D$11:$H$11)</f>
        <v>2.4290625</v>
      </c>
      <c r="AM262" s="18" t="n">
        <f aca="false">SUMPRODUCT($AB262:$AF262,Validation!$D$12:$H$12)</f>
        <v>2.4559375</v>
      </c>
      <c r="AN262" s="18" t="n">
        <f aca="false">SUMPRODUCT($AB262:$AF262,Validation!$D$13:$H$13)</f>
        <v>2.3861111111113</v>
      </c>
      <c r="AO262" s="18" t="n">
        <f aca="false">SUMPRODUCT($AB262:$AF262,Validation!$D$14:$H$14)</f>
        <v>2.4988888888887</v>
      </c>
      <c r="AP262" s="18" t="n">
        <f aca="false">SUMPRODUCT($AB262:$AF262,Validation!$D$15:$H$15)</f>
        <v>2.4533823529411</v>
      </c>
      <c r="AQ262" s="18" t="n">
        <f aca="false">SUMPRODUCT($AB262:$AF262,Validation!$D$16:$H$16)</f>
        <v>2.4316176470589</v>
      </c>
      <c r="AR262" s="8" t="n">
        <f aca="false">COUNTIF($C262:$V262,"&gt;=4")</f>
        <v>4</v>
      </c>
      <c r="AS262" s="8" t="str">
        <f aca="false">IF($X262&lt;=1.6,"Low",IF($X262&lt;=2.2,"Medium","High"))</f>
        <v>High</v>
      </c>
      <c r="AT262" s="8" t="str">
        <f aca="false">IF($AR262=0,"Low",IF($AR262&lt;3,"Medium","High"))</f>
        <v>High</v>
      </c>
      <c r="AU262" s="8" t="str">
        <f aca="false">IF(OR($AS262="High",$AT262="High"),"High",IF(OR($AS262="Medium",$AT262="Medium"),"Medium","Low"))</f>
        <v>High</v>
      </c>
      <c r="AV262" s="15" t="str">
        <f aca="false">IF($Z262="Yes","High",$AU262)</f>
        <v>High</v>
      </c>
    </row>
    <row r="263" customFormat="false" ht="15" hidden="false" customHeight="false" outlineLevel="0" collapsed="false">
      <c r="A263" s="7" t="str">
        <f aca="false">Customers!$A263</f>
        <v>NG-10363</v>
      </c>
      <c r="B263" s="7" t="str">
        <f aca="false">Customers!$B263</f>
        <v>Limited company</v>
      </c>
      <c r="C263" s="8" t="n">
        <f aca="false">INDEX(Mapping!$C$2:$C$99,MATCH(C$1&amp;"|"&amp;Customers!C263,Mapping!$D$2:$D$99,0))</f>
        <v>3</v>
      </c>
      <c r="D263" s="8" t="n">
        <f aca="false">INDEX(Mapping!$C$2:$C$99,MATCH(D$1&amp;"|"&amp;Customers!D263,Mapping!$D$2:$D$99,0))</f>
        <v>2</v>
      </c>
      <c r="E263" s="8" t="n">
        <f aca="false">INDEX(Mapping!$C$2:$C$99,MATCH(E$1&amp;"|"&amp;Customers!E263,Mapping!$D$2:$D$99,0))</f>
        <v>2</v>
      </c>
      <c r="F263" s="8" t="n">
        <f aca="false">INDEX(Mapping!$C$2:$C$99,MATCH(F$1&amp;"|"&amp;Customers!F263,Mapping!$D$2:$D$99,0))</f>
        <v>1</v>
      </c>
      <c r="G263" s="8" t="n">
        <f aca="false">INDEX(Mapping!$C$2:$C$99,MATCH(G$1&amp;"|"&amp;Customers!G263,Mapping!$D$2:$D$99,0))</f>
        <v>1</v>
      </c>
      <c r="H263" s="8" t="n">
        <f aca="false">INDEX(Mapping!$C$2:$C$99,MATCH(H$1&amp;"|"&amp;Customers!H263,Mapping!$D$2:$D$99,0))</f>
        <v>1</v>
      </c>
      <c r="I263" s="8" t="n">
        <f aca="false">INDEX(Mapping!$C$2:$C$99,MATCH(I$1&amp;"|"&amp;Customers!I263,Mapping!$D$2:$D$99,0))</f>
        <v>1</v>
      </c>
      <c r="J263" s="8" t="n">
        <f aca="false">INDEX(Mapping!$C$2:$C$99,MATCH(J$1&amp;"|"&amp;Customers!J263,Mapping!$D$2:$D$99,0))</f>
        <v>2</v>
      </c>
      <c r="K263" s="8" t="n">
        <f aca="false">INDEX(Mapping!$C$2:$C$99,MATCH(K$1&amp;"|"&amp;Customers!K263,Mapping!$D$2:$D$99,0))</f>
        <v>5</v>
      </c>
      <c r="L263" s="8" t="n">
        <f aca="false">INDEX(Mapping!$C$2:$C$99,MATCH(L$1&amp;"|"&amp;Customers!L263,Mapping!$D$2:$D$99,0))</f>
        <v>5</v>
      </c>
      <c r="M263" s="8" t="n">
        <f aca="false">INDEX(Mapping!$C$2:$C$99,MATCH(M$1&amp;"|"&amp;Customers!M263,Mapping!$D$2:$D$99,0))</f>
        <v>1</v>
      </c>
      <c r="N263" s="8" t="n">
        <f aca="false">INDEX(Mapping!$C$2:$C$99,MATCH(N$1&amp;"|"&amp;Customers!N263,Mapping!$D$2:$D$99,0))</f>
        <v>3</v>
      </c>
      <c r="O263" s="8" t="n">
        <f aca="false">INDEX(Mapping!$C$2:$C$99,MATCH(O$1&amp;"|"&amp;Customers!O263,Mapping!$D$2:$D$99,0))</f>
        <v>3</v>
      </c>
      <c r="P263" s="8" t="n">
        <f aca="false">INDEX(Mapping!$C$2:$C$99,MATCH(P$1&amp;"|"&amp;Customers!P263,Mapping!$D$2:$D$99,0))</f>
        <v>4</v>
      </c>
      <c r="Q263" s="8" t="n">
        <f aca="false">INDEX(Mapping!$C$2:$C$99,MATCH(Q$1&amp;"|"&amp;Customers!Q263,Mapping!$D$2:$D$99,0))</f>
        <v>4</v>
      </c>
      <c r="R263" s="8" t="n">
        <f aca="false">INDEX(Mapping!$C$2:$C$99,MATCH(R$1&amp;"|"&amp;Customers!R263,Mapping!$D$2:$D$99,0))</f>
        <v>3</v>
      </c>
      <c r="S263" s="8" t="n">
        <f aca="false">INDEX(Mapping!$C$2:$C$99,MATCH(S$1&amp;"|"&amp;Customers!S263,Mapping!$D$2:$D$99,0))</f>
        <v>2</v>
      </c>
      <c r="T263" s="8" t="n">
        <f aca="false">INDEX(Mapping!$C$2:$C$99,MATCH(T$1&amp;"|"&amp;Customers!T263,Mapping!$D$2:$D$99,0))</f>
        <v>2</v>
      </c>
      <c r="U263" s="8" t="n">
        <f aca="false">INDEX(Mapping!$C$2:$C$99,MATCH(U$1&amp;"|"&amp;Customers!U263,Mapping!$D$2:$D$99,0))</f>
        <v>4</v>
      </c>
      <c r="V263" s="8" t="n">
        <f aca="false">INDEX(Mapping!$C$2:$C$99,MATCH(V$1&amp;"|"&amp;Customers!V263,Mapping!$D$2:$D$99,0))</f>
        <v>1</v>
      </c>
      <c r="W263" s="17" t="n">
        <f aca="false">SUMPRODUCT($C263:$V263,Weights!$C$27:$V$27)</f>
        <v>2.3675</v>
      </c>
      <c r="X263" s="18" t="n">
        <f aca="false">ROUND($W263,2)</f>
        <v>2.37</v>
      </c>
      <c r="Y263" s="8" t="str">
        <f aca="false">IF($X263&lt;=2,"Low",IF($X263&lt;=3.49,"Medium","High"))</f>
        <v>Medium</v>
      </c>
      <c r="Z263" s="8" t="str">
        <f aca="false">IF(OR($F263&gt;=3,$E263=5,$D263=5,$C263=5,$G263=5,$H263=5,$I263=5,$J263=5,Customers!$W263="Yes"),"Yes","No")</f>
        <v>No</v>
      </c>
      <c r="AA263" s="15" t="str">
        <f aca="false">IF($Z263="Yes","High",$Y263)</f>
        <v>Medium</v>
      </c>
      <c r="AB263" s="18" t="n">
        <f aca="false">SUMPRODUCT($C263:$G263,Weights!$C$28:$G$28)</f>
        <v>1.85</v>
      </c>
      <c r="AC263" s="18" t="n">
        <f aca="false">SUMPRODUCT($H263:$J263,Weights!$H$28:$J$28)</f>
        <v>1.4</v>
      </c>
      <c r="AD263" s="18" t="n">
        <f aca="false">SUMPRODUCT($K263:$N263,Weights!$K$28:$N$28)</f>
        <v>3.7</v>
      </c>
      <c r="AE263" s="18" t="n">
        <f aca="false">SUMPRODUCT($O263:$Q263,Weights!$O$28:$Q$28)</f>
        <v>3.55</v>
      </c>
      <c r="AF263" s="18" t="n">
        <f aca="false">SUMPRODUCT($R263:$V263,Weights!$R$28:$V$28)</f>
        <v>2.45</v>
      </c>
      <c r="AH263" s="18" t="n">
        <f aca="false">SUMPRODUCT($AB263:$AF263,Validation!$D$7:$H$7)</f>
        <v>2.44142857142865</v>
      </c>
      <c r="AI263" s="18" t="n">
        <f aca="false">SUMPRODUCT($AB263:$AF263,Validation!$D$8:$H$8)</f>
        <v>2.29357142857135</v>
      </c>
      <c r="AJ263" s="18" t="n">
        <f aca="false">SUMPRODUCT($AB263:$AF263,Validation!$D$9:$H$9)</f>
        <v>2.49650000000005</v>
      </c>
      <c r="AK263" s="18" t="n">
        <f aca="false">SUMPRODUCT($AB263:$AF263,Validation!$D$10:$H$10)</f>
        <v>2.23849999999995</v>
      </c>
      <c r="AL263" s="18" t="n">
        <f aca="false">SUMPRODUCT($AB263:$AF263,Validation!$D$11:$H$11)</f>
        <v>2.2009375</v>
      </c>
      <c r="AM263" s="18" t="n">
        <f aca="false">SUMPRODUCT($AB263:$AF263,Validation!$D$12:$H$12)</f>
        <v>2.5340625</v>
      </c>
      <c r="AN263" s="18" t="n">
        <f aca="false">SUMPRODUCT($AB263:$AF263,Validation!$D$13:$H$13)</f>
        <v>2.2361111111108</v>
      </c>
      <c r="AO263" s="18" t="n">
        <f aca="false">SUMPRODUCT($AB263:$AF263,Validation!$D$14:$H$14)</f>
        <v>2.4988888888892</v>
      </c>
      <c r="AP263" s="18" t="n">
        <f aca="false">SUMPRODUCT($AB263:$AF263,Validation!$D$15:$H$15)</f>
        <v>2.35779411764695</v>
      </c>
      <c r="AQ263" s="18" t="n">
        <f aca="false">SUMPRODUCT($AB263:$AF263,Validation!$D$16:$H$16)</f>
        <v>2.37720588235305</v>
      </c>
      <c r="AR263" s="8" t="n">
        <f aca="false">COUNTIF($C263:$V263,"&gt;=4")</f>
        <v>5</v>
      </c>
      <c r="AS263" s="8" t="str">
        <f aca="false">IF($X263&lt;=1.6,"Low",IF($X263&lt;=2.2,"Medium","High"))</f>
        <v>High</v>
      </c>
      <c r="AT263" s="8" t="str">
        <f aca="false">IF($AR263=0,"Low",IF($AR263&lt;3,"Medium","High"))</f>
        <v>High</v>
      </c>
      <c r="AU263" s="8" t="str">
        <f aca="false">IF(OR($AS263="High",$AT263="High"),"High",IF(OR($AS263="Medium",$AT263="Medium"),"Medium","Low"))</f>
        <v>High</v>
      </c>
      <c r="AV263" s="15" t="str">
        <f aca="false">IF($Z263="Yes","High",$AU263)</f>
        <v>High</v>
      </c>
    </row>
    <row r="264" customFormat="false" ht="15" hidden="false" customHeight="false" outlineLevel="0" collapsed="false">
      <c r="A264" s="7" t="str">
        <f aca="false">Customers!$A264</f>
        <v>NG-10219</v>
      </c>
      <c r="B264" s="7" t="str">
        <f aca="false">Customers!$B264</f>
        <v>Personal</v>
      </c>
      <c r="C264" s="8" t="n">
        <f aca="false">INDEX(Mapping!$C$2:$C$99,MATCH(C$1&amp;"|"&amp;Customers!C264,Mapping!$D$2:$D$99,0))</f>
        <v>1</v>
      </c>
      <c r="D264" s="8" t="n">
        <f aca="false">INDEX(Mapping!$C$2:$C$99,MATCH(D$1&amp;"|"&amp;Customers!D264,Mapping!$D$2:$D$99,0))</f>
        <v>1</v>
      </c>
      <c r="E264" s="8" t="n">
        <f aca="false">INDEX(Mapping!$C$2:$C$99,MATCH(E$1&amp;"|"&amp;Customers!E264,Mapping!$D$2:$D$99,0))</f>
        <v>1</v>
      </c>
      <c r="F264" s="8" t="n">
        <f aca="false">INDEX(Mapping!$C$2:$C$99,MATCH(F$1&amp;"|"&amp;Customers!F264,Mapping!$D$2:$D$99,0))</f>
        <v>1</v>
      </c>
      <c r="G264" s="8" t="n">
        <f aca="false">INDEX(Mapping!$C$2:$C$99,MATCH(G$1&amp;"|"&amp;Customers!G264,Mapping!$D$2:$D$99,0))</f>
        <v>1</v>
      </c>
      <c r="H264" s="8" t="n">
        <f aca="false">INDEX(Mapping!$C$2:$C$99,MATCH(H$1&amp;"|"&amp;Customers!H264,Mapping!$D$2:$D$99,0))</f>
        <v>1</v>
      </c>
      <c r="I264" s="8" t="n">
        <f aca="false">INDEX(Mapping!$C$2:$C$99,MATCH(I$1&amp;"|"&amp;Customers!I264,Mapping!$D$2:$D$99,0))</f>
        <v>1</v>
      </c>
      <c r="J264" s="8" t="n">
        <f aca="false">INDEX(Mapping!$C$2:$C$99,MATCH(J$1&amp;"|"&amp;Customers!J264,Mapping!$D$2:$D$99,0))</f>
        <v>1</v>
      </c>
      <c r="K264" s="8" t="n">
        <f aca="false">INDEX(Mapping!$C$2:$C$99,MATCH(K$1&amp;"|"&amp;Customers!K264,Mapping!$D$2:$D$99,0))</f>
        <v>2</v>
      </c>
      <c r="L264" s="8" t="n">
        <f aca="false">INDEX(Mapping!$C$2:$C$99,MATCH(L$1&amp;"|"&amp;Customers!L264,Mapping!$D$2:$D$99,0))</f>
        <v>3</v>
      </c>
      <c r="M264" s="8" t="n">
        <f aca="false">INDEX(Mapping!$C$2:$C$99,MATCH(M$1&amp;"|"&amp;Customers!M264,Mapping!$D$2:$D$99,0))</f>
        <v>2</v>
      </c>
      <c r="N264" s="8" t="n">
        <f aca="false">INDEX(Mapping!$C$2:$C$99,MATCH(N$1&amp;"|"&amp;Customers!N264,Mapping!$D$2:$D$99,0))</f>
        <v>1</v>
      </c>
      <c r="O264" s="8" t="n">
        <f aca="false">INDEX(Mapping!$C$2:$C$99,MATCH(O$1&amp;"|"&amp;Customers!O264,Mapping!$D$2:$D$99,0))</f>
        <v>1</v>
      </c>
      <c r="P264" s="8" t="n">
        <f aca="false">INDEX(Mapping!$C$2:$C$99,MATCH(P$1&amp;"|"&amp;Customers!P264,Mapping!$D$2:$D$99,0))</f>
        <v>4</v>
      </c>
      <c r="Q264" s="8" t="n">
        <f aca="false">INDEX(Mapping!$C$2:$C$99,MATCH(Q$1&amp;"|"&amp;Customers!Q264,Mapping!$D$2:$D$99,0))</f>
        <v>1</v>
      </c>
      <c r="R264" s="8" t="n">
        <f aca="false">INDEX(Mapping!$C$2:$C$99,MATCH(R$1&amp;"|"&amp;Customers!R264,Mapping!$D$2:$D$99,0))</f>
        <v>1</v>
      </c>
      <c r="S264" s="8" t="n">
        <f aca="false">INDEX(Mapping!$C$2:$C$99,MATCH(S$1&amp;"|"&amp;Customers!S264,Mapping!$D$2:$D$99,0))</f>
        <v>3</v>
      </c>
      <c r="T264" s="8" t="n">
        <f aca="false">INDEX(Mapping!$C$2:$C$99,MATCH(T$1&amp;"|"&amp;Customers!T264,Mapping!$D$2:$D$99,0))</f>
        <v>1</v>
      </c>
      <c r="U264" s="8" t="n">
        <f aca="false">INDEX(Mapping!$C$2:$C$99,MATCH(U$1&amp;"|"&amp;Customers!U264,Mapping!$D$2:$D$99,0))</f>
        <v>4</v>
      </c>
      <c r="V264" s="8" t="n">
        <f aca="false">INDEX(Mapping!$C$2:$C$99,MATCH(V$1&amp;"|"&amp;Customers!V264,Mapping!$D$2:$D$99,0))</f>
        <v>1</v>
      </c>
      <c r="W264" s="17" t="n">
        <f aca="false">SUMPRODUCT($C264:$V264,Weights!$C$27:$V$27)</f>
        <v>1.4825</v>
      </c>
      <c r="X264" s="18" t="n">
        <f aca="false">ROUND($W264,2)</f>
        <v>1.48</v>
      </c>
      <c r="Y264" s="8" t="str">
        <f aca="false">IF($X264&lt;=2,"Low",IF($X264&lt;=3.49,"Medium","High"))</f>
        <v>Low</v>
      </c>
      <c r="Z264" s="8" t="str">
        <f aca="false">IF(OR($F264&gt;=3,$E264=5,$D264=5,$C264=5,$G264=5,$H264=5,$I264=5,$J264=5,Customers!$W264="Yes"),"Yes","No")</f>
        <v>No</v>
      </c>
      <c r="AA264" s="15" t="str">
        <f aca="false">IF($Z264="Yes","High",$Y264)</f>
        <v>Low</v>
      </c>
      <c r="AB264" s="18" t="n">
        <f aca="false">SUMPRODUCT($C264:$G264,Weights!$C$28:$G$28)</f>
        <v>1</v>
      </c>
      <c r="AC264" s="18" t="n">
        <f aca="false">SUMPRODUCT($H264:$J264,Weights!$H$28:$J$28)</f>
        <v>1</v>
      </c>
      <c r="AD264" s="18" t="n">
        <f aca="false">SUMPRODUCT($K264:$N264,Weights!$K$28:$N$28)</f>
        <v>2.1</v>
      </c>
      <c r="AE264" s="18" t="n">
        <f aca="false">SUMPRODUCT($O264:$Q264,Weights!$O$28:$Q$28)</f>
        <v>2.05</v>
      </c>
      <c r="AF264" s="18" t="n">
        <f aca="false">SUMPRODUCT($R264:$V264,Weights!$R$28:$V$28)</f>
        <v>2.05</v>
      </c>
      <c r="AH264" s="18" t="n">
        <f aca="false">SUMPRODUCT($AB264:$AF264,Validation!$D$7:$H$7)</f>
        <v>1.55142857142885</v>
      </c>
      <c r="AI264" s="18" t="n">
        <f aca="false">SUMPRODUCT($AB264:$AF264,Validation!$D$8:$H$8)</f>
        <v>1.41357142857115</v>
      </c>
      <c r="AJ264" s="18" t="n">
        <f aca="false">SUMPRODUCT($AB264:$AF264,Validation!$D$9:$H$9)</f>
        <v>1.54683333333335</v>
      </c>
      <c r="AK264" s="18" t="n">
        <f aca="false">SUMPRODUCT($AB264:$AF264,Validation!$D$10:$H$10)</f>
        <v>1.41816666666665</v>
      </c>
      <c r="AL264" s="18" t="n">
        <f aca="false">SUMPRODUCT($AB264:$AF264,Validation!$D$11:$H$11)</f>
        <v>1.4053125</v>
      </c>
      <c r="AM264" s="18" t="n">
        <f aca="false">SUMPRODUCT($AB264:$AF264,Validation!$D$12:$H$12)</f>
        <v>1.5596875</v>
      </c>
      <c r="AN264" s="18" t="n">
        <f aca="false">SUMPRODUCT($AB264:$AF264,Validation!$D$13:$H$13)</f>
        <v>1.41944444444455</v>
      </c>
      <c r="AO264" s="18" t="n">
        <f aca="false">SUMPRODUCT($AB264:$AF264,Validation!$D$14:$H$14)</f>
        <v>1.54555555555545</v>
      </c>
      <c r="AP264" s="18" t="n">
        <f aca="false">SUMPRODUCT($AB264:$AF264,Validation!$D$15:$H$15)</f>
        <v>1.4157352941176</v>
      </c>
      <c r="AQ264" s="18" t="n">
        <f aca="false">SUMPRODUCT($AB264:$AF264,Validation!$D$16:$H$16)</f>
        <v>1.5492647058824</v>
      </c>
      <c r="AR264" s="8" t="n">
        <f aca="false">COUNTIF($C264:$V264,"&gt;=4")</f>
        <v>2</v>
      </c>
      <c r="AS264" s="8" t="str">
        <f aca="false">IF($X264&lt;=1.6,"Low",IF($X264&lt;=2.2,"Medium","High"))</f>
        <v>Low</v>
      </c>
      <c r="AT264" s="8" t="str">
        <f aca="false">IF($AR264=0,"Low",IF($AR264&lt;3,"Medium","High"))</f>
        <v>Medium</v>
      </c>
      <c r="AU264" s="8" t="str">
        <f aca="false">IF(OR($AS264="High",$AT264="High"),"High",IF(OR($AS264="Medium",$AT264="Medium"),"Medium","Low"))</f>
        <v>Medium</v>
      </c>
      <c r="AV264" s="15" t="str">
        <f aca="false">IF($Z264="Yes","High",$AU264)</f>
        <v>Medium</v>
      </c>
    </row>
    <row r="265" customFormat="false" ht="15" hidden="false" customHeight="false" outlineLevel="0" collapsed="false">
      <c r="A265" s="7" t="str">
        <f aca="false">Customers!$A265</f>
        <v>NG-10214</v>
      </c>
      <c r="B265" s="7" t="str">
        <f aca="false">Customers!$B265</f>
        <v>Personal</v>
      </c>
      <c r="C265" s="8" t="n">
        <f aca="false">INDEX(Mapping!$C$2:$C$99,MATCH(C$1&amp;"|"&amp;Customers!C265,Mapping!$D$2:$D$99,0))</f>
        <v>1</v>
      </c>
      <c r="D265" s="8" t="n">
        <f aca="false">INDEX(Mapping!$C$2:$C$99,MATCH(D$1&amp;"|"&amp;Customers!D265,Mapping!$D$2:$D$99,0))</f>
        <v>1</v>
      </c>
      <c r="E265" s="8" t="n">
        <f aca="false">INDEX(Mapping!$C$2:$C$99,MATCH(E$1&amp;"|"&amp;Customers!E265,Mapping!$D$2:$D$99,0))</f>
        <v>3</v>
      </c>
      <c r="F265" s="8" t="n">
        <f aca="false">INDEX(Mapping!$C$2:$C$99,MATCH(F$1&amp;"|"&amp;Customers!F265,Mapping!$D$2:$D$99,0))</f>
        <v>1</v>
      </c>
      <c r="G265" s="8" t="n">
        <f aca="false">INDEX(Mapping!$C$2:$C$99,MATCH(G$1&amp;"|"&amp;Customers!G265,Mapping!$D$2:$D$99,0))</f>
        <v>1</v>
      </c>
      <c r="H265" s="8" t="n">
        <f aca="false">INDEX(Mapping!$C$2:$C$99,MATCH(H$1&amp;"|"&amp;Customers!H265,Mapping!$D$2:$D$99,0))</f>
        <v>1</v>
      </c>
      <c r="I265" s="8" t="n">
        <f aca="false">INDEX(Mapping!$C$2:$C$99,MATCH(I$1&amp;"|"&amp;Customers!I265,Mapping!$D$2:$D$99,0))</f>
        <v>1</v>
      </c>
      <c r="J265" s="8" t="n">
        <f aca="false">INDEX(Mapping!$C$2:$C$99,MATCH(J$1&amp;"|"&amp;Customers!J265,Mapping!$D$2:$D$99,0))</f>
        <v>4</v>
      </c>
      <c r="K265" s="8" t="n">
        <f aca="false">INDEX(Mapping!$C$2:$C$99,MATCH(K$1&amp;"|"&amp;Customers!K265,Mapping!$D$2:$D$99,0))</f>
        <v>3</v>
      </c>
      <c r="L265" s="8" t="n">
        <f aca="false">INDEX(Mapping!$C$2:$C$99,MATCH(L$1&amp;"|"&amp;Customers!L265,Mapping!$D$2:$D$99,0))</f>
        <v>2</v>
      </c>
      <c r="M265" s="8" t="n">
        <f aca="false">INDEX(Mapping!$C$2:$C$99,MATCH(M$1&amp;"|"&amp;Customers!M265,Mapping!$D$2:$D$99,0))</f>
        <v>3</v>
      </c>
      <c r="N265" s="8" t="n">
        <f aca="false">INDEX(Mapping!$C$2:$C$99,MATCH(N$1&amp;"|"&amp;Customers!N265,Mapping!$D$2:$D$99,0))</f>
        <v>1</v>
      </c>
      <c r="O265" s="8" t="n">
        <f aca="false">INDEX(Mapping!$C$2:$C$99,MATCH(O$1&amp;"|"&amp;Customers!O265,Mapping!$D$2:$D$99,0))</f>
        <v>3</v>
      </c>
      <c r="P265" s="8" t="n">
        <f aca="false">INDEX(Mapping!$C$2:$C$99,MATCH(P$1&amp;"|"&amp;Customers!P265,Mapping!$D$2:$D$99,0))</f>
        <v>3</v>
      </c>
      <c r="Q265" s="8" t="n">
        <f aca="false">INDEX(Mapping!$C$2:$C$99,MATCH(Q$1&amp;"|"&amp;Customers!Q265,Mapping!$D$2:$D$99,0))</f>
        <v>3</v>
      </c>
      <c r="R265" s="8" t="n">
        <f aca="false">INDEX(Mapping!$C$2:$C$99,MATCH(R$1&amp;"|"&amp;Customers!R265,Mapping!$D$2:$D$99,0))</f>
        <v>2</v>
      </c>
      <c r="S265" s="8" t="n">
        <f aca="false">INDEX(Mapping!$C$2:$C$99,MATCH(S$1&amp;"|"&amp;Customers!S265,Mapping!$D$2:$D$99,0))</f>
        <v>1</v>
      </c>
      <c r="T265" s="8" t="n">
        <f aca="false">INDEX(Mapping!$C$2:$C$99,MATCH(T$1&amp;"|"&amp;Customers!T265,Mapping!$D$2:$D$99,0))</f>
        <v>1</v>
      </c>
      <c r="U265" s="8" t="n">
        <f aca="false">INDEX(Mapping!$C$2:$C$99,MATCH(U$1&amp;"|"&amp;Customers!U265,Mapping!$D$2:$D$99,0))</f>
        <v>1</v>
      </c>
      <c r="V265" s="8" t="n">
        <f aca="false">INDEX(Mapping!$C$2:$C$99,MATCH(V$1&amp;"|"&amp;Customers!V265,Mapping!$D$2:$D$99,0))</f>
        <v>1</v>
      </c>
      <c r="W265" s="17" t="n">
        <f aca="false">SUMPRODUCT($C265:$V265,Weights!$C$27:$V$27)</f>
        <v>1.9775</v>
      </c>
      <c r="X265" s="18" t="n">
        <f aca="false">ROUND($W265,2)</f>
        <v>1.98</v>
      </c>
      <c r="Y265" s="8" t="str">
        <f aca="false">IF($X265&lt;=2,"Low",IF($X265&lt;=3.49,"Medium","High"))</f>
        <v>Low</v>
      </c>
      <c r="Z265" s="8" t="str">
        <f aca="false">IF(OR($F265&gt;=3,$E265=5,$D265=5,$C265=5,$G265=5,$H265=5,$I265=5,$J265=5,Customers!$W265="Yes"),"Yes","No")</f>
        <v>No</v>
      </c>
      <c r="AA265" s="15" t="str">
        <f aca="false">IF($Z265="Yes","High",$Y265)</f>
        <v>Low</v>
      </c>
      <c r="AB265" s="18" t="n">
        <f aca="false">SUMPRODUCT($C265:$G265,Weights!$C$28:$G$28)</f>
        <v>1.5</v>
      </c>
      <c r="AC265" s="18" t="n">
        <f aca="false">SUMPRODUCT($H265:$J265,Weights!$H$28:$J$28)</f>
        <v>2.2</v>
      </c>
      <c r="AD265" s="18" t="n">
        <f aca="false">SUMPRODUCT($K265:$N265,Weights!$K$28:$N$28)</f>
        <v>2.45</v>
      </c>
      <c r="AE265" s="18" t="n">
        <f aca="false">SUMPRODUCT($O265:$Q265,Weights!$O$28:$Q$28)</f>
        <v>3</v>
      </c>
      <c r="AF265" s="18" t="n">
        <f aca="false">SUMPRODUCT($R265:$V265,Weights!$R$28:$V$28)</f>
        <v>1.25</v>
      </c>
      <c r="AH265" s="18" t="n">
        <f aca="false">SUMPRODUCT($AB265:$AF265,Validation!$D$7:$H$7)</f>
        <v>2.045714285714</v>
      </c>
      <c r="AI265" s="18" t="n">
        <f aca="false">SUMPRODUCT($AB265:$AF265,Validation!$D$8:$H$8)</f>
        <v>1.909285714286</v>
      </c>
      <c r="AJ265" s="18" t="n">
        <f aca="false">SUMPRODUCT($AB265:$AF265,Validation!$D$9:$H$9)</f>
        <v>1.94783333333315</v>
      </c>
      <c r="AK265" s="18" t="n">
        <f aca="false">SUMPRODUCT($AB265:$AF265,Validation!$D$10:$H$10)</f>
        <v>2.00716666666685</v>
      </c>
      <c r="AL265" s="18" t="n">
        <f aca="false">SUMPRODUCT($AB265:$AF265,Validation!$D$11:$H$11)</f>
        <v>1.9184375</v>
      </c>
      <c r="AM265" s="18" t="n">
        <f aca="false">SUMPRODUCT($AB265:$AF265,Validation!$D$12:$H$12)</f>
        <v>2.0365625</v>
      </c>
      <c r="AN265" s="18" t="n">
        <f aca="false">SUMPRODUCT($AB265:$AF265,Validation!$D$13:$H$13)</f>
        <v>1.86388888888875</v>
      </c>
      <c r="AO265" s="18" t="n">
        <f aca="false">SUMPRODUCT($AB265:$AF265,Validation!$D$14:$H$14)</f>
        <v>2.09111111111125</v>
      </c>
      <c r="AP265" s="18" t="n">
        <f aca="false">SUMPRODUCT($AB265:$AF265,Validation!$D$15:$H$15)</f>
        <v>2.06308823529395</v>
      </c>
      <c r="AQ265" s="18" t="n">
        <f aca="false">SUMPRODUCT($AB265:$AF265,Validation!$D$16:$H$16)</f>
        <v>1.89191176470605</v>
      </c>
      <c r="AR265" s="8" t="n">
        <f aca="false">COUNTIF($C265:$V265,"&gt;=4")</f>
        <v>1</v>
      </c>
      <c r="AS265" s="8" t="str">
        <f aca="false">IF($X265&lt;=1.6,"Low",IF($X265&lt;=2.2,"Medium","High"))</f>
        <v>Medium</v>
      </c>
      <c r="AT265" s="8" t="str">
        <f aca="false">IF($AR265=0,"Low",IF($AR265&lt;3,"Medium","High"))</f>
        <v>Medium</v>
      </c>
      <c r="AU265" s="8" t="str">
        <f aca="false">IF(OR($AS265="High",$AT265="High"),"High",IF(OR($AS265="Medium",$AT265="Medium"),"Medium","Low"))</f>
        <v>Medium</v>
      </c>
      <c r="AV265" s="15" t="str">
        <f aca="false">IF($Z265="Yes","High",$AU265)</f>
        <v>Medium</v>
      </c>
    </row>
    <row r="266" customFormat="false" ht="15" hidden="false" customHeight="false" outlineLevel="0" collapsed="false">
      <c r="A266" s="7" t="str">
        <f aca="false">Customers!$A266</f>
        <v>NG-10292</v>
      </c>
      <c r="B266" s="7" t="str">
        <f aca="false">Customers!$B266</f>
        <v>Personal</v>
      </c>
      <c r="C266" s="8" t="n">
        <f aca="false">INDEX(Mapping!$C$2:$C$99,MATCH(C$1&amp;"|"&amp;Customers!C266,Mapping!$D$2:$D$99,0))</f>
        <v>1</v>
      </c>
      <c r="D266" s="8" t="n">
        <f aca="false">INDEX(Mapping!$C$2:$C$99,MATCH(D$1&amp;"|"&amp;Customers!D266,Mapping!$D$2:$D$99,0))</f>
        <v>1</v>
      </c>
      <c r="E266" s="8" t="n">
        <f aca="false">INDEX(Mapping!$C$2:$C$99,MATCH(E$1&amp;"|"&amp;Customers!E266,Mapping!$D$2:$D$99,0))</f>
        <v>2</v>
      </c>
      <c r="F266" s="8" t="n">
        <f aca="false">INDEX(Mapping!$C$2:$C$99,MATCH(F$1&amp;"|"&amp;Customers!F266,Mapping!$D$2:$D$99,0))</f>
        <v>1</v>
      </c>
      <c r="G266" s="8" t="n">
        <f aca="false">INDEX(Mapping!$C$2:$C$99,MATCH(G$1&amp;"|"&amp;Customers!G266,Mapping!$D$2:$D$99,0))</f>
        <v>1</v>
      </c>
      <c r="H266" s="8" t="n">
        <f aca="false">INDEX(Mapping!$C$2:$C$99,MATCH(H$1&amp;"|"&amp;Customers!H266,Mapping!$D$2:$D$99,0))</f>
        <v>1</v>
      </c>
      <c r="I266" s="8" t="n">
        <f aca="false">INDEX(Mapping!$C$2:$C$99,MATCH(I$1&amp;"|"&amp;Customers!I266,Mapping!$D$2:$D$99,0))</f>
        <v>1</v>
      </c>
      <c r="J266" s="8" t="n">
        <f aca="false">INDEX(Mapping!$C$2:$C$99,MATCH(J$1&amp;"|"&amp;Customers!J266,Mapping!$D$2:$D$99,0))</f>
        <v>1</v>
      </c>
      <c r="K266" s="8" t="n">
        <f aca="false">INDEX(Mapping!$C$2:$C$99,MATCH(K$1&amp;"|"&amp;Customers!K266,Mapping!$D$2:$D$99,0))</f>
        <v>2</v>
      </c>
      <c r="L266" s="8" t="n">
        <f aca="false">INDEX(Mapping!$C$2:$C$99,MATCH(L$1&amp;"|"&amp;Customers!L266,Mapping!$D$2:$D$99,0))</f>
        <v>2</v>
      </c>
      <c r="M266" s="8" t="n">
        <f aca="false">INDEX(Mapping!$C$2:$C$99,MATCH(M$1&amp;"|"&amp;Customers!M266,Mapping!$D$2:$D$99,0))</f>
        <v>1</v>
      </c>
      <c r="N266" s="8" t="n">
        <f aca="false">INDEX(Mapping!$C$2:$C$99,MATCH(N$1&amp;"|"&amp;Customers!N266,Mapping!$D$2:$D$99,0))</f>
        <v>1</v>
      </c>
      <c r="O266" s="8" t="n">
        <f aca="false">INDEX(Mapping!$C$2:$C$99,MATCH(O$1&amp;"|"&amp;Customers!O266,Mapping!$D$2:$D$99,0))</f>
        <v>2</v>
      </c>
      <c r="P266" s="8" t="n">
        <f aca="false">INDEX(Mapping!$C$2:$C$99,MATCH(P$1&amp;"|"&amp;Customers!P266,Mapping!$D$2:$D$99,0))</f>
        <v>4</v>
      </c>
      <c r="Q266" s="8" t="n">
        <f aca="false">INDEX(Mapping!$C$2:$C$99,MATCH(Q$1&amp;"|"&amp;Customers!Q266,Mapping!$D$2:$D$99,0))</f>
        <v>3</v>
      </c>
      <c r="R266" s="8" t="n">
        <f aca="false">INDEX(Mapping!$C$2:$C$99,MATCH(R$1&amp;"|"&amp;Customers!R266,Mapping!$D$2:$D$99,0))</f>
        <v>1</v>
      </c>
      <c r="S266" s="8" t="n">
        <f aca="false">INDEX(Mapping!$C$2:$C$99,MATCH(S$1&amp;"|"&amp;Customers!S266,Mapping!$D$2:$D$99,0))</f>
        <v>2</v>
      </c>
      <c r="T266" s="8" t="n">
        <f aca="false">INDEX(Mapping!$C$2:$C$99,MATCH(T$1&amp;"|"&amp;Customers!T266,Mapping!$D$2:$D$99,0))</f>
        <v>1</v>
      </c>
      <c r="U266" s="8" t="n">
        <f aca="false">INDEX(Mapping!$C$2:$C$99,MATCH(U$1&amp;"|"&amp;Customers!U266,Mapping!$D$2:$D$99,0))</f>
        <v>1</v>
      </c>
      <c r="V266" s="8" t="n">
        <f aca="false">INDEX(Mapping!$C$2:$C$99,MATCH(V$1&amp;"|"&amp;Customers!V266,Mapping!$D$2:$D$99,0))</f>
        <v>1</v>
      </c>
      <c r="W266" s="17" t="n">
        <f aca="false">SUMPRODUCT($C266:$V266,Weights!$C$27:$V$27)</f>
        <v>1.43</v>
      </c>
      <c r="X266" s="18" t="n">
        <f aca="false">ROUND($W266,2)</f>
        <v>1.43</v>
      </c>
      <c r="Y266" s="8" t="str">
        <f aca="false">IF($X266&lt;=2,"Low",IF($X266&lt;=3.49,"Medium","High"))</f>
        <v>Low</v>
      </c>
      <c r="Z266" s="8" t="str">
        <f aca="false">IF(OR($F266&gt;=3,$E266=5,$D266=5,$C266=5,$G266=5,$H266=5,$I266=5,$J266=5,Customers!$W266="Yes"),"Yes","No")</f>
        <v>No</v>
      </c>
      <c r="AA266" s="15" t="str">
        <f aca="false">IF($Z266="Yes","High",$Y266)</f>
        <v>Low</v>
      </c>
      <c r="AB266" s="18" t="n">
        <f aca="false">SUMPRODUCT($C266:$G266,Weights!$C$28:$G$28)</f>
        <v>1.25</v>
      </c>
      <c r="AC266" s="18" t="n">
        <f aca="false">SUMPRODUCT($H266:$J266,Weights!$H$28:$J$28)</f>
        <v>1</v>
      </c>
      <c r="AD266" s="18" t="n">
        <f aca="false">SUMPRODUCT($K266:$N266,Weights!$K$28:$N$28)</f>
        <v>1.6</v>
      </c>
      <c r="AE266" s="18" t="n">
        <f aca="false">SUMPRODUCT($O266:$Q266,Weights!$O$28:$Q$28)</f>
        <v>2.9</v>
      </c>
      <c r="AF266" s="18" t="n">
        <f aca="false">SUMPRODUCT($R266:$V266,Weights!$R$28:$V$28)</f>
        <v>1.3</v>
      </c>
      <c r="AH266" s="18" t="n">
        <f aca="false">SUMPRODUCT($AB266:$AF266,Validation!$D$7:$H$7)</f>
        <v>1.4557142857147</v>
      </c>
      <c r="AI266" s="18" t="n">
        <f aca="false">SUMPRODUCT($AB266:$AF266,Validation!$D$8:$H$8)</f>
        <v>1.4042857142853</v>
      </c>
      <c r="AJ266" s="18" t="n">
        <f aca="false">SUMPRODUCT($AB266:$AF266,Validation!$D$9:$H$9)</f>
        <v>1.4873333333329</v>
      </c>
      <c r="AK266" s="18" t="n">
        <f aca="false">SUMPRODUCT($AB266:$AF266,Validation!$D$10:$H$10)</f>
        <v>1.3726666666671</v>
      </c>
      <c r="AL266" s="18" t="n">
        <f aca="false">SUMPRODUCT($AB266:$AF266,Validation!$D$11:$H$11)</f>
        <v>1.40875</v>
      </c>
      <c r="AM266" s="18" t="n">
        <f aca="false">SUMPRODUCT($AB266:$AF266,Validation!$D$12:$H$12)</f>
        <v>1.45125</v>
      </c>
      <c r="AN266" s="18" t="n">
        <f aca="false">SUMPRODUCT($AB266:$AF266,Validation!$D$13:$H$13)</f>
        <v>1.26666666666655</v>
      </c>
      <c r="AO266" s="18" t="n">
        <f aca="false">SUMPRODUCT($AB266:$AF266,Validation!$D$14:$H$14)</f>
        <v>1.59333333333345</v>
      </c>
      <c r="AP266" s="18" t="n">
        <f aca="false">SUMPRODUCT($AB266:$AF266,Validation!$D$15:$H$15)</f>
        <v>1.44529411764655</v>
      </c>
      <c r="AQ266" s="18" t="n">
        <f aca="false">SUMPRODUCT($AB266:$AF266,Validation!$D$16:$H$16)</f>
        <v>1.41470588235345</v>
      </c>
      <c r="AR266" s="8" t="n">
        <f aca="false">COUNTIF($C266:$V266,"&gt;=4")</f>
        <v>1</v>
      </c>
      <c r="AS266" s="8" t="str">
        <f aca="false">IF($X266&lt;=1.6,"Low",IF($X266&lt;=2.2,"Medium","High"))</f>
        <v>Low</v>
      </c>
      <c r="AT266" s="8" t="str">
        <f aca="false">IF($AR266=0,"Low",IF($AR266&lt;3,"Medium","High"))</f>
        <v>Medium</v>
      </c>
      <c r="AU266" s="8" t="str">
        <f aca="false">IF(OR($AS266="High",$AT266="High"),"High",IF(OR($AS266="Medium",$AT266="Medium"),"Medium","Low"))</f>
        <v>Medium</v>
      </c>
      <c r="AV266" s="15" t="str">
        <f aca="false">IF($Z266="Yes","High",$AU266)</f>
        <v>Medium</v>
      </c>
    </row>
    <row r="267" customFormat="false" ht="15" hidden="false" customHeight="false" outlineLevel="0" collapsed="false">
      <c r="A267" s="7" t="str">
        <f aca="false">Customers!$A267</f>
        <v>NG-10071</v>
      </c>
      <c r="B267" s="7" t="str">
        <f aca="false">Customers!$B267</f>
        <v>Personal</v>
      </c>
      <c r="C267" s="8" t="n">
        <f aca="false">INDEX(Mapping!$C$2:$C$99,MATCH(C$1&amp;"|"&amp;Customers!C267,Mapping!$D$2:$D$99,0))</f>
        <v>1</v>
      </c>
      <c r="D267" s="8" t="n">
        <f aca="false">INDEX(Mapping!$C$2:$C$99,MATCH(D$1&amp;"|"&amp;Customers!D267,Mapping!$D$2:$D$99,0))</f>
        <v>1</v>
      </c>
      <c r="E267" s="8" t="n">
        <f aca="false">INDEX(Mapping!$C$2:$C$99,MATCH(E$1&amp;"|"&amp;Customers!E267,Mapping!$D$2:$D$99,0))</f>
        <v>1</v>
      </c>
      <c r="F267" s="8" t="n">
        <f aca="false">INDEX(Mapping!$C$2:$C$99,MATCH(F$1&amp;"|"&amp;Customers!F267,Mapping!$D$2:$D$99,0))</f>
        <v>4</v>
      </c>
      <c r="G267" s="8" t="n">
        <f aca="false">INDEX(Mapping!$C$2:$C$99,MATCH(G$1&amp;"|"&amp;Customers!G267,Mapping!$D$2:$D$99,0))</f>
        <v>1</v>
      </c>
      <c r="H267" s="8" t="n">
        <f aca="false">INDEX(Mapping!$C$2:$C$99,MATCH(H$1&amp;"|"&amp;Customers!H267,Mapping!$D$2:$D$99,0))</f>
        <v>1</v>
      </c>
      <c r="I267" s="8" t="n">
        <f aca="false">INDEX(Mapping!$C$2:$C$99,MATCH(I$1&amp;"|"&amp;Customers!I267,Mapping!$D$2:$D$99,0))</f>
        <v>1</v>
      </c>
      <c r="J267" s="8" t="n">
        <f aca="false">INDEX(Mapping!$C$2:$C$99,MATCH(J$1&amp;"|"&amp;Customers!J267,Mapping!$D$2:$D$99,0))</f>
        <v>1</v>
      </c>
      <c r="K267" s="8" t="n">
        <f aca="false">INDEX(Mapping!$C$2:$C$99,MATCH(K$1&amp;"|"&amp;Customers!K267,Mapping!$D$2:$D$99,0))</f>
        <v>2</v>
      </c>
      <c r="L267" s="8" t="n">
        <f aca="false">INDEX(Mapping!$C$2:$C$99,MATCH(L$1&amp;"|"&amp;Customers!L267,Mapping!$D$2:$D$99,0))</f>
        <v>3</v>
      </c>
      <c r="M267" s="8" t="n">
        <f aca="false">INDEX(Mapping!$C$2:$C$99,MATCH(M$1&amp;"|"&amp;Customers!M267,Mapping!$D$2:$D$99,0))</f>
        <v>2</v>
      </c>
      <c r="N267" s="8" t="n">
        <f aca="false">INDEX(Mapping!$C$2:$C$99,MATCH(N$1&amp;"|"&amp;Customers!N267,Mapping!$D$2:$D$99,0))</f>
        <v>3</v>
      </c>
      <c r="O267" s="8" t="n">
        <f aca="false">INDEX(Mapping!$C$2:$C$99,MATCH(O$1&amp;"|"&amp;Customers!O267,Mapping!$D$2:$D$99,0))</f>
        <v>3</v>
      </c>
      <c r="P267" s="8" t="n">
        <f aca="false">INDEX(Mapping!$C$2:$C$99,MATCH(P$1&amp;"|"&amp;Customers!P267,Mapping!$D$2:$D$99,0))</f>
        <v>1</v>
      </c>
      <c r="Q267" s="8" t="n">
        <f aca="false">INDEX(Mapping!$C$2:$C$99,MATCH(Q$1&amp;"|"&amp;Customers!Q267,Mapping!$D$2:$D$99,0))</f>
        <v>2</v>
      </c>
      <c r="R267" s="8" t="n">
        <f aca="false">INDEX(Mapping!$C$2:$C$99,MATCH(R$1&amp;"|"&amp;Customers!R267,Mapping!$D$2:$D$99,0))</f>
        <v>1</v>
      </c>
      <c r="S267" s="8" t="n">
        <f aca="false">INDEX(Mapping!$C$2:$C$99,MATCH(S$1&amp;"|"&amp;Customers!S267,Mapping!$D$2:$D$99,0))</f>
        <v>2</v>
      </c>
      <c r="T267" s="8" t="n">
        <f aca="false">INDEX(Mapping!$C$2:$C$99,MATCH(T$1&amp;"|"&amp;Customers!T267,Mapping!$D$2:$D$99,0))</f>
        <v>2</v>
      </c>
      <c r="U267" s="8" t="n">
        <f aca="false">INDEX(Mapping!$C$2:$C$99,MATCH(U$1&amp;"|"&amp;Customers!U267,Mapping!$D$2:$D$99,0))</f>
        <v>1</v>
      </c>
      <c r="V267" s="8" t="n">
        <f aca="false">INDEX(Mapping!$C$2:$C$99,MATCH(V$1&amp;"|"&amp;Customers!V267,Mapping!$D$2:$D$99,0))</f>
        <v>1</v>
      </c>
      <c r="W267" s="17" t="n">
        <f aca="false">SUMPRODUCT($C267:$V267,Weights!$C$27:$V$27)</f>
        <v>1.645</v>
      </c>
      <c r="X267" s="18" t="n">
        <f aca="false">ROUND($W267,2)</f>
        <v>1.65</v>
      </c>
      <c r="Y267" s="8" t="str">
        <f aca="false">IF($X267&lt;=2,"Low",IF($X267&lt;=3.49,"Medium","High"))</f>
        <v>Low</v>
      </c>
      <c r="Z267" s="8" t="str">
        <f aca="false">IF(OR($F267&gt;=3,$E267=5,$D267=5,$C267=5,$G267=5,$H267=5,$I267=5,$J267=5,Customers!$W267="Yes"),"Yes","No")</f>
        <v>Yes</v>
      </c>
      <c r="AA267" s="15" t="str">
        <f aca="false">IF($Z267="Yes","High",$Y267)</f>
        <v>High</v>
      </c>
      <c r="AB267" s="18" t="n">
        <f aca="false">SUMPRODUCT($C267:$G267,Weights!$C$28:$G$28)</f>
        <v>1.6</v>
      </c>
      <c r="AC267" s="18" t="n">
        <f aca="false">SUMPRODUCT($H267:$J267,Weights!$H$28:$J$28)</f>
        <v>1</v>
      </c>
      <c r="AD267" s="18" t="n">
        <f aca="false">SUMPRODUCT($K267:$N267,Weights!$K$28:$N$28)</f>
        <v>2.4</v>
      </c>
      <c r="AE267" s="18" t="n">
        <f aca="false">SUMPRODUCT($O267:$Q267,Weights!$O$28:$Q$28)</f>
        <v>2.1</v>
      </c>
      <c r="AF267" s="18" t="n">
        <f aca="false">SUMPRODUCT($R267:$V267,Weights!$R$28:$V$28)</f>
        <v>1.5</v>
      </c>
      <c r="AH267" s="18" t="n">
        <f aca="false">SUMPRODUCT($AB267:$AF267,Validation!$D$7:$H$7)</f>
        <v>1.6514285714285</v>
      </c>
      <c r="AI267" s="18" t="n">
        <f aca="false">SUMPRODUCT($AB267:$AF267,Validation!$D$8:$H$8)</f>
        <v>1.6385714285715</v>
      </c>
      <c r="AJ267" s="18" t="n">
        <f aca="false">SUMPRODUCT($AB267:$AF267,Validation!$D$9:$H$9)</f>
        <v>1.7310000000001</v>
      </c>
      <c r="AK267" s="18" t="n">
        <f aca="false">SUMPRODUCT($AB267:$AF267,Validation!$D$10:$H$10)</f>
        <v>1.5589999999999</v>
      </c>
      <c r="AL267" s="18" t="n">
        <f aca="false">SUMPRODUCT($AB267:$AF267,Validation!$D$11:$H$11)</f>
        <v>1.550625</v>
      </c>
      <c r="AM267" s="18" t="n">
        <f aca="false">SUMPRODUCT($AB267:$AF267,Validation!$D$12:$H$12)</f>
        <v>1.739375</v>
      </c>
      <c r="AN267" s="18" t="n">
        <f aca="false">SUMPRODUCT($AB267:$AF267,Validation!$D$13:$H$13)</f>
        <v>1.5944444444441</v>
      </c>
      <c r="AO267" s="18" t="n">
        <f aca="false">SUMPRODUCT($AB267:$AF267,Validation!$D$14:$H$14)</f>
        <v>1.6955555555559</v>
      </c>
      <c r="AP267" s="18" t="n">
        <f aca="false">SUMPRODUCT($AB267:$AF267,Validation!$D$15:$H$15)</f>
        <v>1.6620588235294</v>
      </c>
      <c r="AQ267" s="18" t="n">
        <f aca="false">SUMPRODUCT($AB267:$AF267,Validation!$D$16:$H$16)</f>
        <v>1.6279411764706</v>
      </c>
      <c r="AR267" s="8" t="n">
        <f aca="false">COUNTIF($C267:$V267,"&gt;=4")</f>
        <v>1</v>
      </c>
      <c r="AS267" s="8" t="str">
        <f aca="false">IF($X267&lt;=1.6,"Low",IF($X267&lt;=2.2,"Medium","High"))</f>
        <v>Medium</v>
      </c>
      <c r="AT267" s="8" t="str">
        <f aca="false">IF($AR267=0,"Low",IF($AR267&lt;3,"Medium","High"))</f>
        <v>Medium</v>
      </c>
      <c r="AU267" s="8" t="str">
        <f aca="false">IF(OR($AS267="High",$AT267="High"),"High",IF(OR($AS267="Medium",$AT267="Medium"),"Medium","Low"))</f>
        <v>Medium</v>
      </c>
      <c r="AV267" s="15" t="str">
        <f aca="false">IF($Z267="Yes","High",$AU267)</f>
        <v>High</v>
      </c>
    </row>
    <row r="268" customFormat="false" ht="15" hidden="false" customHeight="false" outlineLevel="0" collapsed="false">
      <c r="A268" s="7" t="str">
        <f aca="false">Customers!$A268</f>
        <v>NG-10134</v>
      </c>
      <c r="B268" s="7" t="str">
        <f aca="false">Customers!$B268</f>
        <v>Personal</v>
      </c>
      <c r="C268" s="8" t="n">
        <f aca="false">INDEX(Mapping!$C$2:$C$99,MATCH(C$1&amp;"|"&amp;Customers!C268,Mapping!$D$2:$D$99,0))</f>
        <v>1</v>
      </c>
      <c r="D268" s="8" t="n">
        <f aca="false">INDEX(Mapping!$C$2:$C$99,MATCH(D$1&amp;"|"&amp;Customers!D268,Mapping!$D$2:$D$99,0))</f>
        <v>1</v>
      </c>
      <c r="E268" s="8" t="n">
        <f aca="false">INDEX(Mapping!$C$2:$C$99,MATCH(E$1&amp;"|"&amp;Customers!E268,Mapping!$D$2:$D$99,0))</f>
        <v>3</v>
      </c>
      <c r="F268" s="8" t="n">
        <f aca="false">INDEX(Mapping!$C$2:$C$99,MATCH(F$1&amp;"|"&amp;Customers!F268,Mapping!$D$2:$D$99,0))</f>
        <v>1</v>
      </c>
      <c r="G268" s="8" t="n">
        <f aca="false">INDEX(Mapping!$C$2:$C$99,MATCH(G$1&amp;"|"&amp;Customers!G268,Mapping!$D$2:$D$99,0))</f>
        <v>1</v>
      </c>
      <c r="H268" s="8" t="n">
        <f aca="false">INDEX(Mapping!$C$2:$C$99,MATCH(H$1&amp;"|"&amp;Customers!H268,Mapping!$D$2:$D$99,0))</f>
        <v>1</v>
      </c>
      <c r="I268" s="8" t="n">
        <f aca="false">INDEX(Mapping!$C$2:$C$99,MATCH(I$1&amp;"|"&amp;Customers!I268,Mapping!$D$2:$D$99,0))</f>
        <v>1</v>
      </c>
      <c r="J268" s="8" t="n">
        <f aca="false">INDEX(Mapping!$C$2:$C$99,MATCH(J$1&amp;"|"&amp;Customers!J268,Mapping!$D$2:$D$99,0))</f>
        <v>1</v>
      </c>
      <c r="K268" s="8" t="n">
        <f aca="false">INDEX(Mapping!$C$2:$C$99,MATCH(K$1&amp;"|"&amp;Customers!K268,Mapping!$D$2:$D$99,0))</f>
        <v>3</v>
      </c>
      <c r="L268" s="8" t="n">
        <f aca="false">INDEX(Mapping!$C$2:$C$99,MATCH(L$1&amp;"|"&amp;Customers!L268,Mapping!$D$2:$D$99,0))</f>
        <v>3</v>
      </c>
      <c r="M268" s="8" t="n">
        <f aca="false">INDEX(Mapping!$C$2:$C$99,MATCH(M$1&amp;"|"&amp;Customers!M268,Mapping!$D$2:$D$99,0))</f>
        <v>1</v>
      </c>
      <c r="N268" s="8" t="n">
        <f aca="false">INDEX(Mapping!$C$2:$C$99,MATCH(N$1&amp;"|"&amp;Customers!N268,Mapping!$D$2:$D$99,0))</f>
        <v>2</v>
      </c>
      <c r="O268" s="8" t="n">
        <f aca="false">INDEX(Mapping!$C$2:$C$99,MATCH(O$1&amp;"|"&amp;Customers!O268,Mapping!$D$2:$D$99,0))</f>
        <v>4</v>
      </c>
      <c r="P268" s="8" t="n">
        <f aca="false">INDEX(Mapping!$C$2:$C$99,MATCH(P$1&amp;"|"&amp;Customers!P268,Mapping!$D$2:$D$99,0))</f>
        <v>3</v>
      </c>
      <c r="Q268" s="8" t="n">
        <f aca="false">INDEX(Mapping!$C$2:$C$99,MATCH(Q$1&amp;"|"&amp;Customers!Q268,Mapping!$D$2:$D$99,0))</f>
        <v>2</v>
      </c>
      <c r="R268" s="8" t="n">
        <f aca="false">INDEX(Mapping!$C$2:$C$99,MATCH(R$1&amp;"|"&amp;Customers!R268,Mapping!$D$2:$D$99,0))</f>
        <v>2</v>
      </c>
      <c r="S268" s="8" t="n">
        <f aca="false">INDEX(Mapping!$C$2:$C$99,MATCH(S$1&amp;"|"&amp;Customers!S268,Mapping!$D$2:$D$99,0))</f>
        <v>2</v>
      </c>
      <c r="T268" s="8" t="n">
        <f aca="false">INDEX(Mapping!$C$2:$C$99,MATCH(T$1&amp;"|"&amp;Customers!T268,Mapping!$D$2:$D$99,0))</f>
        <v>1</v>
      </c>
      <c r="U268" s="8" t="n">
        <f aca="false">INDEX(Mapping!$C$2:$C$99,MATCH(U$1&amp;"|"&amp;Customers!U268,Mapping!$D$2:$D$99,0))</f>
        <v>1</v>
      </c>
      <c r="V268" s="8" t="n">
        <f aca="false">INDEX(Mapping!$C$2:$C$99,MATCH(V$1&amp;"|"&amp;Customers!V268,Mapping!$D$2:$D$99,0))</f>
        <v>1</v>
      </c>
      <c r="W268" s="17" t="n">
        <f aca="false">SUMPRODUCT($C268:$V268,Weights!$C$27:$V$27)</f>
        <v>1.7275</v>
      </c>
      <c r="X268" s="18" t="n">
        <f aca="false">ROUND($W268,2)</f>
        <v>1.73</v>
      </c>
      <c r="Y268" s="8" t="str">
        <f aca="false">IF($X268&lt;=2,"Low",IF($X268&lt;=3.49,"Medium","High"))</f>
        <v>Low</v>
      </c>
      <c r="Z268" s="8" t="str">
        <f aca="false">IF(OR($F268&gt;=3,$E268=5,$D268=5,$C268=5,$G268=5,$H268=5,$I268=5,$J268=5,Customers!$W268="Yes"),"Yes","No")</f>
        <v>No</v>
      </c>
      <c r="AA268" s="15" t="str">
        <f aca="false">IF($Z268="Yes","High",$Y268)</f>
        <v>Low</v>
      </c>
      <c r="AB268" s="18" t="n">
        <f aca="false">SUMPRODUCT($C268:$G268,Weights!$C$28:$G$28)</f>
        <v>1.5</v>
      </c>
      <c r="AC268" s="18" t="n">
        <f aca="false">SUMPRODUCT($H268:$J268,Weights!$H$28:$J$28)</f>
        <v>1</v>
      </c>
      <c r="AD268" s="18" t="n">
        <f aca="false">SUMPRODUCT($K268:$N268,Weights!$K$28:$N$28)</f>
        <v>2.35</v>
      </c>
      <c r="AE268" s="18" t="n">
        <f aca="false">SUMPRODUCT($O268:$Q268,Weights!$O$28:$Q$28)</f>
        <v>3.25</v>
      </c>
      <c r="AF268" s="18" t="n">
        <f aca="false">SUMPRODUCT($R268:$V268,Weights!$R$28:$V$28)</f>
        <v>1.55</v>
      </c>
      <c r="AH268" s="18" t="n">
        <f aca="false">SUMPRODUCT($AB268:$AF268,Validation!$D$7:$H$7)</f>
        <v>1.7600000000003</v>
      </c>
      <c r="AI268" s="18" t="n">
        <f aca="false">SUMPRODUCT($AB268:$AF268,Validation!$D$8:$H$8)</f>
        <v>1.6949999999997</v>
      </c>
      <c r="AJ268" s="18" t="n">
        <f aca="false">SUMPRODUCT($AB268:$AF268,Validation!$D$9:$H$9)</f>
        <v>1.8244999999997</v>
      </c>
      <c r="AK268" s="18" t="n">
        <f aca="false">SUMPRODUCT($AB268:$AF268,Validation!$D$10:$H$10)</f>
        <v>1.6305000000003</v>
      </c>
      <c r="AL268" s="18" t="n">
        <f aca="false">SUMPRODUCT($AB268:$AF268,Validation!$D$11:$H$11)</f>
        <v>1.6496875</v>
      </c>
      <c r="AM268" s="18" t="n">
        <f aca="false">SUMPRODUCT($AB268:$AF268,Validation!$D$12:$H$12)</f>
        <v>1.8053125</v>
      </c>
      <c r="AN268" s="18" t="n">
        <f aca="false">SUMPRODUCT($AB268:$AF268,Validation!$D$13:$H$13)</f>
        <v>1.55833333333305</v>
      </c>
      <c r="AO268" s="18" t="n">
        <f aca="false">SUMPRODUCT($AB268:$AF268,Validation!$D$14:$H$14)</f>
        <v>1.89666666666695</v>
      </c>
      <c r="AP268" s="18" t="n">
        <f aca="false">SUMPRODUCT($AB268:$AF268,Validation!$D$15:$H$15)</f>
        <v>1.74838235294075</v>
      </c>
      <c r="AQ268" s="18" t="n">
        <f aca="false">SUMPRODUCT($AB268:$AF268,Validation!$D$16:$H$16)</f>
        <v>1.70661764705925</v>
      </c>
      <c r="AR268" s="8" t="n">
        <f aca="false">COUNTIF($C268:$V268,"&gt;=4")</f>
        <v>1</v>
      </c>
      <c r="AS268" s="8" t="str">
        <f aca="false">IF($X268&lt;=1.6,"Low",IF($X268&lt;=2.2,"Medium","High"))</f>
        <v>Medium</v>
      </c>
      <c r="AT268" s="8" t="str">
        <f aca="false">IF($AR268=0,"Low",IF($AR268&lt;3,"Medium","High"))</f>
        <v>Medium</v>
      </c>
      <c r="AU268" s="8" t="str">
        <f aca="false">IF(OR($AS268="High",$AT268="High"),"High",IF(OR($AS268="Medium",$AT268="Medium"),"Medium","Low"))</f>
        <v>Medium</v>
      </c>
      <c r="AV268" s="15" t="str">
        <f aca="false">IF($Z268="Yes","High",$AU268)</f>
        <v>Medium</v>
      </c>
    </row>
    <row r="269" customFormat="false" ht="15" hidden="false" customHeight="false" outlineLevel="0" collapsed="false">
      <c r="A269" s="7" t="str">
        <f aca="false">Customers!$A269</f>
        <v>NG-10393</v>
      </c>
      <c r="B269" s="7" t="str">
        <f aca="false">Customers!$B269</f>
        <v>Limited company</v>
      </c>
      <c r="C269" s="8" t="n">
        <f aca="false">INDEX(Mapping!$C$2:$C$99,MATCH(C$1&amp;"|"&amp;Customers!C269,Mapping!$D$2:$D$99,0))</f>
        <v>4</v>
      </c>
      <c r="D269" s="8" t="n">
        <f aca="false">INDEX(Mapping!$C$2:$C$99,MATCH(D$1&amp;"|"&amp;Customers!D269,Mapping!$D$2:$D$99,0))</f>
        <v>3</v>
      </c>
      <c r="E269" s="8" t="n">
        <f aca="false">INDEX(Mapping!$C$2:$C$99,MATCH(E$1&amp;"|"&amp;Customers!E269,Mapping!$D$2:$D$99,0))</f>
        <v>3</v>
      </c>
      <c r="F269" s="8" t="n">
        <f aca="false">INDEX(Mapping!$C$2:$C$99,MATCH(F$1&amp;"|"&amp;Customers!F269,Mapping!$D$2:$D$99,0))</f>
        <v>1</v>
      </c>
      <c r="G269" s="8" t="n">
        <f aca="false">INDEX(Mapping!$C$2:$C$99,MATCH(G$1&amp;"|"&amp;Customers!G269,Mapping!$D$2:$D$99,0))</f>
        <v>2</v>
      </c>
      <c r="H269" s="8" t="n">
        <f aca="false">INDEX(Mapping!$C$2:$C$99,MATCH(H$1&amp;"|"&amp;Customers!H269,Mapping!$D$2:$D$99,0))</f>
        <v>1</v>
      </c>
      <c r="I269" s="8" t="n">
        <f aca="false">INDEX(Mapping!$C$2:$C$99,MATCH(I$1&amp;"|"&amp;Customers!I269,Mapping!$D$2:$D$99,0))</f>
        <v>1</v>
      </c>
      <c r="J269" s="8" t="n">
        <f aca="false">INDEX(Mapping!$C$2:$C$99,MATCH(J$1&amp;"|"&amp;Customers!J269,Mapping!$D$2:$D$99,0))</f>
        <v>5</v>
      </c>
      <c r="K269" s="8" t="n">
        <f aca="false">INDEX(Mapping!$C$2:$C$99,MATCH(K$1&amp;"|"&amp;Customers!K269,Mapping!$D$2:$D$99,0))</f>
        <v>4</v>
      </c>
      <c r="L269" s="8" t="n">
        <f aca="false">INDEX(Mapping!$C$2:$C$99,MATCH(L$1&amp;"|"&amp;Customers!L269,Mapping!$D$2:$D$99,0))</f>
        <v>3</v>
      </c>
      <c r="M269" s="8" t="n">
        <f aca="false">INDEX(Mapping!$C$2:$C$99,MATCH(M$1&amp;"|"&amp;Customers!M269,Mapping!$D$2:$D$99,0))</f>
        <v>1</v>
      </c>
      <c r="N269" s="8" t="n">
        <f aca="false">INDEX(Mapping!$C$2:$C$99,MATCH(N$1&amp;"|"&amp;Customers!N269,Mapping!$D$2:$D$99,0))</f>
        <v>3</v>
      </c>
      <c r="O269" s="8" t="n">
        <f aca="false">INDEX(Mapping!$C$2:$C$99,MATCH(O$1&amp;"|"&amp;Customers!O269,Mapping!$D$2:$D$99,0))</f>
        <v>2</v>
      </c>
      <c r="P269" s="8" t="n">
        <f aca="false">INDEX(Mapping!$C$2:$C$99,MATCH(P$1&amp;"|"&amp;Customers!P269,Mapping!$D$2:$D$99,0))</f>
        <v>1</v>
      </c>
      <c r="Q269" s="8" t="n">
        <f aca="false">INDEX(Mapping!$C$2:$C$99,MATCH(Q$1&amp;"|"&amp;Customers!Q269,Mapping!$D$2:$D$99,0))</f>
        <v>1</v>
      </c>
      <c r="R269" s="8" t="n">
        <f aca="false">INDEX(Mapping!$C$2:$C$99,MATCH(R$1&amp;"|"&amp;Customers!R269,Mapping!$D$2:$D$99,0))</f>
        <v>2</v>
      </c>
      <c r="S269" s="8" t="n">
        <f aca="false">INDEX(Mapping!$C$2:$C$99,MATCH(S$1&amp;"|"&amp;Customers!S269,Mapping!$D$2:$D$99,0))</f>
        <v>2</v>
      </c>
      <c r="T269" s="8" t="n">
        <f aca="false">INDEX(Mapping!$C$2:$C$99,MATCH(T$1&amp;"|"&amp;Customers!T269,Mapping!$D$2:$D$99,0))</f>
        <v>4</v>
      </c>
      <c r="U269" s="8" t="n">
        <f aca="false">INDEX(Mapping!$C$2:$C$99,MATCH(U$1&amp;"|"&amp;Customers!U269,Mapping!$D$2:$D$99,0))</f>
        <v>2</v>
      </c>
      <c r="V269" s="8" t="n">
        <f aca="false">INDEX(Mapping!$C$2:$C$99,MATCH(V$1&amp;"|"&amp;Customers!V269,Mapping!$D$2:$D$99,0))</f>
        <v>1</v>
      </c>
      <c r="W269" s="17" t="n">
        <f aca="false">SUMPRODUCT($C269:$V269,Weights!$C$27:$V$27)</f>
        <v>2.505</v>
      </c>
      <c r="X269" s="18" t="n">
        <f aca="false">ROUND($W269,2)</f>
        <v>2.51</v>
      </c>
      <c r="Y269" s="8" t="str">
        <f aca="false">IF($X269&lt;=2,"Low",IF($X269&lt;=3.49,"Medium","High"))</f>
        <v>Medium</v>
      </c>
      <c r="Z269" s="8" t="str">
        <f aca="false">IF(OR($F269&gt;=3,$E269=5,$D269=5,$C269=5,$G269=5,$H269=5,$I269=5,$J269=5,Customers!$W269="Yes"),"Yes","No")</f>
        <v>Yes</v>
      </c>
      <c r="AA269" s="15" t="str">
        <f aca="false">IF($Z269="Yes","High",$Y269)</f>
        <v>High</v>
      </c>
      <c r="AB269" s="18" t="n">
        <f aca="false">SUMPRODUCT($C269:$G269,Weights!$C$28:$G$28)</f>
        <v>2.65</v>
      </c>
      <c r="AC269" s="18" t="n">
        <f aca="false">SUMPRODUCT($H269:$J269,Weights!$H$28:$J$28)</f>
        <v>2.6</v>
      </c>
      <c r="AD269" s="18" t="n">
        <f aca="false">SUMPRODUCT($K269:$N269,Weights!$K$28:$N$28)</f>
        <v>2.85</v>
      </c>
      <c r="AE269" s="18" t="n">
        <f aca="false">SUMPRODUCT($O269:$Q269,Weights!$O$28:$Q$28)</f>
        <v>1.45</v>
      </c>
      <c r="AF269" s="18" t="n">
        <f aca="false">SUMPRODUCT($R269:$V269,Weights!$R$28:$V$28)</f>
        <v>2.3</v>
      </c>
      <c r="AH269" s="18" t="n">
        <f aca="false">SUMPRODUCT($AB269:$AF269,Validation!$D$7:$H$7)</f>
        <v>2.48428571428515</v>
      </c>
      <c r="AI269" s="18" t="n">
        <f aca="false">SUMPRODUCT($AB269:$AF269,Validation!$D$8:$H$8)</f>
        <v>2.52571428571485</v>
      </c>
      <c r="AJ269" s="18" t="n">
        <f aca="false">SUMPRODUCT($AB269:$AF269,Validation!$D$9:$H$9)</f>
        <v>2.4923333333338</v>
      </c>
      <c r="AK269" s="18" t="n">
        <f aca="false">SUMPRODUCT($AB269:$AF269,Validation!$D$10:$H$10)</f>
        <v>2.5176666666662</v>
      </c>
      <c r="AL269" s="18" t="n">
        <f aca="false">SUMPRODUCT($AB269:$AF269,Validation!$D$11:$H$11)</f>
        <v>2.461875</v>
      </c>
      <c r="AM269" s="18" t="n">
        <f aca="false">SUMPRODUCT($AB269:$AF269,Validation!$D$12:$H$12)</f>
        <v>2.548125</v>
      </c>
      <c r="AN269" s="18" t="n">
        <f aca="false">SUMPRODUCT($AB269:$AF269,Validation!$D$13:$H$13)</f>
        <v>2.62222222222205</v>
      </c>
      <c r="AO269" s="18" t="n">
        <f aca="false">SUMPRODUCT($AB269:$AF269,Validation!$D$14:$H$14)</f>
        <v>2.38777777777795</v>
      </c>
      <c r="AP269" s="18" t="n">
        <f aca="false">SUMPRODUCT($AB269:$AF269,Validation!$D$15:$H$15)</f>
        <v>2.5291176470593</v>
      </c>
      <c r="AQ269" s="18" t="n">
        <f aca="false">SUMPRODUCT($AB269:$AF269,Validation!$D$16:$H$16)</f>
        <v>2.4808823529407</v>
      </c>
      <c r="AR269" s="8" t="n">
        <f aca="false">COUNTIF($C269:$V269,"&gt;=4")</f>
        <v>4</v>
      </c>
      <c r="AS269" s="8" t="str">
        <f aca="false">IF($X269&lt;=1.6,"Low",IF($X269&lt;=2.2,"Medium","High"))</f>
        <v>High</v>
      </c>
      <c r="AT269" s="8" t="str">
        <f aca="false">IF($AR269=0,"Low",IF($AR269&lt;3,"Medium","High"))</f>
        <v>High</v>
      </c>
      <c r="AU269" s="8" t="str">
        <f aca="false">IF(OR($AS269="High",$AT269="High"),"High",IF(OR($AS269="Medium",$AT269="Medium"),"Medium","Low"))</f>
        <v>High</v>
      </c>
      <c r="AV269" s="15" t="str">
        <f aca="false">IF($Z269="Yes","High",$AU269)</f>
        <v>High</v>
      </c>
    </row>
    <row r="270" customFormat="false" ht="15" hidden="false" customHeight="false" outlineLevel="0" collapsed="false">
      <c r="A270" s="7" t="str">
        <f aca="false">Customers!$A270</f>
        <v>NG-10009</v>
      </c>
      <c r="B270" s="7" t="str">
        <f aca="false">Customers!$B270</f>
        <v>Personal</v>
      </c>
      <c r="C270" s="8" t="n">
        <f aca="false">INDEX(Mapping!$C$2:$C$99,MATCH(C$1&amp;"|"&amp;Customers!C270,Mapping!$D$2:$D$99,0))</f>
        <v>1</v>
      </c>
      <c r="D270" s="8" t="n">
        <f aca="false">INDEX(Mapping!$C$2:$C$99,MATCH(D$1&amp;"|"&amp;Customers!D270,Mapping!$D$2:$D$99,0))</f>
        <v>1</v>
      </c>
      <c r="E270" s="8" t="n">
        <f aca="false">INDEX(Mapping!$C$2:$C$99,MATCH(E$1&amp;"|"&amp;Customers!E270,Mapping!$D$2:$D$99,0))</f>
        <v>2</v>
      </c>
      <c r="F270" s="8" t="n">
        <f aca="false">INDEX(Mapping!$C$2:$C$99,MATCH(F$1&amp;"|"&amp;Customers!F270,Mapping!$D$2:$D$99,0))</f>
        <v>1</v>
      </c>
      <c r="G270" s="8" t="n">
        <f aca="false">INDEX(Mapping!$C$2:$C$99,MATCH(G$1&amp;"|"&amp;Customers!G270,Mapping!$D$2:$D$99,0))</f>
        <v>1</v>
      </c>
      <c r="H270" s="8" t="n">
        <f aca="false">INDEX(Mapping!$C$2:$C$99,MATCH(H$1&amp;"|"&amp;Customers!H270,Mapping!$D$2:$D$99,0))</f>
        <v>1</v>
      </c>
      <c r="I270" s="8" t="n">
        <f aca="false">INDEX(Mapping!$C$2:$C$99,MATCH(I$1&amp;"|"&amp;Customers!I270,Mapping!$D$2:$D$99,0))</f>
        <v>1</v>
      </c>
      <c r="J270" s="8" t="n">
        <f aca="false">INDEX(Mapping!$C$2:$C$99,MATCH(J$1&amp;"|"&amp;Customers!J270,Mapping!$D$2:$D$99,0))</f>
        <v>1</v>
      </c>
      <c r="K270" s="8" t="n">
        <f aca="false">INDEX(Mapping!$C$2:$C$99,MATCH(K$1&amp;"|"&amp;Customers!K270,Mapping!$D$2:$D$99,0))</f>
        <v>2</v>
      </c>
      <c r="L270" s="8" t="n">
        <f aca="false">INDEX(Mapping!$C$2:$C$99,MATCH(L$1&amp;"|"&amp;Customers!L270,Mapping!$D$2:$D$99,0))</f>
        <v>3</v>
      </c>
      <c r="M270" s="8" t="n">
        <f aca="false">INDEX(Mapping!$C$2:$C$99,MATCH(M$1&amp;"|"&amp;Customers!M270,Mapping!$D$2:$D$99,0))</f>
        <v>2</v>
      </c>
      <c r="N270" s="8" t="n">
        <f aca="false">INDEX(Mapping!$C$2:$C$99,MATCH(N$1&amp;"|"&amp;Customers!N270,Mapping!$D$2:$D$99,0))</f>
        <v>1</v>
      </c>
      <c r="O270" s="8" t="n">
        <f aca="false">INDEX(Mapping!$C$2:$C$99,MATCH(O$1&amp;"|"&amp;Customers!O270,Mapping!$D$2:$D$99,0))</f>
        <v>3</v>
      </c>
      <c r="P270" s="8" t="n">
        <f aca="false">INDEX(Mapping!$C$2:$C$99,MATCH(P$1&amp;"|"&amp;Customers!P270,Mapping!$D$2:$D$99,0))</f>
        <v>3</v>
      </c>
      <c r="Q270" s="8" t="n">
        <f aca="false">INDEX(Mapping!$C$2:$C$99,MATCH(Q$1&amp;"|"&amp;Customers!Q270,Mapping!$D$2:$D$99,0))</f>
        <v>1</v>
      </c>
      <c r="R270" s="8" t="n">
        <f aca="false">INDEX(Mapping!$C$2:$C$99,MATCH(R$1&amp;"|"&amp;Customers!R270,Mapping!$D$2:$D$99,0))</f>
        <v>2</v>
      </c>
      <c r="S270" s="8" t="n">
        <f aca="false">INDEX(Mapping!$C$2:$C$99,MATCH(S$1&amp;"|"&amp;Customers!S270,Mapping!$D$2:$D$99,0))</f>
        <v>1</v>
      </c>
      <c r="T270" s="8" t="n">
        <f aca="false">INDEX(Mapping!$C$2:$C$99,MATCH(T$1&amp;"|"&amp;Customers!T270,Mapping!$D$2:$D$99,0))</f>
        <v>3</v>
      </c>
      <c r="U270" s="8" t="n">
        <f aca="false">INDEX(Mapping!$C$2:$C$99,MATCH(U$1&amp;"|"&amp;Customers!U270,Mapping!$D$2:$D$99,0))</f>
        <v>1</v>
      </c>
      <c r="V270" s="8" t="n">
        <f aca="false">INDEX(Mapping!$C$2:$C$99,MATCH(V$1&amp;"|"&amp;Customers!V270,Mapping!$D$2:$D$99,0))</f>
        <v>2</v>
      </c>
      <c r="W270" s="17" t="n">
        <f aca="false">SUMPRODUCT($C270:$V270,Weights!$C$27:$V$27)</f>
        <v>1.5675</v>
      </c>
      <c r="X270" s="18" t="n">
        <f aca="false">ROUND($W270,2)</f>
        <v>1.57</v>
      </c>
      <c r="Y270" s="8" t="str">
        <f aca="false">IF($X270&lt;=2,"Low",IF($X270&lt;=3.49,"Medium","High"))</f>
        <v>Low</v>
      </c>
      <c r="Z270" s="8" t="str">
        <f aca="false">IF(OR($F270&gt;=3,$E270=5,$D270=5,$C270=5,$G270=5,$H270=5,$I270=5,$J270=5,Customers!$W270="Yes"),"Yes","No")</f>
        <v>No</v>
      </c>
      <c r="AA270" s="15" t="str">
        <f aca="false">IF($Z270="Yes","High",$Y270)</f>
        <v>Low</v>
      </c>
      <c r="AB270" s="18" t="n">
        <f aca="false">SUMPRODUCT($C270:$G270,Weights!$C$28:$G$28)</f>
        <v>1.25</v>
      </c>
      <c r="AC270" s="18" t="n">
        <f aca="false">SUMPRODUCT($H270:$J270,Weights!$H$28:$J$28)</f>
        <v>1</v>
      </c>
      <c r="AD270" s="18" t="n">
        <f aca="false">SUMPRODUCT($K270:$N270,Weights!$K$28:$N$28)</f>
        <v>2.1</v>
      </c>
      <c r="AE270" s="18" t="n">
        <f aca="false">SUMPRODUCT($O270:$Q270,Weights!$O$28:$Q$28)</f>
        <v>2.6</v>
      </c>
      <c r="AF270" s="18" t="n">
        <f aca="false">SUMPRODUCT($R270:$V270,Weights!$R$28:$V$28)</f>
        <v>1.75</v>
      </c>
      <c r="AH270" s="18" t="n">
        <f aca="false">SUMPRODUCT($AB270:$AF270,Validation!$D$7:$H$7)</f>
        <v>1.61285714285745</v>
      </c>
      <c r="AI270" s="18" t="n">
        <f aca="false">SUMPRODUCT($AB270:$AF270,Validation!$D$8:$H$8)</f>
        <v>1.52214285714255</v>
      </c>
      <c r="AJ270" s="18" t="n">
        <f aca="false">SUMPRODUCT($AB270:$AF270,Validation!$D$9:$H$9)</f>
        <v>1.6431666666665</v>
      </c>
      <c r="AK270" s="18" t="n">
        <f aca="false">SUMPRODUCT($AB270:$AF270,Validation!$D$10:$H$10)</f>
        <v>1.4918333333335</v>
      </c>
      <c r="AL270" s="18" t="n">
        <f aca="false">SUMPRODUCT($AB270:$AF270,Validation!$D$11:$H$11)</f>
        <v>1.5009375</v>
      </c>
      <c r="AM270" s="18" t="n">
        <f aca="false">SUMPRODUCT($AB270:$AF270,Validation!$D$12:$H$12)</f>
        <v>1.6340625</v>
      </c>
      <c r="AN270" s="18" t="n">
        <f aca="false">SUMPRODUCT($AB270:$AF270,Validation!$D$13:$H$13)</f>
        <v>1.4527777777777</v>
      </c>
      <c r="AO270" s="18" t="n">
        <f aca="false">SUMPRODUCT($AB270:$AF270,Validation!$D$14:$H$14)</f>
        <v>1.6822222222223</v>
      </c>
      <c r="AP270" s="18" t="n">
        <f aca="false">SUMPRODUCT($AB270:$AF270,Validation!$D$15:$H$15)</f>
        <v>1.54602941176445</v>
      </c>
      <c r="AQ270" s="18" t="n">
        <f aca="false">SUMPRODUCT($AB270:$AF270,Validation!$D$16:$H$16)</f>
        <v>1.58897058823555</v>
      </c>
      <c r="AR270" s="8" t="n">
        <f aca="false">COUNTIF($C270:$V270,"&gt;=4")</f>
        <v>0</v>
      </c>
      <c r="AS270" s="8" t="str">
        <f aca="false">IF($X270&lt;=1.6,"Low",IF($X270&lt;=2.2,"Medium","High"))</f>
        <v>Low</v>
      </c>
      <c r="AT270" s="8" t="str">
        <f aca="false">IF($AR270=0,"Low",IF($AR270&lt;3,"Medium","High"))</f>
        <v>Low</v>
      </c>
      <c r="AU270" s="8" t="str">
        <f aca="false">IF(OR($AS270="High",$AT270="High"),"High",IF(OR($AS270="Medium",$AT270="Medium"),"Medium","Low"))</f>
        <v>Low</v>
      </c>
      <c r="AV270" s="15" t="str">
        <f aca="false">IF($Z270="Yes","High",$AU270)</f>
        <v>Low</v>
      </c>
    </row>
    <row r="271" customFormat="false" ht="15" hidden="false" customHeight="false" outlineLevel="0" collapsed="false">
      <c r="A271" s="7" t="str">
        <f aca="false">Customers!$A271</f>
        <v>NG-10343</v>
      </c>
      <c r="B271" s="7" t="str">
        <f aca="false">Customers!$B271</f>
        <v>Sole trader</v>
      </c>
      <c r="C271" s="8" t="n">
        <f aca="false">INDEX(Mapping!$C$2:$C$99,MATCH(C$1&amp;"|"&amp;Customers!C271,Mapping!$D$2:$D$99,0))</f>
        <v>2</v>
      </c>
      <c r="D271" s="8" t="n">
        <f aca="false">INDEX(Mapping!$C$2:$C$99,MATCH(D$1&amp;"|"&amp;Customers!D271,Mapping!$D$2:$D$99,0))</f>
        <v>1</v>
      </c>
      <c r="E271" s="8" t="n">
        <f aca="false">INDEX(Mapping!$C$2:$C$99,MATCH(E$1&amp;"|"&amp;Customers!E271,Mapping!$D$2:$D$99,0))</f>
        <v>5</v>
      </c>
      <c r="F271" s="8" t="n">
        <f aca="false">INDEX(Mapping!$C$2:$C$99,MATCH(F$1&amp;"|"&amp;Customers!F271,Mapping!$D$2:$D$99,0))</f>
        <v>1</v>
      </c>
      <c r="G271" s="8" t="n">
        <f aca="false">INDEX(Mapping!$C$2:$C$99,MATCH(G$1&amp;"|"&amp;Customers!G271,Mapping!$D$2:$D$99,0))</f>
        <v>2</v>
      </c>
      <c r="H271" s="8" t="n">
        <f aca="false">INDEX(Mapping!$C$2:$C$99,MATCH(H$1&amp;"|"&amp;Customers!H271,Mapping!$D$2:$D$99,0))</f>
        <v>1</v>
      </c>
      <c r="I271" s="8" t="n">
        <f aca="false">INDEX(Mapping!$C$2:$C$99,MATCH(I$1&amp;"|"&amp;Customers!I271,Mapping!$D$2:$D$99,0))</f>
        <v>1</v>
      </c>
      <c r="J271" s="8" t="n">
        <f aca="false">INDEX(Mapping!$C$2:$C$99,MATCH(J$1&amp;"|"&amp;Customers!J271,Mapping!$D$2:$D$99,0))</f>
        <v>1</v>
      </c>
      <c r="K271" s="8" t="n">
        <f aca="false">INDEX(Mapping!$C$2:$C$99,MATCH(K$1&amp;"|"&amp;Customers!K271,Mapping!$D$2:$D$99,0))</f>
        <v>5</v>
      </c>
      <c r="L271" s="8" t="n">
        <f aca="false">INDEX(Mapping!$C$2:$C$99,MATCH(L$1&amp;"|"&amp;Customers!L271,Mapping!$D$2:$D$99,0))</f>
        <v>3</v>
      </c>
      <c r="M271" s="8" t="n">
        <f aca="false">INDEX(Mapping!$C$2:$C$99,MATCH(M$1&amp;"|"&amp;Customers!M271,Mapping!$D$2:$D$99,0))</f>
        <v>2</v>
      </c>
      <c r="N271" s="8" t="n">
        <f aca="false">INDEX(Mapping!$C$2:$C$99,MATCH(N$1&amp;"|"&amp;Customers!N271,Mapping!$D$2:$D$99,0))</f>
        <v>1</v>
      </c>
      <c r="O271" s="8" t="n">
        <f aca="false">INDEX(Mapping!$C$2:$C$99,MATCH(O$1&amp;"|"&amp;Customers!O271,Mapping!$D$2:$D$99,0))</f>
        <v>3</v>
      </c>
      <c r="P271" s="8" t="n">
        <f aca="false">INDEX(Mapping!$C$2:$C$99,MATCH(P$1&amp;"|"&amp;Customers!P271,Mapping!$D$2:$D$99,0))</f>
        <v>3</v>
      </c>
      <c r="Q271" s="8" t="n">
        <f aca="false">INDEX(Mapping!$C$2:$C$99,MATCH(Q$1&amp;"|"&amp;Customers!Q271,Mapping!$D$2:$D$99,0))</f>
        <v>1</v>
      </c>
      <c r="R271" s="8" t="n">
        <f aca="false">INDEX(Mapping!$C$2:$C$99,MATCH(R$1&amp;"|"&amp;Customers!R271,Mapping!$D$2:$D$99,0))</f>
        <v>1</v>
      </c>
      <c r="S271" s="8" t="n">
        <f aca="false">INDEX(Mapping!$C$2:$C$99,MATCH(S$1&amp;"|"&amp;Customers!S271,Mapping!$D$2:$D$99,0))</f>
        <v>1</v>
      </c>
      <c r="T271" s="8" t="n">
        <f aca="false">INDEX(Mapping!$C$2:$C$99,MATCH(T$1&amp;"|"&amp;Customers!T271,Mapping!$D$2:$D$99,0))</f>
        <v>1</v>
      </c>
      <c r="U271" s="8" t="n">
        <f aca="false">INDEX(Mapping!$C$2:$C$99,MATCH(U$1&amp;"|"&amp;Customers!U271,Mapping!$D$2:$D$99,0))</f>
        <v>4</v>
      </c>
      <c r="V271" s="8" t="n">
        <f aca="false">INDEX(Mapping!$C$2:$C$99,MATCH(V$1&amp;"|"&amp;Customers!V271,Mapping!$D$2:$D$99,0))</f>
        <v>1</v>
      </c>
      <c r="W271" s="17" t="n">
        <f aca="false">SUMPRODUCT($C271:$V271,Weights!$C$27:$V$27)</f>
        <v>2.0625</v>
      </c>
      <c r="X271" s="18" t="n">
        <f aca="false">ROUND($W271,2)</f>
        <v>2.06</v>
      </c>
      <c r="Y271" s="8" t="str">
        <f aca="false">IF($X271&lt;=2,"Low",IF($X271&lt;=3.49,"Medium","High"))</f>
        <v>Medium</v>
      </c>
      <c r="Z271" s="8" t="str">
        <f aca="false">IF(OR($F271&gt;=3,$E271=5,$D271=5,$C271=5,$G271=5,$H271=5,$I271=5,$J271=5,Customers!$W271="Yes"),"Yes","No")</f>
        <v>Yes</v>
      </c>
      <c r="AA271" s="15" t="str">
        <f aca="false">IF($Z271="Yes","High",$Y271)</f>
        <v>High</v>
      </c>
      <c r="AB271" s="18" t="n">
        <f aca="false">SUMPRODUCT($C271:$G271,Weights!$C$28:$G$28)</f>
        <v>2.35</v>
      </c>
      <c r="AC271" s="18" t="n">
        <f aca="false">SUMPRODUCT($H271:$J271,Weights!$H$28:$J$28)</f>
        <v>1</v>
      </c>
      <c r="AD271" s="18" t="n">
        <f aca="false">SUMPRODUCT($K271:$N271,Weights!$K$28:$N$28)</f>
        <v>3.15</v>
      </c>
      <c r="AE271" s="18" t="n">
        <f aca="false">SUMPRODUCT($O271:$Q271,Weights!$O$28:$Q$28)</f>
        <v>2.6</v>
      </c>
      <c r="AF271" s="18" t="n">
        <f aca="false">SUMPRODUCT($R271:$V271,Weights!$R$28:$V$28)</f>
        <v>1.45</v>
      </c>
      <c r="AH271" s="18" t="n">
        <f aca="false">SUMPRODUCT($AB271:$AF271,Validation!$D$7:$H$7)</f>
        <v>2.0214285714283</v>
      </c>
      <c r="AI271" s="18" t="n">
        <f aca="false">SUMPRODUCT($AB271:$AF271,Validation!$D$8:$H$8)</f>
        <v>2.1035714285717</v>
      </c>
      <c r="AJ271" s="18" t="n">
        <f aca="false">SUMPRODUCT($AB271:$AF271,Validation!$D$9:$H$9)</f>
        <v>2.20416666666685</v>
      </c>
      <c r="AK271" s="18" t="n">
        <f aca="false">SUMPRODUCT($AB271:$AF271,Validation!$D$10:$H$10)</f>
        <v>1.92083333333315</v>
      </c>
      <c r="AL271" s="18" t="n">
        <f aca="false">SUMPRODUCT($AB271:$AF271,Validation!$D$11:$H$11)</f>
        <v>1.9265625</v>
      </c>
      <c r="AM271" s="18" t="n">
        <f aca="false">SUMPRODUCT($AB271:$AF271,Validation!$D$12:$H$12)</f>
        <v>2.1984375</v>
      </c>
      <c r="AN271" s="18" t="n">
        <f aca="false">SUMPRODUCT($AB271:$AF271,Validation!$D$13:$H$13)</f>
        <v>2.002777777777</v>
      </c>
      <c r="AO271" s="18" t="n">
        <f aca="false">SUMPRODUCT($AB271:$AF271,Validation!$D$14:$H$14)</f>
        <v>2.122222222223</v>
      </c>
      <c r="AP271" s="18" t="n">
        <f aca="false">SUMPRODUCT($AB271:$AF271,Validation!$D$15:$H$15)</f>
        <v>2.1345588235294</v>
      </c>
      <c r="AQ271" s="18" t="n">
        <f aca="false">SUMPRODUCT($AB271:$AF271,Validation!$D$16:$H$16)</f>
        <v>1.9904411764706</v>
      </c>
      <c r="AR271" s="8" t="n">
        <f aca="false">COUNTIF($C271:$V271,"&gt;=4")</f>
        <v>3</v>
      </c>
      <c r="AS271" s="8" t="str">
        <f aca="false">IF($X271&lt;=1.6,"Low",IF($X271&lt;=2.2,"Medium","High"))</f>
        <v>Medium</v>
      </c>
      <c r="AT271" s="8" t="str">
        <f aca="false">IF($AR271=0,"Low",IF($AR271&lt;3,"Medium","High"))</f>
        <v>High</v>
      </c>
      <c r="AU271" s="8" t="str">
        <f aca="false">IF(OR($AS271="High",$AT271="High"),"High",IF(OR($AS271="Medium",$AT271="Medium"),"Medium","Low"))</f>
        <v>High</v>
      </c>
      <c r="AV271" s="15" t="str">
        <f aca="false">IF($Z271="Yes","High",$AU271)</f>
        <v>High</v>
      </c>
    </row>
    <row r="272" customFormat="false" ht="15" hidden="false" customHeight="false" outlineLevel="0" collapsed="false">
      <c r="A272" s="7" t="str">
        <f aca="false">Customers!$A272</f>
        <v>NG-10253</v>
      </c>
      <c r="B272" s="7" t="str">
        <f aca="false">Customers!$B272</f>
        <v>Personal</v>
      </c>
      <c r="C272" s="8" t="n">
        <f aca="false">INDEX(Mapping!$C$2:$C$99,MATCH(C$1&amp;"|"&amp;Customers!C272,Mapping!$D$2:$D$99,0))</f>
        <v>1</v>
      </c>
      <c r="D272" s="8" t="n">
        <f aca="false">INDEX(Mapping!$C$2:$C$99,MATCH(D$1&amp;"|"&amp;Customers!D272,Mapping!$D$2:$D$99,0))</f>
        <v>1</v>
      </c>
      <c r="E272" s="8" t="n">
        <f aca="false">INDEX(Mapping!$C$2:$C$99,MATCH(E$1&amp;"|"&amp;Customers!E272,Mapping!$D$2:$D$99,0))</f>
        <v>3</v>
      </c>
      <c r="F272" s="8" t="n">
        <f aca="false">INDEX(Mapping!$C$2:$C$99,MATCH(F$1&amp;"|"&amp;Customers!F272,Mapping!$D$2:$D$99,0))</f>
        <v>1</v>
      </c>
      <c r="G272" s="8" t="n">
        <f aca="false">INDEX(Mapping!$C$2:$C$99,MATCH(G$1&amp;"|"&amp;Customers!G272,Mapping!$D$2:$D$99,0))</f>
        <v>1</v>
      </c>
      <c r="H272" s="8" t="n">
        <f aca="false">INDEX(Mapping!$C$2:$C$99,MATCH(H$1&amp;"|"&amp;Customers!H272,Mapping!$D$2:$D$99,0))</f>
        <v>1</v>
      </c>
      <c r="I272" s="8" t="n">
        <f aca="false">INDEX(Mapping!$C$2:$C$99,MATCH(I$1&amp;"|"&amp;Customers!I272,Mapping!$D$2:$D$99,0))</f>
        <v>1</v>
      </c>
      <c r="J272" s="8" t="n">
        <f aca="false">INDEX(Mapping!$C$2:$C$99,MATCH(J$1&amp;"|"&amp;Customers!J272,Mapping!$D$2:$D$99,0))</f>
        <v>1</v>
      </c>
      <c r="K272" s="8" t="n">
        <f aca="false">INDEX(Mapping!$C$2:$C$99,MATCH(K$1&amp;"|"&amp;Customers!K272,Mapping!$D$2:$D$99,0))</f>
        <v>3</v>
      </c>
      <c r="L272" s="8" t="n">
        <f aca="false">INDEX(Mapping!$C$2:$C$99,MATCH(L$1&amp;"|"&amp;Customers!L272,Mapping!$D$2:$D$99,0))</f>
        <v>1</v>
      </c>
      <c r="M272" s="8" t="n">
        <f aca="false">INDEX(Mapping!$C$2:$C$99,MATCH(M$1&amp;"|"&amp;Customers!M272,Mapping!$D$2:$D$99,0))</f>
        <v>3</v>
      </c>
      <c r="N272" s="8" t="n">
        <f aca="false">INDEX(Mapping!$C$2:$C$99,MATCH(N$1&amp;"|"&amp;Customers!N272,Mapping!$D$2:$D$99,0))</f>
        <v>2</v>
      </c>
      <c r="O272" s="8" t="n">
        <f aca="false">INDEX(Mapping!$C$2:$C$99,MATCH(O$1&amp;"|"&amp;Customers!O272,Mapping!$D$2:$D$99,0))</f>
        <v>3</v>
      </c>
      <c r="P272" s="8" t="n">
        <f aca="false">INDEX(Mapping!$C$2:$C$99,MATCH(P$1&amp;"|"&amp;Customers!P272,Mapping!$D$2:$D$99,0))</f>
        <v>1</v>
      </c>
      <c r="Q272" s="8" t="n">
        <f aca="false">INDEX(Mapping!$C$2:$C$99,MATCH(Q$1&amp;"|"&amp;Customers!Q272,Mapping!$D$2:$D$99,0))</f>
        <v>1</v>
      </c>
      <c r="R272" s="8" t="n">
        <f aca="false">INDEX(Mapping!$C$2:$C$99,MATCH(R$1&amp;"|"&amp;Customers!R272,Mapping!$D$2:$D$99,0))</f>
        <v>2</v>
      </c>
      <c r="S272" s="8" t="n">
        <f aca="false">INDEX(Mapping!$C$2:$C$99,MATCH(S$1&amp;"|"&amp;Customers!S272,Mapping!$D$2:$D$99,0))</f>
        <v>1</v>
      </c>
      <c r="T272" s="8" t="n">
        <f aca="false">INDEX(Mapping!$C$2:$C$99,MATCH(T$1&amp;"|"&amp;Customers!T272,Mapping!$D$2:$D$99,0))</f>
        <v>1</v>
      </c>
      <c r="U272" s="8" t="n">
        <f aca="false">INDEX(Mapping!$C$2:$C$99,MATCH(U$1&amp;"|"&amp;Customers!U272,Mapping!$D$2:$D$99,0))</f>
        <v>1</v>
      </c>
      <c r="V272" s="8" t="n">
        <f aca="false">INDEX(Mapping!$C$2:$C$99,MATCH(V$1&amp;"|"&amp;Customers!V272,Mapping!$D$2:$D$99,0))</f>
        <v>1</v>
      </c>
      <c r="W272" s="17" t="n">
        <f aca="false">SUMPRODUCT($C272:$V272,Weights!$C$27:$V$27)</f>
        <v>1.5475</v>
      </c>
      <c r="X272" s="18" t="n">
        <f aca="false">ROUND($W272,2)</f>
        <v>1.55</v>
      </c>
      <c r="Y272" s="8" t="str">
        <f aca="false">IF($X272&lt;=2,"Low",IF($X272&lt;=3.49,"Medium","High"))</f>
        <v>Low</v>
      </c>
      <c r="Z272" s="8" t="str">
        <f aca="false">IF(OR($F272&gt;=3,$E272=5,$D272=5,$C272=5,$G272=5,$H272=5,$I272=5,$J272=5,Customers!$W272="Yes"),"Yes","No")</f>
        <v>Yes</v>
      </c>
      <c r="AA272" s="15" t="str">
        <f aca="false">IF($Z272="Yes","High",$Y272)</f>
        <v>High</v>
      </c>
      <c r="AB272" s="18" t="n">
        <f aca="false">SUMPRODUCT($C272:$G272,Weights!$C$28:$G$28)</f>
        <v>1.5</v>
      </c>
      <c r="AC272" s="18" t="n">
        <f aca="false">SUMPRODUCT($H272:$J272,Weights!$H$28:$J$28)</f>
        <v>1</v>
      </c>
      <c r="AD272" s="18" t="n">
        <f aca="false">SUMPRODUCT($K272:$N272,Weights!$K$28:$N$28)</f>
        <v>2.35</v>
      </c>
      <c r="AE272" s="18" t="n">
        <f aca="false">SUMPRODUCT($O272:$Q272,Weights!$O$28:$Q$28)</f>
        <v>1.9</v>
      </c>
      <c r="AF272" s="18" t="n">
        <f aca="false">SUMPRODUCT($R272:$V272,Weights!$R$28:$V$28)</f>
        <v>1.25</v>
      </c>
      <c r="AH272" s="18" t="n">
        <f aca="false">SUMPRODUCT($AB272:$AF272,Validation!$D$7:$H$7)</f>
        <v>1.5542857142855</v>
      </c>
      <c r="AI272" s="18" t="n">
        <f aca="false">SUMPRODUCT($AB272:$AF272,Validation!$D$8:$H$8)</f>
        <v>1.5407142857145</v>
      </c>
      <c r="AJ272" s="18" t="n">
        <f aca="false">SUMPRODUCT($AB272:$AF272,Validation!$D$9:$H$9)</f>
        <v>1.62050000000015</v>
      </c>
      <c r="AK272" s="18" t="n">
        <f aca="false">SUMPRODUCT($AB272:$AF272,Validation!$D$10:$H$10)</f>
        <v>1.47449999999985</v>
      </c>
      <c r="AL272" s="18" t="n">
        <f aca="false">SUMPRODUCT($AB272:$AF272,Validation!$D$11:$H$11)</f>
        <v>1.4471875</v>
      </c>
      <c r="AM272" s="18" t="n">
        <f aca="false">SUMPRODUCT($AB272:$AF272,Validation!$D$12:$H$12)</f>
        <v>1.6478125</v>
      </c>
      <c r="AN272" s="18" t="n">
        <f aca="false">SUMPRODUCT($AB272:$AF272,Validation!$D$13:$H$13)</f>
        <v>1.50833333333295</v>
      </c>
      <c r="AO272" s="18" t="n">
        <f aca="false">SUMPRODUCT($AB272:$AF272,Validation!$D$14:$H$14)</f>
        <v>1.58666666666705</v>
      </c>
      <c r="AP272" s="18" t="n">
        <f aca="false">SUMPRODUCT($AB272:$AF272,Validation!$D$15:$H$15)</f>
        <v>1.58250000000005</v>
      </c>
      <c r="AQ272" s="18" t="n">
        <f aca="false">SUMPRODUCT($AB272:$AF272,Validation!$D$16:$H$16)</f>
        <v>1.51249999999995</v>
      </c>
      <c r="AR272" s="8" t="n">
        <f aca="false">COUNTIF($C272:$V272,"&gt;=4")</f>
        <v>0</v>
      </c>
      <c r="AS272" s="8" t="str">
        <f aca="false">IF($X272&lt;=1.6,"Low",IF($X272&lt;=2.2,"Medium","High"))</f>
        <v>Low</v>
      </c>
      <c r="AT272" s="8" t="str">
        <f aca="false">IF($AR272=0,"Low",IF($AR272&lt;3,"Medium","High"))</f>
        <v>Low</v>
      </c>
      <c r="AU272" s="8" t="str">
        <f aca="false">IF(OR($AS272="High",$AT272="High"),"High",IF(OR($AS272="Medium",$AT272="Medium"),"Medium","Low"))</f>
        <v>Low</v>
      </c>
      <c r="AV272" s="15" t="str">
        <f aca="false">IF($Z272="Yes","High",$AU272)</f>
        <v>High</v>
      </c>
    </row>
    <row r="273" customFormat="false" ht="15" hidden="false" customHeight="false" outlineLevel="0" collapsed="false">
      <c r="A273" s="7" t="str">
        <f aca="false">Customers!$A273</f>
        <v>NG-10046</v>
      </c>
      <c r="B273" s="7" t="str">
        <f aca="false">Customers!$B273</f>
        <v>Personal</v>
      </c>
      <c r="C273" s="8" t="n">
        <f aca="false">INDEX(Mapping!$C$2:$C$99,MATCH(C$1&amp;"|"&amp;Customers!C273,Mapping!$D$2:$D$99,0))</f>
        <v>2</v>
      </c>
      <c r="D273" s="8" t="n">
        <f aca="false">INDEX(Mapping!$C$2:$C$99,MATCH(D$1&amp;"|"&amp;Customers!D273,Mapping!$D$2:$D$99,0))</f>
        <v>1</v>
      </c>
      <c r="E273" s="8" t="n">
        <f aca="false">INDEX(Mapping!$C$2:$C$99,MATCH(E$1&amp;"|"&amp;Customers!E273,Mapping!$D$2:$D$99,0))</f>
        <v>3</v>
      </c>
      <c r="F273" s="8" t="n">
        <f aca="false">INDEX(Mapping!$C$2:$C$99,MATCH(F$1&amp;"|"&amp;Customers!F273,Mapping!$D$2:$D$99,0))</f>
        <v>1</v>
      </c>
      <c r="G273" s="8" t="n">
        <f aca="false">INDEX(Mapping!$C$2:$C$99,MATCH(G$1&amp;"|"&amp;Customers!G273,Mapping!$D$2:$D$99,0))</f>
        <v>1</v>
      </c>
      <c r="H273" s="8" t="n">
        <f aca="false">INDEX(Mapping!$C$2:$C$99,MATCH(H$1&amp;"|"&amp;Customers!H273,Mapping!$D$2:$D$99,0))</f>
        <v>1</v>
      </c>
      <c r="I273" s="8" t="n">
        <f aca="false">INDEX(Mapping!$C$2:$C$99,MATCH(I$1&amp;"|"&amp;Customers!I273,Mapping!$D$2:$D$99,0))</f>
        <v>1</v>
      </c>
      <c r="J273" s="8" t="n">
        <f aca="false">INDEX(Mapping!$C$2:$C$99,MATCH(J$1&amp;"|"&amp;Customers!J273,Mapping!$D$2:$D$99,0))</f>
        <v>1</v>
      </c>
      <c r="K273" s="8" t="n">
        <f aca="false">INDEX(Mapping!$C$2:$C$99,MATCH(K$1&amp;"|"&amp;Customers!K273,Mapping!$D$2:$D$99,0))</f>
        <v>2</v>
      </c>
      <c r="L273" s="8" t="n">
        <f aca="false">INDEX(Mapping!$C$2:$C$99,MATCH(L$1&amp;"|"&amp;Customers!L273,Mapping!$D$2:$D$99,0))</f>
        <v>3</v>
      </c>
      <c r="M273" s="8" t="n">
        <f aca="false">INDEX(Mapping!$C$2:$C$99,MATCH(M$1&amp;"|"&amp;Customers!M273,Mapping!$D$2:$D$99,0))</f>
        <v>1</v>
      </c>
      <c r="N273" s="8" t="n">
        <f aca="false">INDEX(Mapping!$C$2:$C$99,MATCH(N$1&amp;"|"&amp;Customers!N273,Mapping!$D$2:$D$99,0))</f>
        <v>1</v>
      </c>
      <c r="O273" s="8" t="n">
        <f aca="false">INDEX(Mapping!$C$2:$C$99,MATCH(O$1&amp;"|"&amp;Customers!O273,Mapping!$D$2:$D$99,0))</f>
        <v>3</v>
      </c>
      <c r="P273" s="8" t="n">
        <f aca="false">INDEX(Mapping!$C$2:$C$99,MATCH(P$1&amp;"|"&amp;Customers!P273,Mapping!$D$2:$D$99,0))</f>
        <v>4</v>
      </c>
      <c r="Q273" s="8" t="n">
        <f aca="false">INDEX(Mapping!$C$2:$C$99,MATCH(Q$1&amp;"|"&amp;Customers!Q273,Mapping!$D$2:$D$99,0))</f>
        <v>1</v>
      </c>
      <c r="R273" s="8" t="n">
        <f aca="false">INDEX(Mapping!$C$2:$C$99,MATCH(R$1&amp;"|"&amp;Customers!R273,Mapping!$D$2:$D$99,0))</f>
        <v>2</v>
      </c>
      <c r="S273" s="8" t="n">
        <f aca="false">INDEX(Mapping!$C$2:$C$99,MATCH(S$1&amp;"|"&amp;Customers!S273,Mapping!$D$2:$D$99,0))</f>
        <v>1</v>
      </c>
      <c r="T273" s="8" t="n">
        <f aca="false">INDEX(Mapping!$C$2:$C$99,MATCH(T$1&amp;"|"&amp;Customers!T273,Mapping!$D$2:$D$99,0))</f>
        <v>1</v>
      </c>
      <c r="U273" s="8" t="n">
        <f aca="false">INDEX(Mapping!$C$2:$C$99,MATCH(U$1&amp;"|"&amp;Customers!U273,Mapping!$D$2:$D$99,0))</f>
        <v>1</v>
      </c>
      <c r="V273" s="8" t="n">
        <f aca="false">INDEX(Mapping!$C$2:$C$99,MATCH(V$1&amp;"|"&amp;Customers!V273,Mapping!$D$2:$D$99,0))</f>
        <v>1</v>
      </c>
      <c r="W273" s="17" t="n">
        <f aca="false">SUMPRODUCT($C273:$V273,Weights!$C$27:$V$27)</f>
        <v>1.6125</v>
      </c>
      <c r="X273" s="18" t="n">
        <f aca="false">ROUND($W273,2)</f>
        <v>1.61</v>
      </c>
      <c r="Y273" s="8" t="str">
        <f aca="false">IF($X273&lt;=2,"Low",IF($X273&lt;=3.49,"Medium","High"))</f>
        <v>Low</v>
      </c>
      <c r="Z273" s="8" t="str">
        <f aca="false">IF(OR($F273&gt;=3,$E273=5,$D273=5,$C273=5,$G273=5,$H273=5,$I273=5,$J273=5,Customers!$W273="Yes"),"Yes","No")</f>
        <v>No</v>
      </c>
      <c r="AA273" s="15" t="str">
        <f aca="false">IF($Z273="Yes","High",$Y273)</f>
        <v>Low</v>
      </c>
      <c r="AB273" s="18" t="n">
        <f aca="false">SUMPRODUCT($C273:$G273,Weights!$C$28:$G$28)</f>
        <v>1.7</v>
      </c>
      <c r="AC273" s="18" t="n">
        <f aca="false">SUMPRODUCT($H273:$J273,Weights!$H$28:$J$28)</f>
        <v>1</v>
      </c>
      <c r="AD273" s="18" t="n">
        <f aca="false">SUMPRODUCT($K273:$N273,Weights!$K$28:$N$28)</f>
        <v>1.85</v>
      </c>
      <c r="AE273" s="18" t="n">
        <f aca="false">SUMPRODUCT($O273:$Q273,Weights!$O$28:$Q$28)</f>
        <v>2.95</v>
      </c>
      <c r="AF273" s="18" t="n">
        <f aca="false">SUMPRODUCT($R273:$V273,Weights!$R$28:$V$28)</f>
        <v>1.25</v>
      </c>
      <c r="AH273" s="18" t="n">
        <f aca="false">SUMPRODUCT($AB273:$AF273,Validation!$D$7:$H$7)</f>
        <v>1.6000000000003</v>
      </c>
      <c r="AI273" s="18" t="n">
        <f aca="false">SUMPRODUCT($AB273:$AF273,Validation!$D$8:$H$8)</f>
        <v>1.6249999999997</v>
      </c>
      <c r="AJ273" s="18" t="n">
        <f aca="false">SUMPRODUCT($AB273:$AF273,Validation!$D$9:$H$9)</f>
        <v>1.6941666666663</v>
      </c>
      <c r="AK273" s="18" t="n">
        <f aca="false">SUMPRODUCT($AB273:$AF273,Validation!$D$10:$H$10)</f>
        <v>1.5308333333337</v>
      </c>
      <c r="AL273" s="18" t="n">
        <f aca="false">SUMPRODUCT($AB273:$AF273,Validation!$D$11:$H$11)</f>
        <v>1.5828125</v>
      </c>
      <c r="AM273" s="18" t="n">
        <f aca="false">SUMPRODUCT($AB273:$AF273,Validation!$D$12:$H$12)</f>
        <v>1.6421875</v>
      </c>
      <c r="AN273" s="18" t="n">
        <f aca="false">SUMPRODUCT($AB273:$AF273,Validation!$D$13:$H$13)</f>
        <v>1.46388888888855</v>
      </c>
      <c r="AO273" s="18" t="n">
        <f aca="false">SUMPRODUCT($AB273:$AF273,Validation!$D$14:$H$14)</f>
        <v>1.76111111111145</v>
      </c>
      <c r="AP273" s="18" t="n">
        <f aca="false">SUMPRODUCT($AB273:$AF273,Validation!$D$15:$H$15)</f>
        <v>1.65514705882305</v>
      </c>
      <c r="AQ273" s="18" t="n">
        <f aca="false">SUMPRODUCT($AB273:$AF273,Validation!$D$16:$H$16)</f>
        <v>1.56985294117695</v>
      </c>
      <c r="AR273" s="8" t="n">
        <f aca="false">COUNTIF($C273:$V273,"&gt;=4")</f>
        <v>1</v>
      </c>
      <c r="AS273" s="8" t="str">
        <f aca="false">IF($X273&lt;=1.6,"Low",IF($X273&lt;=2.2,"Medium","High"))</f>
        <v>Medium</v>
      </c>
      <c r="AT273" s="8" t="str">
        <f aca="false">IF($AR273=0,"Low",IF($AR273&lt;3,"Medium","High"))</f>
        <v>Medium</v>
      </c>
      <c r="AU273" s="8" t="str">
        <f aca="false">IF(OR($AS273="High",$AT273="High"),"High",IF(OR($AS273="Medium",$AT273="Medium"),"Medium","Low"))</f>
        <v>Medium</v>
      </c>
      <c r="AV273" s="15" t="str">
        <f aca="false">IF($Z273="Yes","High",$AU273)</f>
        <v>Medium</v>
      </c>
    </row>
    <row r="274" customFormat="false" ht="15" hidden="false" customHeight="false" outlineLevel="0" collapsed="false">
      <c r="A274" s="7" t="str">
        <f aca="false">Customers!$A274</f>
        <v>NG-10063</v>
      </c>
      <c r="B274" s="7" t="str">
        <f aca="false">Customers!$B274</f>
        <v>Personal</v>
      </c>
      <c r="C274" s="8" t="n">
        <f aca="false">INDEX(Mapping!$C$2:$C$99,MATCH(C$1&amp;"|"&amp;Customers!C274,Mapping!$D$2:$D$99,0))</f>
        <v>1</v>
      </c>
      <c r="D274" s="8" t="n">
        <f aca="false">INDEX(Mapping!$C$2:$C$99,MATCH(D$1&amp;"|"&amp;Customers!D274,Mapping!$D$2:$D$99,0))</f>
        <v>1</v>
      </c>
      <c r="E274" s="8" t="n">
        <f aca="false">INDEX(Mapping!$C$2:$C$99,MATCH(E$1&amp;"|"&amp;Customers!E274,Mapping!$D$2:$D$99,0))</f>
        <v>3</v>
      </c>
      <c r="F274" s="8" t="n">
        <f aca="false">INDEX(Mapping!$C$2:$C$99,MATCH(F$1&amp;"|"&amp;Customers!F274,Mapping!$D$2:$D$99,0))</f>
        <v>1</v>
      </c>
      <c r="G274" s="8" t="n">
        <f aca="false">INDEX(Mapping!$C$2:$C$99,MATCH(G$1&amp;"|"&amp;Customers!G274,Mapping!$D$2:$D$99,0))</f>
        <v>2</v>
      </c>
      <c r="H274" s="8" t="n">
        <f aca="false">INDEX(Mapping!$C$2:$C$99,MATCH(H$1&amp;"|"&amp;Customers!H274,Mapping!$D$2:$D$99,0))</f>
        <v>1</v>
      </c>
      <c r="I274" s="8" t="n">
        <f aca="false">INDEX(Mapping!$C$2:$C$99,MATCH(I$1&amp;"|"&amp;Customers!I274,Mapping!$D$2:$D$99,0))</f>
        <v>2</v>
      </c>
      <c r="J274" s="8" t="n">
        <f aca="false">INDEX(Mapping!$C$2:$C$99,MATCH(J$1&amp;"|"&amp;Customers!J274,Mapping!$D$2:$D$99,0))</f>
        <v>1</v>
      </c>
      <c r="K274" s="8" t="n">
        <f aca="false">INDEX(Mapping!$C$2:$C$99,MATCH(K$1&amp;"|"&amp;Customers!K274,Mapping!$D$2:$D$99,0))</f>
        <v>3</v>
      </c>
      <c r="L274" s="8" t="n">
        <f aca="false">INDEX(Mapping!$C$2:$C$99,MATCH(L$1&amp;"|"&amp;Customers!L274,Mapping!$D$2:$D$99,0))</f>
        <v>2</v>
      </c>
      <c r="M274" s="8" t="n">
        <f aca="false">INDEX(Mapping!$C$2:$C$99,MATCH(M$1&amp;"|"&amp;Customers!M274,Mapping!$D$2:$D$99,0))</f>
        <v>2</v>
      </c>
      <c r="N274" s="8" t="n">
        <f aca="false">INDEX(Mapping!$C$2:$C$99,MATCH(N$1&amp;"|"&amp;Customers!N274,Mapping!$D$2:$D$99,0))</f>
        <v>2</v>
      </c>
      <c r="O274" s="8" t="n">
        <f aca="false">INDEX(Mapping!$C$2:$C$99,MATCH(O$1&amp;"|"&amp;Customers!O274,Mapping!$D$2:$D$99,0))</f>
        <v>3</v>
      </c>
      <c r="P274" s="8" t="n">
        <f aca="false">INDEX(Mapping!$C$2:$C$99,MATCH(P$1&amp;"|"&amp;Customers!P274,Mapping!$D$2:$D$99,0))</f>
        <v>3</v>
      </c>
      <c r="Q274" s="8" t="n">
        <f aca="false">INDEX(Mapping!$C$2:$C$99,MATCH(Q$1&amp;"|"&amp;Customers!Q274,Mapping!$D$2:$D$99,0))</f>
        <v>1</v>
      </c>
      <c r="R274" s="8" t="n">
        <f aca="false">INDEX(Mapping!$C$2:$C$99,MATCH(R$1&amp;"|"&amp;Customers!R274,Mapping!$D$2:$D$99,0))</f>
        <v>1</v>
      </c>
      <c r="S274" s="8" t="n">
        <f aca="false">INDEX(Mapping!$C$2:$C$99,MATCH(S$1&amp;"|"&amp;Customers!S274,Mapping!$D$2:$D$99,0))</f>
        <v>3</v>
      </c>
      <c r="T274" s="8" t="n">
        <f aca="false">INDEX(Mapping!$C$2:$C$99,MATCH(T$1&amp;"|"&amp;Customers!T274,Mapping!$D$2:$D$99,0))</f>
        <v>1</v>
      </c>
      <c r="U274" s="8" t="n">
        <f aca="false">INDEX(Mapping!$C$2:$C$99,MATCH(U$1&amp;"|"&amp;Customers!U274,Mapping!$D$2:$D$99,0))</f>
        <v>1</v>
      </c>
      <c r="V274" s="8" t="n">
        <f aca="false">INDEX(Mapping!$C$2:$C$99,MATCH(V$1&amp;"|"&amp;Customers!V274,Mapping!$D$2:$D$99,0))</f>
        <v>1</v>
      </c>
      <c r="W274" s="17" t="n">
        <f aca="false">SUMPRODUCT($C274:$V274,Weights!$C$27:$V$27)</f>
        <v>1.765</v>
      </c>
      <c r="X274" s="18" t="n">
        <f aca="false">ROUND($W274,2)</f>
        <v>1.77</v>
      </c>
      <c r="Y274" s="8" t="str">
        <f aca="false">IF($X274&lt;=2,"Low",IF($X274&lt;=3.49,"Medium","High"))</f>
        <v>Low</v>
      </c>
      <c r="Z274" s="8" t="str">
        <f aca="false">IF(OR($F274&gt;=3,$E274=5,$D274=5,$C274=5,$G274=5,$H274=5,$I274=5,$J274=5,Customers!$W274="Yes"),"Yes","No")</f>
        <v>No</v>
      </c>
      <c r="AA274" s="15" t="str">
        <f aca="false">IF($Z274="Yes","High",$Y274)</f>
        <v>Low</v>
      </c>
      <c r="AB274" s="18" t="n">
        <f aca="false">SUMPRODUCT($C274:$G274,Weights!$C$28:$G$28)</f>
        <v>1.65</v>
      </c>
      <c r="AC274" s="18" t="n">
        <f aca="false">SUMPRODUCT($H274:$J274,Weights!$H$28:$J$28)</f>
        <v>1.2</v>
      </c>
      <c r="AD274" s="18" t="n">
        <f aca="false">SUMPRODUCT($K274:$N274,Weights!$K$28:$N$28)</f>
        <v>2.35</v>
      </c>
      <c r="AE274" s="18" t="n">
        <f aca="false">SUMPRODUCT($O274:$Q274,Weights!$O$28:$Q$28)</f>
        <v>2.6</v>
      </c>
      <c r="AF274" s="18" t="n">
        <f aca="false">SUMPRODUCT($R274:$V274,Weights!$R$28:$V$28)</f>
        <v>1.6</v>
      </c>
      <c r="AH274" s="18" t="n">
        <f aca="false">SUMPRODUCT($AB274:$AF274,Validation!$D$7:$H$7)</f>
        <v>1.78142857142865</v>
      </c>
      <c r="AI274" s="18" t="n">
        <f aca="false">SUMPRODUCT($AB274:$AF274,Validation!$D$8:$H$8)</f>
        <v>1.74857142857135</v>
      </c>
      <c r="AJ274" s="18" t="n">
        <f aca="false">SUMPRODUCT($AB274:$AF274,Validation!$D$9:$H$9)</f>
        <v>1.84033333333325</v>
      </c>
      <c r="AK274" s="18" t="n">
        <f aca="false">SUMPRODUCT($AB274:$AF274,Validation!$D$10:$H$10)</f>
        <v>1.68966666666675</v>
      </c>
      <c r="AL274" s="18" t="n">
        <f aca="false">SUMPRODUCT($AB274:$AF274,Validation!$D$11:$H$11)</f>
        <v>1.691875</v>
      </c>
      <c r="AM274" s="18" t="n">
        <f aca="false">SUMPRODUCT($AB274:$AF274,Validation!$D$12:$H$12)</f>
        <v>1.838125</v>
      </c>
      <c r="AN274" s="18" t="n">
        <f aca="false">SUMPRODUCT($AB274:$AF274,Validation!$D$13:$H$13)</f>
        <v>1.67222222222195</v>
      </c>
      <c r="AO274" s="18" t="n">
        <f aca="false">SUMPRODUCT($AB274:$AF274,Validation!$D$14:$H$14)</f>
        <v>1.85777777777805</v>
      </c>
      <c r="AP274" s="18" t="n">
        <f aca="false">SUMPRODUCT($AB274:$AF274,Validation!$D$15:$H$15)</f>
        <v>1.7844117647057</v>
      </c>
      <c r="AQ274" s="18" t="n">
        <f aca="false">SUMPRODUCT($AB274:$AF274,Validation!$D$16:$H$16)</f>
        <v>1.7455882352943</v>
      </c>
      <c r="AR274" s="8" t="n">
        <f aca="false">COUNTIF($C274:$V274,"&gt;=4")</f>
        <v>0</v>
      </c>
      <c r="AS274" s="8" t="str">
        <f aca="false">IF($X274&lt;=1.6,"Low",IF($X274&lt;=2.2,"Medium","High"))</f>
        <v>Medium</v>
      </c>
      <c r="AT274" s="8" t="str">
        <f aca="false">IF($AR274=0,"Low",IF($AR274&lt;3,"Medium","High"))</f>
        <v>Low</v>
      </c>
      <c r="AU274" s="8" t="str">
        <f aca="false">IF(OR($AS274="High",$AT274="High"),"High",IF(OR($AS274="Medium",$AT274="Medium"),"Medium","Low"))</f>
        <v>Medium</v>
      </c>
      <c r="AV274" s="15" t="str">
        <f aca="false">IF($Z274="Yes","High",$AU274)</f>
        <v>Medium</v>
      </c>
    </row>
    <row r="275" customFormat="false" ht="15" hidden="false" customHeight="false" outlineLevel="0" collapsed="false">
      <c r="A275" s="7" t="str">
        <f aca="false">Customers!$A275</f>
        <v>NG-10212</v>
      </c>
      <c r="B275" s="7" t="str">
        <f aca="false">Customers!$B275</f>
        <v>Personal</v>
      </c>
      <c r="C275" s="8" t="n">
        <f aca="false">INDEX(Mapping!$C$2:$C$99,MATCH(C$1&amp;"|"&amp;Customers!C275,Mapping!$D$2:$D$99,0))</f>
        <v>1</v>
      </c>
      <c r="D275" s="8" t="n">
        <f aca="false">INDEX(Mapping!$C$2:$C$99,MATCH(D$1&amp;"|"&amp;Customers!D275,Mapping!$D$2:$D$99,0))</f>
        <v>1</v>
      </c>
      <c r="E275" s="8" t="n">
        <f aca="false">INDEX(Mapping!$C$2:$C$99,MATCH(E$1&amp;"|"&amp;Customers!E275,Mapping!$D$2:$D$99,0))</f>
        <v>1</v>
      </c>
      <c r="F275" s="8" t="n">
        <f aca="false">INDEX(Mapping!$C$2:$C$99,MATCH(F$1&amp;"|"&amp;Customers!F275,Mapping!$D$2:$D$99,0))</f>
        <v>1</v>
      </c>
      <c r="G275" s="8" t="n">
        <f aca="false">INDEX(Mapping!$C$2:$C$99,MATCH(G$1&amp;"|"&amp;Customers!G275,Mapping!$D$2:$D$99,0))</f>
        <v>1</v>
      </c>
      <c r="H275" s="8" t="n">
        <f aca="false">INDEX(Mapping!$C$2:$C$99,MATCH(H$1&amp;"|"&amp;Customers!H275,Mapping!$D$2:$D$99,0))</f>
        <v>1</v>
      </c>
      <c r="I275" s="8" t="n">
        <f aca="false">INDEX(Mapping!$C$2:$C$99,MATCH(I$1&amp;"|"&amp;Customers!I275,Mapping!$D$2:$D$99,0))</f>
        <v>1</v>
      </c>
      <c r="J275" s="8" t="n">
        <f aca="false">INDEX(Mapping!$C$2:$C$99,MATCH(J$1&amp;"|"&amp;Customers!J275,Mapping!$D$2:$D$99,0))</f>
        <v>1</v>
      </c>
      <c r="K275" s="8" t="n">
        <f aca="false">INDEX(Mapping!$C$2:$C$99,MATCH(K$1&amp;"|"&amp;Customers!K275,Mapping!$D$2:$D$99,0))</f>
        <v>2</v>
      </c>
      <c r="L275" s="8" t="n">
        <f aca="false">INDEX(Mapping!$C$2:$C$99,MATCH(L$1&amp;"|"&amp;Customers!L275,Mapping!$D$2:$D$99,0))</f>
        <v>2</v>
      </c>
      <c r="M275" s="8" t="n">
        <f aca="false">INDEX(Mapping!$C$2:$C$99,MATCH(M$1&amp;"|"&amp;Customers!M275,Mapping!$D$2:$D$99,0))</f>
        <v>1</v>
      </c>
      <c r="N275" s="8" t="n">
        <f aca="false">INDEX(Mapping!$C$2:$C$99,MATCH(N$1&amp;"|"&amp;Customers!N275,Mapping!$D$2:$D$99,0))</f>
        <v>1</v>
      </c>
      <c r="O275" s="8" t="n">
        <f aca="false">INDEX(Mapping!$C$2:$C$99,MATCH(O$1&amp;"|"&amp;Customers!O275,Mapping!$D$2:$D$99,0))</f>
        <v>3</v>
      </c>
      <c r="P275" s="8" t="n">
        <f aca="false">INDEX(Mapping!$C$2:$C$99,MATCH(P$1&amp;"|"&amp;Customers!P275,Mapping!$D$2:$D$99,0))</f>
        <v>3</v>
      </c>
      <c r="Q275" s="8" t="n">
        <f aca="false">INDEX(Mapping!$C$2:$C$99,MATCH(Q$1&amp;"|"&amp;Customers!Q275,Mapping!$D$2:$D$99,0))</f>
        <v>1</v>
      </c>
      <c r="R275" s="8" t="n">
        <f aca="false">INDEX(Mapping!$C$2:$C$99,MATCH(R$1&amp;"|"&amp;Customers!R275,Mapping!$D$2:$D$99,0))</f>
        <v>1</v>
      </c>
      <c r="S275" s="8" t="n">
        <f aca="false">INDEX(Mapping!$C$2:$C$99,MATCH(S$1&amp;"|"&amp;Customers!S275,Mapping!$D$2:$D$99,0))</f>
        <v>2</v>
      </c>
      <c r="T275" s="8" t="n">
        <f aca="false">INDEX(Mapping!$C$2:$C$99,MATCH(T$1&amp;"|"&amp;Customers!T275,Mapping!$D$2:$D$99,0))</f>
        <v>3</v>
      </c>
      <c r="U275" s="8" t="n">
        <f aca="false">INDEX(Mapping!$C$2:$C$99,MATCH(U$1&amp;"|"&amp;Customers!U275,Mapping!$D$2:$D$99,0))</f>
        <v>1</v>
      </c>
      <c r="V275" s="8" t="n">
        <f aca="false">INDEX(Mapping!$C$2:$C$99,MATCH(V$1&amp;"|"&amp;Customers!V275,Mapping!$D$2:$D$99,0))</f>
        <v>1</v>
      </c>
      <c r="W275" s="17" t="n">
        <f aca="false">SUMPRODUCT($C275:$V275,Weights!$C$27:$V$27)</f>
        <v>1.385</v>
      </c>
      <c r="X275" s="18" t="n">
        <f aca="false">ROUND($W275,2)</f>
        <v>1.39</v>
      </c>
      <c r="Y275" s="8" t="str">
        <f aca="false">IF($X275&lt;=2,"Low",IF($X275&lt;=3.49,"Medium","High"))</f>
        <v>Low</v>
      </c>
      <c r="Z275" s="8" t="str">
        <f aca="false">IF(OR($F275&gt;=3,$E275=5,$D275=5,$C275=5,$G275=5,$H275=5,$I275=5,$J275=5,Customers!$W275="Yes"),"Yes","No")</f>
        <v>No</v>
      </c>
      <c r="AA275" s="15" t="str">
        <f aca="false">IF($Z275="Yes","High",$Y275)</f>
        <v>Low</v>
      </c>
      <c r="AB275" s="18" t="n">
        <f aca="false">SUMPRODUCT($C275:$G275,Weights!$C$28:$G$28)</f>
        <v>1</v>
      </c>
      <c r="AC275" s="18" t="n">
        <f aca="false">SUMPRODUCT($H275:$J275,Weights!$H$28:$J$28)</f>
        <v>1</v>
      </c>
      <c r="AD275" s="18" t="n">
        <f aca="false">SUMPRODUCT($K275:$N275,Weights!$K$28:$N$28)</f>
        <v>1.6</v>
      </c>
      <c r="AE275" s="18" t="n">
        <f aca="false">SUMPRODUCT($O275:$Q275,Weights!$O$28:$Q$28)</f>
        <v>2.6</v>
      </c>
      <c r="AF275" s="18" t="n">
        <f aca="false">SUMPRODUCT($R275:$V275,Weights!$R$28:$V$28)</f>
        <v>1.7</v>
      </c>
      <c r="AH275" s="18" t="n">
        <f aca="false">SUMPRODUCT($AB275:$AF275,Validation!$D$7:$H$7)</f>
        <v>1.4400000000005</v>
      </c>
      <c r="AI275" s="18" t="n">
        <f aca="false">SUMPRODUCT($AB275:$AF275,Validation!$D$8:$H$8)</f>
        <v>1.3299999999995</v>
      </c>
      <c r="AJ275" s="18" t="n">
        <f aca="false">SUMPRODUCT($AB275:$AF275,Validation!$D$9:$H$9)</f>
        <v>1.436333333333</v>
      </c>
      <c r="AK275" s="18" t="n">
        <f aca="false">SUMPRODUCT($AB275:$AF275,Validation!$D$10:$H$10)</f>
        <v>1.333666666667</v>
      </c>
      <c r="AL275" s="18" t="n">
        <f aca="false">SUMPRODUCT($AB275:$AF275,Validation!$D$11:$H$11)</f>
        <v>1.358125</v>
      </c>
      <c r="AM275" s="18" t="n">
        <f aca="false">SUMPRODUCT($AB275:$AF275,Validation!$D$12:$H$12)</f>
        <v>1.411875</v>
      </c>
      <c r="AN275" s="18" t="n">
        <f aca="false">SUMPRODUCT($AB275:$AF275,Validation!$D$13:$H$13)</f>
        <v>1.2500000000001</v>
      </c>
      <c r="AO275" s="18" t="n">
        <f aca="false">SUMPRODUCT($AB275:$AF275,Validation!$D$14:$H$14)</f>
        <v>1.5199999999999</v>
      </c>
      <c r="AP275" s="18" t="n">
        <f aca="false">SUMPRODUCT($AB275:$AF275,Validation!$D$15:$H$15)</f>
        <v>1.3479411764702</v>
      </c>
      <c r="AQ275" s="18" t="n">
        <f aca="false">SUMPRODUCT($AB275:$AF275,Validation!$D$16:$H$16)</f>
        <v>1.4220588235298</v>
      </c>
      <c r="AR275" s="8" t="n">
        <f aca="false">COUNTIF($C275:$V275,"&gt;=4")</f>
        <v>0</v>
      </c>
      <c r="AS275" s="8" t="str">
        <f aca="false">IF($X275&lt;=1.6,"Low",IF($X275&lt;=2.2,"Medium","High"))</f>
        <v>Low</v>
      </c>
      <c r="AT275" s="8" t="str">
        <f aca="false">IF($AR275=0,"Low",IF($AR275&lt;3,"Medium","High"))</f>
        <v>Low</v>
      </c>
      <c r="AU275" s="8" t="str">
        <f aca="false">IF(OR($AS275="High",$AT275="High"),"High",IF(OR($AS275="Medium",$AT275="Medium"),"Medium","Low"))</f>
        <v>Low</v>
      </c>
      <c r="AV275" s="15" t="str">
        <f aca="false">IF($Z275="Yes","High",$AU275)</f>
        <v>Low</v>
      </c>
    </row>
    <row r="276" customFormat="false" ht="15" hidden="false" customHeight="false" outlineLevel="0" collapsed="false">
      <c r="A276" s="7" t="str">
        <f aca="false">Customers!$A276</f>
        <v>NG-10320</v>
      </c>
      <c r="B276" s="7" t="str">
        <f aca="false">Customers!$B276</f>
        <v>Sole trader</v>
      </c>
      <c r="C276" s="8" t="n">
        <f aca="false">INDEX(Mapping!$C$2:$C$99,MATCH(C$1&amp;"|"&amp;Customers!C276,Mapping!$D$2:$D$99,0))</f>
        <v>2</v>
      </c>
      <c r="D276" s="8" t="n">
        <f aca="false">INDEX(Mapping!$C$2:$C$99,MATCH(D$1&amp;"|"&amp;Customers!D276,Mapping!$D$2:$D$99,0))</f>
        <v>1</v>
      </c>
      <c r="E276" s="8" t="n">
        <f aca="false">INDEX(Mapping!$C$2:$C$99,MATCH(E$1&amp;"|"&amp;Customers!E276,Mapping!$D$2:$D$99,0))</f>
        <v>4</v>
      </c>
      <c r="F276" s="8" t="n">
        <f aca="false">INDEX(Mapping!$C$2:$C$99,MATCH(F$1&amp;"|"&amp;Customers!F276,Mapping!$D$2:$D$99,0))</f>
        <v>1</v>
      </c>
      <c r="G276" s="8" t="n">
        <f aca="false">INDEX(Mapping!$C$2:$C$99,MATCH(G$1&amp;"|"&amp;Customers!G276,Mapping!$D$2:$D$99,0))</f>
        <v>1</v>
      </c>
      <c r="H276" s="8" t="n">
        <f aca="false">INDEX(Mapping!$C$2:$C$99,MATCH(H$1&amp;"|"&amp;Customers!H276,Mapping!$D$2:$D$99,0))</f>
        <v>1</v>
      </c>
      <c r="I276" s="8" t="n">
        <f aca="false">INDEX(Mapping!$C$2:$C$99,MATCH(I$1&amp;"|"&amp;Customers!I276,Mapping!$D$2:$D$99,0))</f>
        <v>1</v>
      </c>
      <c r="J276" s="8" t="n">
        <f aca="false">INDEX(Mapping!$C$2:$C$99,MATCH(J$1&amp;"|"&amp;Customers!J276,Mapping!$D$2:$D$99,0))</f>
        <v>1</v>
      </c>
      <c r="K276" s="8" t="n">
        <f aca="false">INDEX(Mapping!$C$2:$C$99,MATCH(K$1&amp;"|"&amp;Customers!K276,Mapping!$D$2:$D$99,0))</f>
        <v>4</v>
      </c>
      <c r="L276" s="8" t="n">
        <f aca="false">INDEX(Mapping!$C$2:$C$99,MATCH(L$1&amp;"|"&amp;Customers!L276,Mapping!$D$2:$D$99,0))</f>
        <v>4</v>
      </c>
      <c r="M276" s="8" t="n">
        <f aca="false">INDEX(Mapping!$C$2:$C$99,MATCH(M$1&amp;"|"&amp;Customers!M276,Mapping!$D$2:$D$99,0))</f>
        <v>3</v>
      </c>
      <c r="N276" s="8" t="n">
        <f aca="false">INDEX(Mapping!$C$2:$C$99,MATCH(N$1&amp;"|"&amp;Customers!N276,Mapping!$D$2:$D$99,0))</f>
        <v>1</v>
      </c>
      <c r="O276" s="8" t="n">
        <f aca="false">INDEX(Mapping!$C$2:$C$99,MATCH(O$1&amp;"|"&amp;Customers!O276,Mapping!$D$2:$D$99,0))</f>
        <v>3</v>
      </c>
      <c r="P276" s="8" t="n">
        <f aca="false">INDEX(Mapping!$C$2:$C$99,MATCH(P$1&amp;"|"&amp;Customers!P276,Mapping!$D$2:$D$99,0))</f>
        <v>3</v>
      </c>
      <c r="Q276" s="8" t="n">
        <f aca="false">INDEX(Mapping!$C$2:$C$99,MATCH(Q$1&amp;"|"&amp;Customers!Q276,Mapping!$D$2:$D$99,0))</f>
        <v>4</v>
      </c>
      <c r="R276" s="8" t="n">
        <f aca="false">INDEX(Mapping!$C$2:$C$99,MATCH(R$1&amp;"|"&amp;Customers!R276,Mapping!$D$2:$D$99,0))</f>
        <v>1</v>
      </c>
      <c r="S276" s="8" t="n">
        <f aca="false">INDEX(Mapping!$C$2:$C$99,MATCH(S$1&amp;"|"&amp;Customers!S276,Mapping!$D$2:$D$99,0))</f>
        <v>2</v>
      </c>
      <c r="T276" s="8" t="n">
        <f aca="false">INDEX(Mapping!$C$2:$C$99,MATCH(T$1&amp;"|"&amp;Customers!T276,Mapping!$D$2:$D$99,0))</f>
        <v>1</v>
      </c>
      <c r="U276" s="8" t="n">
        <f aca="false">INDEX(Mapping!$C$2:$C$99,MATCH(U$1&amp;"|"&amp;Customers!U276,Mapping!$D$2:$D$99,0))</f>
        <v>2</v>
      </c>
      <c r="V276" s="8" t="n">
        <f aca="false">INDEX(Mapping!$C$2:$C$99,MATCH(V$1&amp;"|"&amp;Customers!V276,Mapping!$D$2:$D$99,0))</f>
        <v>2</v>
      </c>
      <c r="W276" s="17" t="n">
        <f aca="false">SUMPRODUCT($C276:$V276,Weights!$C$27:$V$27)</f>
        <v>2.0475</v>
      </c>
      <c r="X276" s="18" t="n">
        <f aca="false">ROUND($W276,2)</f>
        <v>2.05</v>
      </c>
      <c r="Y276" s="8" t="str">
        <f aca="false">IF($X276&lt;=2,"Low",IF($X276&lt;=3.49,"Medium","High"))</f>
        <v>Medium</v>
      </c>
      <c r="Z276" s="8" t="str">
        <f aca="false">IF(OR($F276&gt;=3,$E276=5,$D276=5,$C276=5,$G276=5,$H276=5,$I276=5,$J276=5,Customers!$W276="Yes"),"Yes","No")</f>
        <v>No</v>
      </c>
      <c r="AA276" s="15" t="str">
        <f aca="false">IF($Z276="Yes","High",$Y276)</f>
        <v>Medium</v>
      </c>
      <c r="AB276" s="18" t="n">
        <f aca="false">SUMPRODUCT($C276:$G276,Weights!$C$28:$G$28)</f>
        <v>1.95</v>
      </c>
      <c r="AC276" s="18" t="n">
        <f aca="false">SUMPRODUCT($H276:$J276,Weights!$H$28:$J$28)</f>
        <v>1</v>
      </c>
      <c r="AD276" s="18" t="n">
        <f aca="false">SUMPRODUCT($K276:$N276,Weights!$K$28:$N$28)</f>
        <v>3.3</v>
      </c>
      <c r="AE276" s="18" t="n">
        <f aca="false">SUMPRODUCT($O276:$Q276,Weights!$O$28:$Q$28)</f>
        <v>3.2</v>
      </c>
      <c r="AF276" s="18" t="n">
        <f aca="false">SUMPRODUCT($R276:$V276,Weights!$R$28:$V$28)</f>
        <v>1.55</v>
      </c>
      <c r="AH276" s="18" t="n">
        <f aca="false">SUMPRODUCT($AB276:$AF276,Validation!$D$7:$H$7)</f>
        <v>2.06142857142845</v>
      </c>
      <c r="AI276" s="18" t="n">
        <f aca="false">SUMPRODUCT($AB276:$AF276,Validation!$D$8:$H$8)</f>
        <v>2.03357142857155</v>
      </c>
      <c r="AJ276" s="18" t="n">
        <f aca="false">SUMPRODUCT($AB276:$AF276,Validation!$D$9:$H$9)</f>
        <v>2.1871666666667</v>
      </c>
      <c r="AK276" s="18" t="n">
        <f aca="false">SUMPRODUCT($AB276:$AF276,Validation!$D$10:$H$10)</f>
        <v>1.9078333333333</v>
      </c>
      <c r="AL276" s="18" t="n">
        <f aca="false">SUMPRODUCT($AB276:$AF276,Validation!$D$11:$H$11)</f>
        <v>1.8909375</v>
      </c>
      <c r="AM276" s="18" t="n">
        <f aca="false">SUMPRODUCT($AB276:$AF276,Validation!$D$12:$H$12)</f>
        <v>2.2040625</v>
      </c>
      <c r="AN276" s="18" t="n">
        <f aca="false">SUMPRODUCT($AB276:$AF276,Validation!$D$13:$H$13)</f>
        <v>1.9194444444438</v>
      </c>
      <c r="AO276" s="18" t="n">
        <f aca="false">SUMPRODUCT($AB276:$AF276,Validation!$D$14:$H$14)</f>
        <v>2.1755555555562</v>
      </c>
      <c r="AP276" s="18" t="n">
        <f aca="false">SUMPRODUCT($AB276:$AF276,Validation!$D$15:$H$15)</f>
        <v>2.10602941176455</v>
      </c>
      <c r="AQ276" s="18" t="n">
        <f aca="false">SUMPRODUCT($AB276:$AF276,Validation!$D$16:$H$16)</f>
        <v>1.98897058823545</v>
      </c>
      <c r="AR276" s="8" t="n">
        <f aca="false">COUNTIF($C276:$V276,"&gt;=4")</f>
        <v>4</v>
      </c>
      <c r="AS276" s="8" t="str">
        <f aca="false">IF($X276&lt;=1.6,"Low",IF($X276&lt;=2.2,"Medium","High"))</f>
        <v>Medium</v>
      </c>
      <c r="AT276" s="8" t="str">
        <f aca="false">IF($AR276=0,"Low",IF($AR276&lt;3,"Medium","High"))</f>
        <v>High</v>
      </c>
      <c r="AU276" s="8" t="str">
        <f aca="false">IF(OR($AS276="High",$AT276="High"),"High",IF(OR($AS276="Medium",$AT276="Medium"),"Medium","Low"))</f>
        <v>High</v>
      </c>
      <c r="AV276" s="15" t="str">
        <f aca="false">IF($Z276="Yes","High",$AU276)</f>
        <v>High</v>
      </c>
    </row>
    <row r="277" customFormat="false" ht="15" hidden="false" customHeight="false" outlineLevel="0" collapsed="false">
      <c r="A277" s="7" t="str">
        <f aca="false">Customers!$A277</f>
        <v>NG-10004</v>
      </c>
      <c r="B277" s="7" t="str">
        <f aca="false">Customers!$B277</f>
        <v>Personal</v>
      </c>
      <c r="C277" s="8" t="n">
        <f aca="false">INDEX(Mapping!$C$2:$C$99,MATCH(C$1&amp;"|"&amp;Customers!C277,Mapping!$D$2:$D$99,0))</f>
        <v>1</v>
      </c>
      <c r="D277" s="8" t="n">
        <f aca="false">INDEX(Mapping!$C$2:$C$99,MATCH(D$1&amp;"|"&amp;Customers!D277,Mapping!$D$2:$D$99,0))</f>
        <v>1</v>
      </c>
      <c r="E277" s="8" t="n">
        <f aca="false">INDEX(Mapping!$C$2:$C$99,MATCH(E$1&amp;"|"&amp;Customers!E277,Mapping!$D$2:$D$99,0))</f>
        <v>1</v>
      </c>
      <c r="F277" s="8" t="n">
        <f aca="false">INDEX(Mapping!$C$2:$C$99,MATCH(F$1&amp;"|"&amp;Customers!F277,Mapping!$D$2:$D$99,0))</f>
        <v>1</v>
      </c>
      <c r="G277" s="8" t="n">
        <f aca="false">INDEX(Mapping!$C$2:$C$99,MATCH(G$1&amp;"|"&amp;Customers!G277,Mapping!$D$2:$D$99,0))</f>
        <v>1</v>
      </c>
      <c r="H277" s="8" t="n">
        <f aca="false">INDEX(Mapping!$C$2:$C$99,MATCH(H$1&amp;"|"&amp;Customers!H277,Mapping!$D$2:$D$99,0))</f>
        <v>1</v>
      </c>
      <c r="I277" s="8" t="n">
        <f aca="false">INDEX(Mapping!$C$2:$C$99,MATCH(I$1&amp;"|"&amp;Customers!I277,Mapping!$D$2:$D$99,0))</f>
        <v>1</v>
      </c>
      <c r="J277" s="8" t="n">
        <f aca="false">INDEX(Mapping!$C$2:$C$99,MATCH(J$1&amp;"|"&amp;Customers!J277,Mapping!$D$2:$D$99,0))</f>
        <v>1</v>
      </c>
      <c r="K277" s="8" t="n">
        <f aca="false">INDEX(Mapping!$C$2:$C$99,MATCH(K$1&amp;"|"&amp;Customers!K277,Mapping!$D$2:$D$99,0))</f>
        <v>1</v>
      </c>
      <c r="L277" s="8" t="n">
        <f aca="false">INDEX(Mapping!$C$2:$C$99,MATCH(L$1&amp;"|"&amp;Customers!L277,Mapping!$D$2:$D$99,0))</f>
        <v>3</v>
      </c>
      <c r="M277" s="8" t="n">
        <f aca="false">INDEX(Mapping!$C$2:$C$99,MATCH(M$1&amp;"|"&amp;Customers!M277,Mapping!$D$2:$D$99,0))</f>
        <v>2</v>
      </c>
      <c r="N277" s="8" t="n">
        <f aca="false">INDEX(Mapping!$C$2:$C$99,MATCH(N$1&amp;"|"&amp;Customers!N277,Mapping!$D$2:$D$99,0))</f>
        <v>1</v>
      </c>
      <c r="O277" s="8" t="n">
        <f aca="false">INDEX(Mapping!$C$2:$C$99,MATCH(O$1&amp;"|"&amp;Customers!O277,Mapping!$D$2:$D$99,0))</f>
        <v>3</v>
      </c>
      <c r="P277" s="8" t="n">
        <f aca="false">INDEX(Mapping!$C$2:$C$99,MATCH(P$1&amp;"|"&amp;Customers!P277,Mapping!$D$2:$D$99,0))</f>
        <v>1</v>
      </c>
      <c r="Q277" s="8" t="n">
        <f aca="false">INDEX(Mapping!$C$2:$C$99,MATCH(Q$1&amp;"|"&amp;Customers!Q277,Mapping!$D$2:$D$99,0))</f>
        <v>1</v>
      </c>
      <c r="R277" s="8" t="n">
        <f aca="false">INDEX(Mapping!$C$2:$C$99,MATCH(R$1&amp;"|"&amp;Customers!R277,Mapping!$D$2:$D$99,0))</f>
        <v>1</v>
      </c>
      <c r="S277" s="8" t="n">
        <f aca="false">INDEX(Mapping!$C$2:$C$99,MATCH(S$1&amp;"|"&amp;Customers!S277,Mapping!$D$2:$D$99,0))</f>
        <v>2</v>
      </c>
      <c r="T277" s="8" t="n">
        <f aca="false">INDEX(Mapping!$C$2:$C$99,MATCH(T$1&amp;"|"&amp;Customers!T277,Mapping!$D$2:$D$99,0))</f>
        <v>1</v>
      </c>
      <c r="U277" s="8" t="n">
        <f aca="false">INDEX(Mapping!$C$2:$C$99,MATCH(U$1&amp;"|"&amp;Customers!U277,Mapping!$D$2:$D$99,0))</f>
        <v>1</v>
      </c>
      <c r="V277" s="8" t="n">
        <f aca="false">INDEX(Mapping!$C$2:$C$99,MATCH(V$1&amp;"|"&amp;Customers!V277,Mapping!$D$2:$D$99,0))</f>
        <v>1</v>
      </c>
      <c r="W277" s="17" t="n">
        <f aca="false">SUMPRODUCT($C277:$V277,Weights!$C$27:$V$27)</f>
        <v>1.285</v>
      </c>
      <c r="X277" s="18" t="n">
        <f aca="false">ROUND($W277,2)</f>
        <v>1.29</v>
      </c>
      <c r="Y277" s="8" t="str">
        <f aca="false">IF($X277&lt;=2,"Low",IF($X277&lt;=3.49,"Medium","High"))</f>
        <v>Low</v>
      </c>
      <c r="Z277" s="8" t="str">
        <f aca="false">IF(OR($F277&gt;=3,$E277=5,$D277=5,$C277=5,$G277=5,$H277=5,$I277=5,$J277=5,Customers!$W277="Yes"),"Yes","No")</f>
        <v>No</v>
      </c>
      <c r="AA277" s="15" t="str">
        <f aca="false">IF($Z277="Yes","High",$Y277)</f>
        <v>Low</v>
      </c>
      <c r="AB277" s="18" t="n">
        <f aca="false">SUMPRODUCT($C277:$G277,Weights!$C$28:$G$28)</f>
        <v>1</v>
      </c>
      <c r="AC277" s="18" t="n">
        <f aca="false">SUMPRODUCT($H277:$J277,Weights!$H$28:$J$28)</f>
        <v>1</v>
      </c>
      <c r="AD277" s="18" t="n">
        <f aca="false">SUMPRODUCT($K277:$N277,Weights!$K$28:$N$28)</f>
        <v>1.75</v>
      </c>
      <c r="AE277" s="18" t="n">
        <f aca="false">SUMPRODUCT($O277:$Q277,Weights!$O$28:$Q$28)</f>
        <v>1.9</v>
      </c>
      <c r="AF277" s="18" t="n">
        <f aca="false">SUMPRODUCT($R277:$V277,Weights!$R$28:$V$28)</f>
        <v>1.3</v>
      </c>
      <c r="AH277" s="18" t="n">
        <f aca="false">SUMPRODUCT($AB277:$AF277,Validation!$D$7:$H$7)</f>
        <v>1.32571428571435</v>
      </c>
      <c r="AI277" s="18" t="n">
        <f aca="false">SUMPRODUCT($AB277:$AF277,Validation!$D$8:$H$8)</f>
        <v>1.24428571428565</v>
      </c>
      <c r="AJ277" s="18" t="n">
        <f aca="false">SUMPRODUCT($AB277:$AF277,Validation!$D$9:$H$9)</f>
        <v>1.32299999999995</v>
      </c>
      <c r="AK277" s="18" t="n">
        <f aca="false">SUMPRODUCT($AB277:$AF277,Validation!$D$10:$H$10)</f>
        <v>1.24700000000005</v>
      </c>
      <c r="AL277" s="18" t="n">
        <f aca="false">SUMPRODUCT($AB277:$AF277,Validation!$D$11:$H$11)</f>
        <v>1.226875</v>
      </c>
      <c r="AM277" s="18" t="n">
        <f aca="false">SUMPRODUCT($AB277:$AF277,Validation!$D$12:$H$12)</f>
        <v>1.343125</v>
      </c>
      <c r="AN277" s="18" t="n">
        <f aca="false">SUMPRODUCT($AB277:$AF277,Validation!$D$13:$H$13)</f>
        <v>1.2166666666666</v>
      </c>
      <c r="AO277" s="18" t="n">
        <f aca="false">SUMPRODUCT($AB277:$AF277,Validation!$D$14:$H$14)</f>
        <v>1.3533333333334</v>
      </c>
      <c r="AP277" s="18" t="n">
        <f aca="false">SUMPRODUCT($AB277:$AF277,Validation!$D$15:$H$15)</f>
        <v>1.28323529411755</v>
      </c>
      <c r="AQ277" s="18" t="n">
        <f aca="false">SUMPRODUCT($AB277:$AF277,Validation!$D$16:$H$16)</f>
        <v>1.28676470588245</v>
      </c>
      <c r="AR277" s="8" t="n">
        <f aca="false">COUNTIF($C277:$V277,"&gt;=4")</f>
        <v>0</v>
      </c>
      <c r="AS277" s="8" t="str">
        <f aca="false">IF($X277&lt;=1.6,"Low",IF($X277&lt;=2.2,"Medium","High"))</f>
        <v>Low</v>
      </c>
      <c r="AT277" s="8" t="str">
        <f aca="false">IF($AR277=0,"Low",IF($AR277&lt;3,"Medium","High"))</f>
        <v>Low</v>
      </c>
      <c r="AU277" s="8" t="str">
        <f aca="false">IF(OR($AS277="High",$AT277="High"),"High",IF(OR($AS277="Medium",$AT277="Medium"),"Medium","Low"))</f>
        <v>Low</v>
      </c>
      <c r="AV277" s="15" t="str">
        <f aca="false">IF($Z277="Yes","High",$AU277)</f>
        <v>Low</v>
      </c>
    </row>
    <row r="278" customFormat="false" ht="15" hidden="false" customHeight="false" outlineLevel="0" collapsed="false">
      <c r="A278" s="7" t="str">
        <f aca="false">Customers!$A278</f>
        <v>NG-10193</v>
      </c>
      <c r="B278" s="7" t="str">
        <f aca="false">Customers!$B278</f>
        <v>Personal</v>
      </c>
      <c r="C278" s="8" t="n">
        <f aca="false">INDEX(Mapping!$C$2:$C$99,MATCH(C$1&amp;"|"&amp;Customers!C278,Mapping!$D$2:$D$99,0))</f>
        <v>2</v>
      </c>
      <c r="D278" s="8" t="n">
        <f aca="false">INDEX(Mapping!$C$2:$C$99,MATCH(D$1&amp;"|"&amp;Customers!D278,Mapping!$D$2:$D$99,0))</f>
        <v>1</v>
      </c>
      <c r="E278" s="8" t="n">
        <f aca="false">INDEX(Mapping!$C$2:$C$99,MATCH(E$1&amp;"|"&amp;Customers!E278,Mapping!$D$2:$D$99,0))</f>
        <v>3</v>
      </c>
      <c r="F278" s="8" t="n">
        <f aca="false">INDEX(Mapping!$C$2:$C$99,MATCH(F$1&amp;"|"&amp;Customers!F278,Mapping!$D$2:$D$99,0))</f>
        <v>1</v>
      </c>
      <c r="G278" s="8" t="n">
        <f aca="false">INDEX(Mapping!$C$2:$C$99,MATCH(G$1&amp;"|"&amp;Customers!G278,Mapping!$D$2:$D$99,0))</f>
        <v>1</v>
      </c>
      <c r="H278" s="8" t="n">
        <f aca="false">INDEX(Mapping!$C$2:$C$99,MATCH(H$1&amp;"|"&amp;Customers!H278,Mapping!$D$2:$D$99,0))</f>
        <v>1</v>
      </c>
      <c r="I278" s="8" t="n">
        <f aca="false">INDEX(Mapping!$C$2:$C$99,MATCH(I$1&amp;"|"&amp;Customers!I278,Mapping!$D$2:$D$99,0))</f>
        <v>2</v>
      </c>
      <c r="J278" s="8" t="n">
        <f aca="false">INDEX(Mapping!$C$2:$C$99,MATCH(J$1&amp;"|"&amp;Customers!J278,Mapping!$D$2:$D$99,0))</f>
        <v>1</v>
      </c>
      <c r="K278" s="8" t="n">
        <f aca="false">INDEX(Mapping!$C$2:$C$99,MATCH(K$1&amp;"|"&amp;Customers!K278,Mapping!$D$2:$D$99,0))</f>
        <v>3</v>
      </c>
      <c r="L278" s="8" t="n">
        <f aca="false">INDEX(Mapping!$C$2:$C$99,MATCH(L$1&amp;"|"&amp;Customers!L278,Mapping!$D$2:$D$99,0))</f>
        <v>3</v>
      </c>
      <c r="M278" s="8" t="n">
        <f aca="false">INDEX(Mapping!$C$2:$C$99,MATCH(M$1&amp;"|"&amp;Customers!M278,Mapping!$D$2:$D$99,0))</f>
        <v>4</v>
      </c>
      <c r="N278" s="8" t="n">
        <f aca="false">INDEX(Mapping!$C$2:$C$99,MATCH(N$1&amp;"|"&amp;Customers!N278,Mapping!$D$2:$D$99,0))</f>
        <v>2</v>
      </c>
      <c r="O278" s="8" t="n">
        <f aca="false">INDEX(Mapping!$C$2:$C$99,MATCH(O$1&amp;"|"&amp;Customers!O278,Mapping!$D$2:$D$99,0))</f>
        <v>3</v>
      </c>
      <c r="P278" s="8" t="n">
        <f aca="false">INDEX(Mapping!$C$2:$C$99,MATCH(P$1&amp;"|"&amp;Customers!P278,Mapping!$D$2:$D$99,0))</f>
        <v>4</v>
      </c>
      <c r="Q278" s="8" t="n">
        <f aca="false">INDEX(Mapping!$C$2:$C$99,MATCH(Q$1&amp;"|"&amp;Customers!Q278,Mapping!$D$2:$D$99,0))</f>
        <v>1</v>
      </c>
      <c r="R278" s="8" t="n">
        <f aca="false">INDEX(Mapping!$C$2:$C$99,MATCH(R$1&amp;"|"&amp;Customers!R278,Mapping!$D$2:$D$99,0))</f>
        <v>2</v>
      </c>
      <c r="S278" s="8" t="n">
        <f aca="false">INDEX(Mapping!$C$2:$C$99,MATCH(S$1&amp;"|"&amp;Customers!S278,Mapping!$D$2:$D$99,0))</f>
        <v>2</v>
      </c>
      <c r="T278" s="8" t="n">
        <f aca="false">INDEX(Mapping!$C$2:$C$99,MATCH(T$1&amp;"|"&amp;Customers!T278,Mapping!$D$2:$D$99,0))</f>
        <v>1</v>
      </c>
      <c r="U278" s="8" t="n">
        <f aca="false">INDEX(Mapping!$C$2:$C$99,MATCH(U$1&amp;"|"&amp;Customers!U278,Mapping!$D$2:$D$99,0))</f>
        <v>1</v>
      </c>
      <c r="V278" s="8" t="n">
        <f aca="false">INDEX(Mapping!$C$2:$C$99,MATCH(V$1&amp;"|"&amp;Customers!V278,Mapping!$D$2:$D$99,0))</f>
        <v>1</v>
      </c>
      <c r="W278" s="17" t="n">
        <f aca="false">SUMPRODUCT($C278:$V278,Weights!$C$27:$V$27)</f>
        <v>1.9575</v>
      </c>
      <c r="X278" s="18" t="n">
        <f aca="false">ROUND($W278,2)</f>
        <v>1.96</v>
      </c>
      <c r="Y278" s="8" t="str">
        <f aca="false">IF($X278&lt;=2,"Low",IF($X278&lt;=3.49,"Medium","High"))</f>
        <v>Low</v>
      </c>
      <c r="Z278" s="8" t="str">
        <f aca="false">IF(OR($F278&gt;=3,$E278=5,$D278=5,$C278=5,$G278=5,$H278=5,$I278=5,$J278=5,Customers!$W278="Yes"),"Yes","No")</f>
        <v>No</v>
      </c>
      <c r="AA278" s="15" t="str">
        <f aca="false">IF($Z278="Yes","High",$Y278)</f>
        <v>Low</v>
      </c>
      <c r="AB278" s="18" t="n">
        <f aca="false">SUMPRODUCT($C278:$G278,Weights!$C$28:$G$28)</f>
        <v>1.7</v>
      </c>
      <c r="AC278" s="18" t="n">
        <f aca="false">SUMPRODUCT($H278:$J278,Weights!$H$28:$J$28)</f>
        <v>1.2</v>
      </c>
      <c r="AD278" s="18" t="n">
        <f aca="false">SUMPRODUCT($K278:$N278,Weights!$K$28:$N$28)</f>
        <v>3.1</v>
      </c>
      <c r="AE278" s="18" t="n">
        <f aca="false">SUMPRODUCT($O278:$Q278,Weights!$O$28:$Q$28)</f>
        <v>2.95</v>
      </c>
      <c r="AF278" s="18" t="n">
        <f aca="false">SUMPRODUCT($R278:$V278,Weights!$R$28:$V$28)</f>
        <v>1.55</v>
      </c>
      <c r="AH278" s="18" t="n">
        <f aca="false">SUMPRODUCT($AB278:$AF278,Validation!$D$7:$H$7)</f>
        <v>1.99428571428555</v>
      </c>
      <c r="AI278" s="18" t="n">
        <f aca="false">SUMPRODUCT($AB278:$AF278,Validation!$D$8:$H$8)</f>
        <v>1.92071428571445</v>
      </c>
      <c r="AJ278" s="18" t="n">
        <f aca="false">SUMPRODUCT($AB278:$AF278,Validation!$D$9:$H$9)</f>
        <v>2.05850000000005</v>
      </c>
      <c r="AK278" s="18" t="n">
        <f aca="false">SUMPRODUCT($AB278:$AF278,Validation!$D$10:$H$10)</f>
        <v>1.85649999999995</v>
      </c>
      <c r="AL278" s="18" t="n">
        <f aca="false">SUMPRODUCT($AB278:$AF278,Validation!$D$11:$H$11)</f>
        <v>1.8146875</v>
      </c>
      <c r="AM278" s="18" t="n">
        <f aca="false">SUMPRODUCT($AB278:$AF278,Validation!$D$12:$H$12)</f>
        <v>2.1003125</v>
      </c>
      <c r="AN278" s="18" t="n">
        <f aca="false">SUMPRODUCT($AB278:$AF278,Validation!$D$13:$H$13)</f>
        <v>1.84722222222175</v>
      </c>
      <c r="AO278" s="18" t="n">
        <f aca="false">SUMPRODUCT($AB278:$AF278,Validation!$D$14:$H$14)</f>
        <v>2.06777777777825</v>
      </c>
      <c r="AP278" s="18" t="n">
        <f aca="false">SUMPRODUCT($AB278:$AF278,Validation!$D$15:$H$15)</f>
        <v>2.0054411764705</v>
      </c>
      <c r="AQ278" s="18" t="n">
        <f aca="false">SUMPRODUCT($AB278:$AF278,Validation!$D$16:$H$16)</f>
        <v>1.9095588235295</v>
      </c>
      <c r="AR278" s="8" t="n">
        <f aca="false">COUNTIF($C278:$V278,"&gt;=4")</f>
        <v>2</v>
      </c>
      <c r="AS278" s="8" t="str">
        <f aca="false">IF($X278&lt;=1.6,"Low",IF($X278&lt;=2.2,"Medium","High"))</f>
        <v>Medium</v>
      </c>
      <c r="AT278" s="8" t="str">
        <f aca="false">IF($AR278=0,"Low",IF($AR278&lt;3,"Medium","High"))</f>
        <v>Medium</v>
      </c>
      <c r="AU278" s="8" t="str">
        <f aca="false">IF(OR($AS278="High",$AT278="High"),"High",IF(OR($AS278="Medium",$AT278="Medium"),"Medium","Low"))</f>
        <v>Medium</v>
      </c>
      <c r="AV278" s="15" t="str">
        <f aca="false">IF($Z278="Yes","High",$AU278)</f>
        <v>Medium</v>
      </c>
    </row>
    <row r="279" customFormat="false" ht="15" hidden="false" customHeight="false" outlineLevel="0" collapsed="false">
      <c r="A279" s="7" t="str">
        <f aca="false">Customers!$A279</f>
        <v>NG-10122</v>
      </c>
      <c r="B279" s="7" t="str">
        <f aca="false">Customers!$B279</f>
        <v>Personal</v>
      </c>
      <c r="C279" s="8" t="n">
        <f aca="false">INDEX(Mapping!$C$2:$C$99,MATCH(C$1&amp;"|"&amp;Customers!C279,Mapping!$D$2:$D$99,0))</f>
        <v>1</v>
      </c>
      <c r="D279" s="8" t="n">
        <f aca="false">INDEX(Mapping!$C$2:$C$99,MATCH(D$1&amp;"|"&amp;Customers!D279,Mapping!$D$2:$D$99,0))</f>
        <v>1</v>
      </c>
      <c r="E279" s="8" t="n">
        <f aca="false">INDEX(Mapping!$C$2:$C$99,MATCH(E$1&amp;"|"&amp;Customers!E279,Mapping!$D$2:$D$99,0))</f>
        <v>3</v>
      </c>
      <c r="F279" s="8" t="n">
        <f aca="false">INDEX(Mapping!$C$2:$C$99,MATCH(F$1&amp;"|"&amp;Customers!F279,Mapping!$D$2:$D$99,0))</f>
        <v>1</v>
      </c>
      <c r="G279" s="8" t="n">
        <f aca="false">INDEX(Mapping!$C$2:$C$99,MATCH(G$1&amp;"|"&amp;Customers!G279,Mapping!$D$2:$D$99,0))</f>
        <v>1</v>
      </c>
      <c r="H279" s="8" t="n">
        <f aca="false">INDEX(Mapping!$C$2:$C$99,MATCH(H$1&amp;"|"&amp;Customers!H279,Mapping!$D$2:$D$99,0))</f>
        <v>1</v>
      </c>
      <c r="I279" s="8" t="n">
        <f aca="false">INDEX(Mapping!$C$2:$C$99,MATCH(I$1&amp;"|"&amp;Customers!I279,Mapping!$D$2:$D$99,0))</f>
        <v>1</v>
      </c>
      <c r="J279" s="8" t="n">
        <f aca="false">INDEX(Mapping!$C$2:$C$99,MATCH(J$1&amp;"|"&amp;Customers!J279,Mapping!$D$2:$D$99,0))</f>
        <v>2</v>
      </c>
      <c r="K279" s="8" t="n">
        <f aca="false">INDEX(Mapping!$C$2:$C$99,MATCH(K$1&amp;"|"&amp;Customers!K279,Mapping!$D$2:$D$99,0))</f>
        <v>1</v>
      </c>
      <c r="L279" s="8" t="n">
        <f aca="false">INDEX(Mapping!$C$2:$C$99,MATCH(L$1&amp;"|"&amp;Customers!L279,Mapping!$D$2:$D$99,0))</f>
        <v>2</v>
      </c>
      <c r="M279" s="8" t="n">
        <f aca="false">INDEX(Mapping!$C$2:$C$99,MATCH(M$1&amp;"|"&amp;Customers!M279,Mapping!$D$2:$D$99,0))</f>
        <v>2</v>
      </c>
      <c r="N279" s="8" t="n">
        <f aca="false">INDEX(Mapping!$C$2:$C$99,MATCH(N$1&amp;"|"&amp;Customers!N279,Mapping!$D$2:$D$99,0))</f>
        <v>1</v>
      </c>
      <c r="O279" s="8" t="n">
        <f aca="false">INDEX(Mapping!$C$2:$C$99,MATCH(O$1&amp;"|"&amp;Customers!O279,Mapping!$D$2:$D$99,0))</f>
        <v>3</v>
      </c>
      <c r="P279" s="8" t="n">
        <f aca="false">INDEX(Mapping!$C$2:$C$99,MATCH(P$1&amp;"|"&amp;Customers!P279,Mapping!$D$2:$D$99,0))</f>
        <v>3</v>
      </c>
      <c r="Q279" s="8" t="n">
        <f aca="false">INDEX(Mapping!$C$2:$C$99,MATCH(Q$1&amp;"|"&amp;Customers!Q279,Mapping!$D$2:$D$99,0))</f>
        <v>3</v>
      </c>
      <c r="R279" s="8" t="n">
        <f aca="false">INDEX(Mapping!$C$2:$C$99,MATCH(R$1&amp;"|"&amp;Customers!R279,Mapping!$D$2:$D$99,0))</f>
        <v>5</v>
      </c>
      <c r="S279" s="8" t="n">
        <f aca="false">INDEX(Mapping!$C$2:$C$99,MATCH(S$1&amp;"|"&amp;Customers!S279,Mapping!$D$2:$D$99,0))</f>
        <v>3</v>
      </c>
      <c r="T279" s="8" t="n">
        <f aca="false">INDEX(Mapping!$C$2:$C$99,MATCH(T$1&amp;"|"&amp;Customers!T279,Mapping!$D$2:$D$99,0))</f>
        <v>1</v>
      </c>
      <c r="U279" s="8" t="n">
        <f aca="false">INDEX(Mapping!$C$2:$C$99,MATCH(U$1&amp;"|"&amp;Customers!U279,Mapping!$D$2:$D$99,0))</f>
        <v>1</v>
      </c>
      <c r="V279" s="8" t="n">
        <f aca="false">INDEX(Mapping!$C$2:$C$99,MATCH(V$1&amp;"|"&amp;Customers!V279,Mapping!$D$2:$D$99,0))</f>
        <v>1</v>
      </c>
      <c r="W279" s="17" t="n">
        <f aca="false">SUMPRODUCT($C279:$V279,Weights!$C$27:$V$27)</f>
        <v>1.79</v>
      </c>
      <c r="X279" s="18" t="n">
        <f aca="false">ROUND($W279,2)</f>
        <v>1.79</v>
      </c>
      <c r="Y279" s="8" t="str">
        <f aca="false">IF($X279&lt;=2,"Low",IF($X279&lt;=3.49,"Medium","High"))</f>
        <v>Low</v>
      </c>
      <c r="Z279" s="8" t="str">
        <f aca="false">IF(OR($F279&gt;=3,$E279=5,$D279=5,$C279=5,$G279=5,$H279=5,$I279=5,$J279=5,Customers!$W279="Yes"),"Yes","No")</f>
        <v>No</v>
      </c>
      <c r="AA279" s="15" t="str">
        <f aca="false">IF($Z279="Yes","High",$Y279)</f>
        <v>Low</v>
      </c>
      <c r="AB279" s="18" t="n">
        <f aca="false">SUMPRODUCT($C279:$G279,Weights!$C$28:$G$28)</f>
        <v>1.5</v>
      </c>
      <c r="AC279" s="18" t="n">
        <f aca="false">SUMPRODUCT($H279:$J279,Weights!$H$28:$J$28)</f>
        <v>1.4</v>
      </c>
      <c r="AD279" s="18" t="n">
        <f aca="false">SUMPRODUCT($K279:$N279,Weights!$K$28:$N$28)</f>
        <v>1.5</v>
      </c>
      <c r="AE279" s="18" t="n">
        <f aca="false">SUMPRODUCT($O279:$Q279,Weights!$O$28:$Q$28)</f>
        <v>3</v>
      </c>
      <c r="AF279" s="18" t="n">
        <f aca="false">SUMPRODUCT($R279:$V279,Weights!$R$28:$V$28)</f>
        <v>2.6</v>
      </c>
      <c r="AH279" s="18" t="n">
        <f aca="false">SUMPRODUCT($AB279:$AF279,Validation!$D$7:$H$7)</f>
        <v>1.8314285714295</v>
      </c>
      <c r="AI279" s="18" t="n">
        <f aca="false">SUMPRODUCT($AB279:$AF279,Validation!$D$8:$H$8)</f>
        <v>1.7485714285705</v>
      </c>
      <c r="AJ279" s="18" t="n">
        <f aca="false">SUMPRODUCT($AB279:$AF279,Validation!$D$9:$H$9)</f>
        <v>1.8419999999995</v>
      </c>
      <c r="AK279" s="18" t="n">
        <f aca="false">SUMPRODUCT($AB279:$AF279,Validation!$D$10:$H$10)</f>
        <v>1.7380000000005</v>
      </c>
      <c r="AL279" s="18" t="n">
        <f aca="false">SUMPRODUCT($AB279:$AF279,Validation!$D$11:$H$11)</f>
        <v>1.82625</v>
      </c>
      <c r="AM279" s="18" t="n">
        <f aca="false">SUMPRODUCT($AB279:$AF279,Validation!$D$12:$H$12)</f>
        <v>1.75375</v>
      </c>
      <c r="AN279" s="18" t="n">
        <f aca="false">SUMPRODUCT($AB279:$AF279,Validation!$D$13:$H$13)</f>
        <v>1.6555555555559</v>
      </c>
      <c r="AO279" s="18" t="n">
        <f aca="false">SUMPRODUCT($AB279:$AF279,Validation!$D$14:$H$14)</f>
        <v>1.9244444444441</v>
      </c>
      <c r="AP279" s="18" t="n">
        <f aca="false">SUMPRODUCT($AB279:$AF279,Validation!$D$15:$H$15)</f>
        <v>1.6947058823524</v>
      </c>
      <c r="AQ279" s="18" t="n">
        <f aca="false">SUMPRODUCT($AB279:$AF279,Validation!$D$16:$H$16)</f>
        <v>1.8852941176476</v>
      </c>
      <c r="AR279" s="8" t="n">
        <f aca="false">COUNTIF($C279:$V279,"&gt;=4")</f>
        <v>1</v>
      </c>
      <c r="AS279" s="8" t="str">
        <f aca="false">IF($X279&lt;=1.6,"Low",IF($X279&lt;=2.2,"Medium","High"))</f>
        <v>Medium</v>
      </c>
      <c r="AT279" s="8" t="str">
        <f aca="false">IF($AR279=0,"Low",IF($AR279&lt;3,"Medium","High"))</f>
        <v>Medium</v>
      </c>
      <c r="AU279" s="8" t="str">
        <f aca="false">IF(OR($AS279="High",$AT279="High"),"High",IF(OR($AS279="Medium",$AT279="Medium"),"Medium","Low"))</f>
        <v>Medium</v>
      </c>
      <c r="AV279" s="15" t="str">
        <f aca="false">IF($Z279="Yes","High",$AU279)</f>
        <v>Medium</v>
      </c>
    </row>
    <row r="280" customFormat="false" ht="15" hidden="false" customHeight="false" outlineLevel="0" collapsed="false">
      <c r="A280" s="7" t="str">
        <f aca="false">Customers!$A280</f>
        <v>NG-10299</v>
      </c>
      <c r="B280" s="7" t="str">
        <f aca="false">Customers!$B280</f>
        <v>Personal</v>
      </c>
      <c r="C280" s="8" t="n">
        <f aca="false">INDEX(Mapping!$C$2:$C$99,MATCH(C$1&amp;"|"&amp;Customers!C280,Mapping!$D$2:$D$99,0))</f>
        <v>1</v>
      </c>
      <c r="D280" s="8" t="n">
        <f aca="false">INDEX(Mapping!$C$2:$C$99,MATCH(D$1&amp;"|"&amp;Customers!D280,Mapping!$D$2:$D$99,0))</f>
        <v>1</v>
      </c>
      <c r="E280" s="8" t="n">
        <f aca="false">INDEX(Mapping!$C$2:$C$99,MATCH(E$1&amp;"|"&amp;Customers!E280,Mapping!$D$2:$D$99,0))</f>
        <v>2</v>
      </c>
      <c r="F280" s="8" t="n">
        <f aca="false">INDEX(Mapping!$C$2:$C$99,MATCH(F$1&amp;"|"&amp;Customers!F280,Mapping!$D$2:$D$99,0))</f>
        <v>1</v>
      </c>
      <c r="G280" s="8" t="n">
        <f aca="false">INDEX(Mapping!$C$2:$C$99,MATCH(G$1&amp;"|"&amp;Customers!G280,Mapping!$D$2:$D$99,0))</f>
        <v>1</v>
      </c>
      <c r="H280" s="8" t="n">
        <f aca="false">INDEX(Mapping!$C$2:$C$99,MATCH(H$1&amp;"|"&amp;Customers!H280,Mapping!$D$2:$D$99,0))</f>
        <v>1</v>
      </c>
      <c r="I280" s="8" t="n">
        <f aca="false">INDEX(Mapping!$C$2:$C$99,MATCH(I$1&amp;"|"&amp;Customers!I280,Mapping!$D$2:$D$99,0))</f>
        <v>1</v>
      </c>
      <c r="J280" s="8" t="n">
        <f aca="false">INDEX(Mapping!$C$2:$C$99,MATCH(J$1&amp;"|"&amp;Customers!J280,Mapping!$D$2:$D$99,0))</f>
        <v>1</v>
      </c>
      <c r="K280" s="8" t="n">
        <f aca="false">INDEX(Mapping!$C$2:$C$99,MATCH(K$1&amp;"|"&amp;Customers!K280,Mapping!$D$2:$D$99,0))</f>
        <v>2</v>
      </c>
      <c r="L280" s="8" t="n">
        <f aca="false">INDEX(Mapping!$C$2:$C$99,MATCH(L$1&amp;"|"&amp;Customers!L280,Mapping!$D$2:$D$99,0))</f>
        <v>3</v>
      </c>
      <c r="M280" s="8" t="n">
        <f aca="false">INDEX(Mapping!$C$2:$C$99,MATCH(M$1&amp;"|"&amp;Customers!M280,Mapping!$D$2:$D$99,0))</f>
        <v>2</v>
      </c>
      <c r="N280" s="8" t="n">
        <f aca="false">INDEX(Mapping!$C$2:$C$99,MATCH(N$1&amp;"|"&amp;Customers!N280,Mapping!$D$2:$D$99,0))</f>
        <v>3</v>
      </c>
      <c r="O280" s="8" t="n">
        <f aca="false">INDEX(Mapping!$C$2:$C$99,MATCH(O$1&amp;"|"&amp;Customers!O280,Mapping!$D$2:$D$99,0))</f>
        <v>3</v>
      </c>
      <c r="P280" s="8" t="n">
        <f aca="false">INDEX(Mapping!$C$2:$C$99,MATCH(P$1&amp;"|"&amp;Customers!P280,Mapping!$D$2:$D$99,0))</f>
        <v>3</v>
      </c>
      <c r="Q280" s="8" t="n">
        <f aca="false">INDEX(Mapping!$C$2:$C$99,MATCH(Q$1&amp;"|"&amp;Customers!Q280,Mapping!$D$2:$D$99,0))</f>
        <v>1</v>
      </c>
      <c r="R280" s="8" t="n">
        <f aca="false">INDEX(Mapping!$C$2:$C$99,MATCH(R$1&amp;"|"&amp;Customers!R280,Mapping!$D$2:$D$99,0))</f>
        <v>1</v>
      </c>
      <c r="S280" s="8" t="n">
        <f aca="false">INDEX(Mapping!$C$2:$C$99,MATCH(S$1&amp;"|"&amp;Customers!S280,Mapping!$D$2:$D$99,0))</f>
        <v>1</v>
      </c>
      <c r="T280" s="8" t="n">
        <f aca="false">INDEX(Mapping!$C$2:$C$99,MATCH(T$1&amp;"|"&amp;Customers!T280,Mapping!$D$2:$D$99,0))</f>
        <v>1</v>
      </c>
      <c r="U280" s="8" t="n">
        <f aca="false">INDEX(Mapping!$C$2:$C$99,MATCH(U$1&amp;"|"&amp;Customers!U280,Mapping!$D$2:$D$99,0))</f>
        <v>1</v>
      </c>
      <c r="V280" s="8" t="n">
        <f aca="false">INDEX(Mapping!$C$2:$C$99,MATCH(V$1&amp;"|"&amp;Customers!V280,Mapping!$D$2:$D$99,0))</f>
        <v>1</v>
      </c>
      <c r="W280" s="17" t="n">
        <f aca="false">SUMPRODUCT($C280:$V280,Weights!$C$27:$V$27)</f>
        <v>1.515</v>
      </c>
      <c r="X280" s="18" t="n">
        <f aca="false">ROUND($W280,2)</f>
        <v>1.52</v>
      </c>
      <c r="Y280" s="8" t="str">
        <f aca="false">IF($X280&lt;=2,"Low",IF($X280&lt;=3.49,"Medium","High"))</f>
        <v>Low</v>
      </c>
      <c r="Z280" s="8" t="str">
        <f aca="false">IF(OR($F280&gt;=3,$E280=5,$D280=5,$C280=5,$G280=5,$H280=5,$I280=5,$J280=5,Customers!$W280="Yes"),"Yes","No")</f>
        <v>No</v>
      </c>
      <c r="AA280" s="15" t="str">
        <f aca="false">IF($Z280="Yes","High",$Y280)</f>
        <v>Low</v>
      </c>
      <c r="AB280" s="18" t="n">
        <f aca="false">SUMPRODUCT($C280:$G280,Weights!$C$28:$G$28)</f>
        <v>1.25</v>
      </c>
      <c r="AC280" s="18" t="n">
        <f aca="false">SUMPRODUCT($H280:$J280,Weights!$H$28:$J$28)</f>
        <v>1</v>
      </c>
      <c r="AD280" s="18" t="n">
        <f aca="false">SUMPRODUCT($K280:$N280,Weights!$K$28:$N$28)</f>
        <v>2.4</v>
      </c>
      <c r="AE280" s="18" t="n">
        <f aca="false">SUMPRODUCT($O280:$Q280,Weights!$O$28:$Q$28)</f>
        <v>2.6</v>
      </c>
      <c r="AF280" s="18" t="n">
        <f aca="false">SUMPRODUCT($R280:$V280,Weights!$R$28:$V$28)</f>
        <v>1</v>
      </c>
      <c r="AH280" s="18" t="n">
        <f aca="false">SUMPRODUCT($AB280:$AF280,Validation!$D$7:$H$7)</f>
        <v>1.552857142857</v>
      </c>
      <c r="AI280" s="18" t="n">
        <f aca="false">SUMPRODUCT($AB280:$AF280,Validation!$D$8:$H$8)</f>
        <v>1.477142857143</v>
      </c>
      <c r="AJ280" s="18" t="n">
        <f aca="false">SUMPRODUCT($AB280:$AF280,Validation!$D$9:$H$9)</f>
        <v>1.5836666666666</v>
      </c>
      <c r="AK280" s="18" t="n">
        <f aca="false">SUMPRODUCT($AB280:$AF280,Validation!$D$10:$H$10)</f>
        <v>1.4463333333334</v>
      </c>
      <c r="AL280" s="18" t="n">
        <f aca="false">SUMPRODUCT($AB280:$AF280,Validation!$D$11:$H$11)</f>
        <v>1.404375</v>
      </c>
      <c r="AM280" s="18" t="n">
        <f aca="false">SUMPRODUCT($AB280:$AF280,Validation!$D$12:$H$12)</f>
        <v>1.625625</v>
      </c>
      <c r="AN280" s="18" t="n">
        <f aca="false">SUMPRODUCT($AB280:$AF280,Validation!$D$13:$H$13)</f>
        <v>1.39444444444405</v>
      </c>
      <c r="AO280" s="18" t="n">
        <f aca="false">SUMPRODUCT($AB280:$AF280,Validation!$D$14:$H$14)</f>
        <v>1.63555555555595</v>
      </c>
      <c r="AP280" s="18" t="n">
        <f aca="false">SUMPRODUCT($AB280:$AF280,Validation!$D$15:$H$15)</f>
        <v>1.57558823529395</v>
      </c>
      <c r="AQ280" s="18" t="n">
        <f aca="false">SUMPRODUCT($AB280:$AF280,Validation!$D$16:$H$16)</f>
        <v>1.45441176470605</v>
      </c>
      <c r="AR280" s="8" t="n">
        <f aca="false">COUNTIF($C280:$V280,"&gt;=4")</f>
        <v>0</v>
      </c>
      <c r="AS280" s="8" t="str">
        <f aca="false">IF($X280&lt;=1.6,"Low",IF($X280&lt;=2.2,"Medium","High"))</f>
        <v>Low</v>
      </c>
      <c r="AT280" s="8" t="str">
        <f aca="false">IF($AR280=0,"Low",IF($AR280&lt;3,"Medium","High"))</f>
        <v>Low</v>
      </c>
      <c r="AU280" s="8" t="str">
        <f aca="false">IF(OR($AS280="High",$AT280="High"),"High",IF(OR($AS280="Medium",$AT280="Medium"),"Medium","Low"))</f>
        <v>Low</v>
      </c>
      <c r="AV280" s="15" t="str">
        <f aca="false">IF($Z280="Yes","High",$AU280)</f>
        <v>Low</v>
      </c>
    </row>
    <row r="281" customFormat="false" ht="15" hidden="false" customHeight="false" outlineLevel="0" collapsed="false">
      <c r="A281" s="7" t="str">
        <f aca="false">Customers!$A281</f>
        <v>NG-10117</v>
      </c>
      <c r="B281" s="7" t="str">
        <f aca="false">Customers!$B281</f>
        <v>Personal</v>
      </c>
      <c r="C281" s="8" t="n">
        <f aca="false">INDEX(Mapping!$C$2:$C$99,MATCH(C$1&amp;"|"&amp;Customers!C281,Mapping!$D$2:$D$99,0))</f>
        <v>1</v>
      </c>
      <c r="D281" s="8" t="n">
        <f aca="false">INDEX(Mapping!$C$2:$C$99,MATCH(D$1&amp;"|"&amp;Customers!D281,Mapping!$D$2:$D$99,0))</f>
        <v>1</v>
      </c>
      <c r="E281" s="8" t="n">
        <f aca="false">INDEX(Mapping!$C$2:$C$99,MATCH(E$1&amp;"|"&amp;Customers!E281,Mapping!$D$2:$D$99,0))</f>
        <v>1</v>
      </c>
      <c r="F281" s="8" t="n">
        <f aca="false">INDEX(Mapping!$C$2:$C$99,MATCH(F$1&amp;"|"&amp;Customers!F281,Mapping!$D$2:$D$99,0))</f>
        <v>1</v>
      </c>
      <c r="G281" s="8" t="n">
        <f aca="false">INDEX(Mapping!$C$2:$C$99,MATCH(G$1&amp;"|"&amp;Customers!G281,Mapping!$D$2:$D$99,0))</f>
        <v>1</v>
      </c>
      <c r="H281" s="8" t="n">
        <f aca="false">INDEX(Mapping!$C$2:$C$99,MATCH(H$1&amp;"|"&amp;Customers!H281,Mapping!$D$2:$D$99,0))</f>
        <v>1</v>
      </c>
      <c r="I281" s="8" t="n">
        <f aca="false">INDEX(Mapping!$C$2:$C$99,MATCH(I$1&amp;"|"&amp;Customers!I281,Mapping!$D$2:$D$99,0))</f>
        <v>1</v>
      </c>
      <c r="J281" s="8" t="n">
        <f aca="false">INDEX(Mapping!$C$2:$C$99,MATCH(J$1&amp;"|"&amp;Customers!J281,Mapping!$D$2:$D$99,0))</f>
        <v>1</v>
      </c>
      <c r="K281" s="8" t="n">
        <f aca="false">INDEX(Mapping!$C$2:$C$99,MATCH(K$1&amp;"|"&amp;Customers!K281,Mapping!$D$2:$D$99,0))</f>
        <v>2</v>
      </c>
      <c r="L281" s="8" t="n">
        <f aca="false">INDEX(Mapping!$C$2:$C$99,MATCH(L$1&amp;"|"&amp;Customers!L281,Mapping!$D$2:$D$99,0))</f>
        <v>1</v>
      </c>
      <c r="M281" s="8" t="n">
        <f aca="false">INDEX(Mapping!$C$2:$C$99,MATCH(M$1&amp;"|"&amp;Customers!M281,Mapping!$D$2:$D$99,0))</f>
        <v>1</v>
      </c>
      <c r="N281" s="8" t="n">
        <f aca="false">INDEX(Mapping!$C$2:$C$99,MATCH(N$1&amp;"|"&amp;Customers!N281,Mapping!$D$2:$D$99,0))</f>
        <v>2</v>
      </c>
      <c r="O281" s="8" t="n">
        <f aca="false">INDEX(Mapping!$C$2:$C$99,MATCH(O$1&amp;"|"&amp;Customers!O281,Mapping!$D$2:$D$99,0))</f>
        <v>3</v>
      </c>
      <c r="P281" s="8" t="n">
        <f aca="false">INDEX(Mapping!$C$2:$C$99,MATCH(P$1&amp;"|"&amp;Customers!P281,Mapping!$D$2:$D$99,0))</f>
        <v>1</v>
      </c>
      <c r="Q281" s="8" t="n">
        <f aca="false">INDEX(Mapping!$C$2:$C$99,MATCH(Q$1&amp;"|"&amp;Customers!Q281,Mapping!$D$2:$D$99,0))</f>
        <v>1</v>
      </c>
      <c r="R281" s="8" t="n">
        <f aca="false">INDEX(Mapping!$C$2:$C$99,MATCH(R$1&amp;"|"&amp;Customers!R281,Mapping!$D$2:$D$99,0))</f>
        <v>2</v>
      </c>
      <c r="S281" s="8" t="n">
        <f aca="false">INDEX(Mapping!$C$2:$C$99,MATCH(S$1&amp;"|"&amp;Customers!S281,Mapping!$D$2:$D$99,0))</f>
        <v>3</v>
      </c>
      <c r="T281" s="8" t="n">
        <f aca="false">INDEX(Mapping!$C$2:$C$99,MATCH(T$1&amp;"|"&amp;Customers!T281,Mapping!$D$2:$D$99,0))</f>
        <v>1</v>
      </c>
      <c r="U281" s="8" t="n">
        <f aca="false">INDEX(Mapping!$C$2:$C$99,MATCH(U$1&amp;"|"&amp;Customers!U281,Mapping!$D$2:$D$99,0))</f>
        <v>1</v>
      </c>
      <c r="V281" s="8" t="n">
        <f aca="false">INDEX(Mapping!$C$2:$C$99,MATCH(V$1&amp;"|"&amp;Customers!V281,Mapping!$D$2:$D$99,0))</f>
        <v>1</v>
      </c>
      <c r="W281" s="17" t="n">
        <f aca="false">SUMPRODUCT($C281:$V281,Weights!$C$27:$V$27)</f>
        <v>1.3175</v>
      </c>
      <c r="X281" s="18" t="n">
        <f aca="false">ROUND($W281,2)</f>
        <v>1.32</v>
      </c>
      <c r="Y281" s="8" t="str">
        <f aca="false">IF($X281&lt;=2,"Low",IF($X281&lt;=3.49,"Medium","High"))</f>
        <v>Low</v>
      </c>
      <c r="Z281" s="8" t="str">
        <f aca="false">IF(OR($F281&gt;=3,$E281=5,$D281=5,$C281=5,$G281=5,$H281=5,$I281=5,$J281=5,Customers!$W281="Yes"),"Yes","No")</f>
        <v>No</v>
      </c>
      <c r="AA281" s="15" t="str">
        <f aca="false">IF($Z281="Yes","High",$Y281)</f>
        <v>Low</v>
      </c>
      <c r="AB281" s="18" t="n">
        <f aca="false">SUMPRODUCT($C281:$G281,Weights!$C$28:$G$28)</f>
        <v>1</v>
      </c>
      <c r="AC281" s="18" t="n">
        <f aca="false">SUMPRODUCT($H281:$J281,Weights!$H$28:$J$28)</f>
        <v>1</v>
      </c>
      <c r="AD281" s="18" t="n">
        <f aca="false">SUMPRODUCT($K281:$N281,Weights!$K$28:$N$28)</f>
        <v>1.5</v>
      </c>
      <c r="AE281" s="18" t="n">
        <f aca="false">SUMPRODUCT($O281:$Q281,Weights!$O$28:$Q$28)</f>
        <v>1.9</v>
      </c>
      <c r="AF281" s="18" t="n">
        <f aca="false">SUMPRODUCT($R281:$V281,Weights!$R$28:$V$28)</f>
        <v>1.85</v>
      </c>
      <c r="AH281" s="18" t="n">
        <f aca="false">SUMPRODUCT($AB281:$AF281,Validation!$D$7:$H$7)</f>
        <v>1.36285714285755</v>
      </c>
      <c r="AI281" s="18" t="n">
        <f aca="false">SUMPRODUCT($AB281:$AF281,Validation!$D$8:$H$8)</f>
        <v>1.27214285714245</v>
      </c>
      <c r="AJ281" s="18" t="n">
        <f aca="false">SUMPRODUCT($AB281:$AF281,Validation!$D$9:$H$9)</f>
        <v>1.3598333333332</v>
      </c>
      <c r="AK281" s="18" t="n">
        <f aca="false">SUMPRODUCT($AB281:$AF281,Validation!$D$10:$H$10)</f>
        <v>1.2751666666668</v>
      </c>
      <c r="AL281" s="18" t="n">
        <f aca="false">SUMPRODUCT($AB281:$AF281,Validation!$D$11:$H$11)</f>
        <v>1.2946875</v>
      </c>
      <c r="AM281" s="18" t="n">
        <f aca="false">SUMPRODUCT($AB281:$AF281,Validation!$D$12:$H$12)</f>
        <v>1.3403125</v>
      </c>
      <c r="AN281" s="18" t="n">
        <f aca="false">SUMPRODUCT($AB281:$AF281,Validation!$D$13:$H$13)</f>
        <v>1.25277777777795</v>
      </c>
      <c r="AO281" s="18" t="n">
        <f aca="false">SUMPRODUCT($AB281:$AF281,Validation!$D$14:$H$14)</f>
        <v>1.38222222222205</v>
      </c>
      <c r="AP281" s="18" t="n">
        <f aca="false">SUMPRODUCT($AB281:$AF281,Validation!$D$15:$H$15)</f>
        <v>1.2548529411763</v>
      </c>
      <c r="AQ281" s="18" t="n">
        <f aca="false">SUMPRODUCT($AB281:$AF281,Validation!$D$16:$H$16)</f>
        <v>1.3801470588237</v>
      </c>
      <c r="AR281" s="8" t="n">
        <f aca="false">COUNTIF($C281:$V281,"&gt;=4")</f>
        <v>0</v>
      </c>
      <c r="AS281" s="8" t="str">
        <f aca="false">IF($X281&lt;=1.6,"Low",IF($X281&lt;=2.2,"Medium","High"))</f>
        <v>Low</v>
      </c>
      <c r="AT281" s="8" t="str">
        <f aca="false">IF($AR281=0,"Low",IF($AR281&lt;3,"Medium","High"))</f>
        <v>Low</v>
      </c>
      <c r="AU281" s="8" t="str">
        <f aca="false">IF(OR($AS281="High",$AT281="High"),"High",IF(OR($AS281="Medium",$AT281="Medium"),"Medium","Low"))</f>
        <v>Low</v>
      </c>
      <c r="AV281" s="15" t="str">
        <f aca="false">IF($Z281="Yes","High",$AU281)</f>
        <v>Low</v>
      </c>
    </row>
    <row r="282" customFormat="false" ht="15" hidden="false" customHeight="false" outlineLevel="0" collapsed="false">
      <c r="A282" s="7" t="str">
        <f aca="false">Customers!$A282</f>
        <v>NG-10335</v>
      </c>
      <c r="B282" s="7" t="str">
        <f aca="false">Customers!$B282</f>
        <v>Sole trader</v>
      </c>
      <c r="C282" s="8" t="n">
        <f aca="false">INDEX(Mapping!$C$2:$C$99,MATCH(C$1&amp;"|"&amp;Customers!C282,Mapping!$D$2:$D$99,0))</f>
        <v>2</v>
      </c>
      <c r="D282" s="8" t="n">
        <f aca="false">INDEX(Mapping!$C$2:$C$99,MATCH(D$1&amp;"|"&amp;Customers!D282,Mapping!$D$2:$D$99,0))</f>
        <v>1</v>
      </c>
      <c r="E282" s="8" t="n">
        <f aca="false">INDEX(Mapping!$C$2:$C$99,MATCH(E$1&amp;"|"&amp;Customers!E282,Mapping!$D$2:$D$99,0))</f>
        <v>2</v>
      </c>
      <c r="F282" s="8" t="n">
        <f aca="false">INDEX(Mapping!$C$2:$C$99,MATCH(F$1&amp;"|"&amp;Customers!F282,Mapping!$D$2:$D$99,0))</f>
        <v>1</v>
      </c>
      <c r="G282" s="8" t="n">
        <f aca="false">INDEX(Mapping!$C$2:$C$99,MATCH(G$1&amp;"|"&amp;Customers!G282,Mapping!$D$2:$D$99,0))</f>
        <v>1</v>
      </c>
      <c r="H282" s="8" t="n">
        <f aca="false">INDEX(Mapping!$C$2:$C$99,MATCH(H$1&amp;"|"&amp;Customers!H282,Mapping!$D$2:$D$99,0))</f>
        <v>1</v>
      </c>
      <c r="I282" s="8" t="n">
        <f aca="false">INDEX(Mapping!$C$2:$C$99,MATCH(I$1&amp;"|"&amp;Customers!I282,Mapping!$D$2:$D$99,0))</f>
        <v>1</v>
      </c>
      <c r="J282" s="8" t="n">
        <f aca="false">INDEX(Mapping!$C$2:$C$99,MATCH(J$1&amp;"|"&amp;Customers!J282,Mapping!$D$2:$D$99,0))</f>
        <v>2</v>
      </c>
      <c r="K282" s="8" t="n">
        <f aca="false">INDEX(Mapping!$C$2:$C$99,MATCH(K$1&amp;"|"&amp;Customers!K282,Mapping!$D$2:$D$99,0))</f>
        <v>4</v>
      </c>
      <c r="L282" s="8" t="n">
        <f aca="false">INDEX(Mapping!$C$2:$C$99,MATCH(L$1&amp;"|"&amp;Customers!L282,Mapping!$D$2:$D$99,0))</f>
        <v>5</v>
      </c>
      <c r="M282" s="8" t="n">
        <f aca="false">INDEX(Mapping!$C$2:$C$99,MATCH(M$1&amp;"|"&amp;Customers!M282,Mapping!$D$2:$D$99,0))</f>
        <v>4</v>
      </c>
      <c r="N282" s="8" t="n">
        <f aca="false">INDEX(Mapping!$C$2:$C$99,MATCH(N$1&amp;"|"&amp;Customers!N282,Mapping!$D$2:$D$99,0))</f>
        <v>1</v>
      </c>
      <c r="O282" s="8" t="n">
        <f aca="false">INDEX(Mapping!$C$2:$C$99,MATCH(O$1&amp;"|"&amp;Customers!O282,Mapping!$D$2:$D$99,0))</f>
        <v>4</v>
      </c>
      <c r="P282" s="8" t="n">
        <f aca="false">INDEX(Mapping!$C$2:$C$99,MATCH(P$1&amp;"|"&amp;Customers!P282,Mapping!$D$2:$D$99,0))</f>
        <v>3</v>
      </c>
      <c r="Q282" s="8" t="n">
        <f aca="false">INDEX(Mapping!$C$2:$C$99,MATCH(Q$1&amp;"|"&amp;Customers!Q282,Mapping!$D$2:$D$99,0))</f>
        <v>1</v>
      </c>
      <c r="R282" s="8" t="n">
        <f aca="false">INDEX(Mapping!$C$2:$C$99,MATCH(R$1&amp;"|"&amp;Customers!R282,Mapping!$D$2:$D$99,0))</f>
        <v>3</v>
      </c>
      <c r="S282" s="8" t="n">
        <f aca="false">INDEX(Mapping!$C$2:$C$99,MATCH(S$1&amp;"|"&amp;Customers!S282,Mapping!$D$2:$D$99,0))</f>
        <v>4</v>
      </c>
      <c r="T282" s="8" t="n">
        <f aca="false">INDEX(Mapping!$C$2:$C$99,MATCH(T$1&amp;"|"&amp;Customers!T282,Mapping!$D$2:$D$99,0))</f>
        <v>1</v>
      </c>
      <c r="U282" s="8" t="n">
        <f aca="false">INDEX(Mapping!$C$2:$C$99,MATCH(U$1&amp;"|"&amp;Customers!U282,Mapping!$D$2:$D$99,0))</f>
        <v>1</v>
      </c>
      <c r="V282" s="8" t="n">
        <f aca="false">INDEX(Mapping!$C$2:$C$99,MATCH(V$1&amp;"|"&amp;Customers!V282,Mapping!$D$2:$D$99,0))</f>
        <v>1</v>
      </c>
      <c r="W282" s="17" t="n">
        <f aca="false">SUMPRODUCT($C282:$V282,Weights!$C$27:$V$27)</f>
        <v>2.21</v>
      </c>
      <c r="X282" s="18" t="n">
        <f aca="false">ROUND($W282,2)</f>
        <v>2.21</v>
      </c>
      <c r="Y282" s="8" t="str">
        <f aca="false">IF($X282&lt;=2,"Low",IF($X282&lt;=3.49,"Medium","High"))</f>
        <v>Medium</v>
      </c>
      <c r="Z282" s="8" t="str">
        <f aca="false">IF(OR($F282&gt;=3,$E282=5,$D282=5,$C282=5,$G282=5,$H282=5,$I282=5,$J282=5,Customers!$W282="Yes"),"Yes","No")</f>
        <v>No</v>
      </c>
      <c r="AA282" s="15" t="str">
        <f aca="false">IF($Z282="Yes","High",$Y282)</f>
        <v>Medium</v>
      </c>
      <c r="AB282" s="18" t="n">
        <f aca="false">SUMPRODUCT($C282:$G282,Weights!$C$28:$G$28)</f>
        <v>1.45</v>
      </c>
      <c r="AC282" s="18" t="n">
        <f aca="false">SUMPRODUCT($H282:$J282,Weights!$H$28:$J$28)</f>
        <v>1.4</v>
      </c>
      <c r="AD282" s="18" t="n">
        <f aca="false">SUMPRODUCT($K282:$N282,Weights!$K$28:$N$28)</f>
        <v>3.8</v>
      </c>
      <c r="AE282" s="18" t="n">
        <f aca="false">SUMPRODUCT($O282:$Q282,Weights!$O$28:$Q$28)</f>
        <v>3.05</v>
      </c>
      <c r="AF282" s="18" t="n">
        <f aca="false">SUMPRODUCT($R282:$V282,Weights!$R$28:$V$28)</f>
        <v>2.4</v>
      </c>
      <c r="AH282" s="18" t="n">
        <f aca="false">SUMPRODUCT($AB282:$AF282,Validation!$D$7:$H$7)</f>
        <v>2.3185714285713</v>
      </c>
      <c r="AI282" s="18" t="n">
        <f aca="false">SUMPRODUCT($AB282:$AF282,Validation!$D$8:$H$8)</f>
        <v>2.1014285714287</v>
      </c>
      <c r="AJ282" s="18" t="n">
        <f aca="false">SUMPRODUCT($AB282:$AF282,Validation!$D$9:$H$9)</f>
        <v>2.31800000000025</v>
      </c>
      <c r="AK282" s="18" t="n">
        <f aca="false">SUMPRODUCT($AB282:$AF282,Validation!$D$10:$H$10)</f>
        <v>2.10199999999975</v>
      </c>
      <c r="AL282" s="18" t="n">
        <f aca="false">SUMPRODUCT($AB282:$AF282,Validation!$D$11:$H$11)</f>
        <v>2.01125</v>
      </c>
      <c r="AM282" s="18" t="n">
        <f aca="false">SUMPRODUCT($AB282:$AF282,Validation!$D$12:$H$12)</f>
        <v>2.40875</v>
      </c>
      <c r="AN282" s="18" t="n">
        <f aca="false">SUMPRODUCT($AB282:$AF282,Validation!$D$13:$H$13)</f>
        <v>2.11666666666645</v>
      </c>
      <c r="AO282" s="18" t="n">
        <f aca="false">SUMPRODUCT($AB282:$AF282,Validation!$D$14:$H$14)</f>
        <v>2.30333333333355</v>
      </c>
      <c r="AP282" s="18" t="n">
        <f aca="false">SUMPRODUCT($AB282:$AF282,Validation!$D$15:$H$15)</f>
        <v>2.18764705882365</v>
      </c>
      <c r="AQ282" s="18" t="n">
        <f aca="false">SUMPRODUCT($AB282:$AF282,Validation!$D$16:$H$16)</f>
        <v>2.23235294117635</v>
      </c>
      <c r="AR282" s="8" t="n">
        <f aca="false">COUNTIF($C282:$V282,"&gt;=4")</f>
        <v>5</v>
      </c>
      <c r="AS282" s="8" t="str">
        <f aca="false">IF($X282&lt;=1.6,"Low",IF($X282&lt;=2.2,"Medium","High"))</f>
        <v>High</v>
      </c>
      <c r="AT282" s="8" t="str">
        <f aca="false">IF($AR282=0,"Low",IF($AR282&lt;3,"Medium","High"))</f>
        <v>High</v>
      </c>
      <c r="AU282" s="8" t="str">
        <f aca="false">IF(OR($AS282="High",$AT282="High"),"High",IF(OR($AS282="Medium",$AT282="Medium"),"Medium","Low"))</f>
        <v>High</v>
      </c>
      <c r="AV282" s="15" t="str">
        <f aca="false">IF($Z282="Yes","High",$AU282)</f>
        <v>High</v>
      </c>
    </row>
    <row r="283" customFormat="false" ht="15" hidden="false" customHeight="false" outlineLevel="0" collapsed="false">
      <c r="A283" s="7" t="str">
        <f aca="false">Customers!$A283</f>
        <v>NG-10084</v>
      </c>
      <c r="B283" s="7" t="str">
        <f aca="false">Customers!$B283</f>
        <v>Personal</v>
      </c>
      <c r="C283" s="8" t="n">
        <f aca="false">INDEX(Mapping!$C$2:$C$99,MATCH(C$1&amp;"|"&amp;Customers!C283,Mapping!$D$2:$D$99,0))</f>
        <v>1</v>
      </c>
      <c r="D283" s="8" t="n">
        <f aca="false">INDEX(Mapping!$C$2:$C$99,MATCH(D$1&amp;"|"&amp;Customers!D283,Mapping!$D$2:$D$99,0))</f>
        <v>1</v>
      </c>
      <c r="E283" s="8" t="n">
        <f aca="false">INDEX(Mapping!$C$2:$C$99,MATCH(E$1&amp;"|"&amp;Customers!E283,Mapping!$D$2:$D$99,0))</f>
        <v>3</v>
      </c>
      <c r="F283" s="8" t="n">
        <f aca="false">INDEX(Mapping!$C$2:$C$99,MATCH(F$1&amp;"|"&amp;Customers!F283,Mapping!$D$2:$D$99,0))</f>
        <v>1</v>
      </c>
      <c r="G283" s="8" t="n">
        <f aca="false">INDEX(Mapping!$C$2:$C$99,MATCH(G$1&amp;"|"&amp;Customers!G283,Mapping!$D$2:$D$99,0))</f>
        <v>1</v>
      </c>
      <c r="H283" s="8" t="n">
        <f aca="false">INDEX(Mapping!$C$2:$C$99,MATCH(H$1&amp;"|"&amp;Customers!H283,Mapping!$D$2:$D$99,0))</f>
        <v>1</v>
      </c>
      <c r="I283" s="8" t="n">
        <f aca="false">INDEX(Mapping!$C$2:$C$99,MATCH(I$1&amp;"|"&amp;Customers!I283,Mapping!$D$2:$D$99,0))</f>
        <v>1</v>
      </c>
      <c r="J283" s="8" t="n">
        <f aca="false">INDEX(Mapping!$C$2:$C$99,MATCH(J$1&amp;"|"&amp;Customers!J283,Mapping!$D$2:$D$99,0))</f>
        <v>1</v>
      </c>
      <c r="K283" s="8" t="n">
        <f aca="false">INDEX(Mapping!$C$2:$C$99,MATCH(K$1&amp;"|"&amp;Customers!K283,Mapping!$D$2:$D$99,0))</f>
        <v>2</v>
      </c>
      <c r="L283" s="8" t="n">
        <f aca="false">INDEX(Mapping!$C$2:$C$99,MATCH(L$1&amp;"|"&amp;Customers!L283,Mapping!$D$2:$D$99,0))</f>
        <v>2</v>
      </c>
      <c r="M283" s="8" t="n">
        <f aca="false">INDEX(Mapping!$C$2:$C$99,MATCH(M$1&amp;"|"&amp;Customers!M283,Mapping!$D$2:$D$99,0))</f>
        <v>3</v>
      </c>
      <c r="N283" s="8" t="n">
        <f aca="false">INDEX(Mapping!$C$2:$C$99,MATCH(N$1&amp;"|"&amp;Customers!N283,Mapping!$D$2:$D$99,0))</f>
        <v>1</v>
      </c>
      <c r="O283" s="8" t="n">
        <f aca="false">INDEX(Mapping!$C$2:$C$99,MATCH(O$1&amp;"|"&amp;Customers!O283,Mapping!$D$2:$D$99,0))</f>
        <v>3</v>
      </c>
      <c r="P283" s="8" t="n">
        <f aca="false">INDEX(Mapping!$C$2:$C$99,MATCH(P$1&amp;"|"&amp;Customers!P283,Mapping!$D$2:$D$99,0))</f>
        <v>1</v>
      </c>
      <c r="Q283" s="8" t="n">
        <f aca="false">INDEX(Mapping!$C$2:$C$99,MATCH(Q$1&amp;"|"&amp;Customers!Q283,Mapping!$D$2:$D$99,0))</f>
        <v>1</v>
      </c>
      <c r="R283" s="8" t="n">
        <f aca="false">INDEX(Mapping!$C$2:$C$99,MATCH(R$1&amp;"|"&amp;Customers!R283,Mapping!$D$2:$D$99,0))</f>
        <v>2</v>
      </c>
      <c r="S283" s="8" t="n">
        <f aca="false">INDEX(Mapping!$C$2:$C$99,MATCH(S$1&amp;"|"&amp;Customers!S283,Mapping!$D$2:$D$99,0))</f>
        <v>3</v>
      </c>
      <c r="T283" s="8" t="n">
        <f aca="false">INDEX(Mapping!$C$2:$C$99,MATCH(T$1&amp;"|"&amp;Customers!T283,Mapping!$D$2:$D$99,0))</f>
        <v>1</v>
      </c>
      <c r="U283" s="8" t="n">
        <f aca="false">INDEX(Mapping!$C$2:$C$99,MATCH(U$1&amp;"|"&amp;Customers!U283,Mapping!$D$2:$D$99,0))</f>
        <v>1</v>
      </c>
      <c r="V283" s="8" t="n">
        <f aca="false">INDEX(Mapping!$C$2:$C$99,MATCH(V$1&amp;"|"&amp;Customers!V283,Mapping!$D$2:$D$99,0))</f>
        <v>1</v>
      </c>
      <c r="W283" s="17" t="n">
        <f aca="false">SUMPRODUCT($C283:$V283,Weights!$C$27:$V$27)</f>
        <v>1.5875</v>
      </c>
      <c r="X283" s="18" t="n">
        <f aca="false">ROUND($W283,2)</f>
        <v>1.59</v>
      </c>
      <c r="Y283" s="8" t="str">
        <f aca="false">IF($X283&lt;=2,"Low",IF($X283&lt;=3.49,"Medium","High"))</f>
        <v>Low</v>
      </c>
      <c r="Z283" s="8" t="str">
        <f aca="false">IF(OR($F283&gt;=3,$E283=5,$D283=5,$C283=5,$G283=5,$H283=5,$I283=5,$J283=5,Customers!$W283="Yes"),"Yes","No")</f>
        <v>No</v>
      </c>
      <c r="AA283" s="15" t="str">
        <f aca="false">IF($Z283="Yes","High",$Y283)</f>
        <v>Low</v>
      </c>
      <c r="AB283" s="18" t="n">
        <f aca="false">SUMPRODUCT($C283:$G283,Weights!$C$28:$G$28)</f>
        <v>1.5</v>
      </c>
      <c r="AC283" s="18" t="n">
        <f aca="false">SUMPRODUCT($H283:$J283,Weights!$H$28:$J$28)</f>
        <v>1</v>
      </c>
      <c r="AD283" s="18" t="n">
        <f aca="false">SUMPRODUCT($K283:$N283,Weights!$K$28:$N$28)</f>
        <v>2.1</v>
      </c>
      <c r="AE283" s="18" t="n">
        <f aca="false">SUMPRODUCT($O283:$Q283,Weights!$O$28:$Q$28)</f>
        <v>1.9</v>
      </c>
      <c r="AF283" s="18" t="n">
        <f aca="false">SUMPRODUCT($R283:$V283,Weights!$R$28:$V$28)</f>
        <v>1.85</v>
      </c>
      <c r="AH283" s="18" t="n">
        <f aca="false">SUMPRODUCT($AB283:$AF283,Validation!$D$7:$H$7)</f>
        <v>1.60000000000015</v>
      </c>
      <c r="AI283" s="18" t="n">
        <f aca="false">SUMPRODUCT($AB283:$AF283,Validation!$D$8:$H$8)</f>
        <v>1.57499999999985</v>
      </c>
      <c r="AJ283" s="18" t="n">
        <f aca="false">SUMPRODUCT($AB283:$AF283,Validation!$D$9:$H$9)</f>
        <v>1.6658333333334</v>
      </c>
      <c r="AK283" s="18" t="n">
        <f aca="false">SUMPRODUCT($AB283:$AF283,Validation!$D$10:$H$10)</f>
        <v>1.5091666666666</v>
      </c>
      <c r="AL283" s="18" t="n">
        <f aca="false">SUMPRODUCT($AB283:$AF283,Validation!$D$11:$H$11)</f>
        <v>1.5234375</v>
      </c>
      <c r="AM283" s="18" t="n">
        <f aca="false">SUMPRODUCT($AB283:$AF283,Validation!$D$12:$H$12)</f>
        <v>1.6515625</v>
      </c>
      <c r="AN283" s="18" t="n">
        <f aca="false">SUMPRODUCT($AB283:$AF283,Validation!$D$13:$H$13)</f>
        <v>1.55277777777765</v>
      </c>
      <c r="AO283" s="18" t="n">
        <f aca="false">SUMPRODUCT($AB283:$AF283,Validation!$D$14:$H$14)</f>
        <v>1.62222222222235</v>
      </c>
      <c r="AP283" s="18" t="n">
        <f aca="false">SUMPRODUCT($AB283:$AF283,Validation!$D$15:$H$15)</f>
        <v>1.5566176470588</v>
      </c>
      <c r="AQ283" s="18" t="n">
        <f aca="false">SUMPRODUCT($AB283:$AF283,Validation!$D$16:$H$16)</f>
        <v>1.6183823529412</v>
      </c>
      <c r="AR283" s="8" t="n">
        <f aca="false">COUNTIF($C283:$V283,"&gt;=4")</f>
        <v>0</v>
      </c>
      <c r="AS283" s="8" t="str">
        <f aca="false">IF($X283&lt;=1.6,"Low",IF($X283&lt;=2.2,"Medium","High"))</f>
        <v>Low</v>
      </c>
      <c r="AT283" s="8" t="str">
        <f aca="false">IF($AR283=0,"Low",IF($AR283&lt;3,"Medium","High"))</f>
        <v>Low</v>
      </c>
      <c r="AU283" s="8" t="str">
        <f aca="false">IF(OR($AS283="High",$AT283="High"),"High",IF(OR($AS283="Medium",$AT283="Medium"),"Medium","Low"))</f>
        <v>Low</v>
      </c>
      <c r="AV283" s="15" t="str">
        <f aca="false">IF($Z283="Yes","High",$AU283)</f>
        <v>Low</v>
      </c>
    </row>
    <row r="284" customFormat="false" ht="15" hidden="false" customHeight="false" outlineLevel="0" collapsed="false">
      <c r="A284" s="7" t="str">
        <f aca="false">Customers!$A284</f>
        <v>NG-10102</v>
      </c>
      <c r="B284" s="7" t="str">
        <f aca="false">Customers!$B284</f>
        <v>Personal</v>
      </c>
      <c r="C284" s="8" t="n">
        <f aca="false">INDEX(Mapping!$C$2:$C$99,MATCH(C$1&amp;"|"&amp;Customers!C284,Mapping!$D$2:$D$99,0))</f>
        <v>1</v>
      </c>
      <c r="D284" s="8" t="n">
        <f aca="false">INDEX(Mapping!$C$2:$C$99,MATCH(D$1&amp;"|"&amp;Customers!D284,Mapping!$D$2:$D$99,0))</f>
        <v>1</v>
      </c>
      <c r="E284" s="8" t="n">
        <f aca="false">INDEX(Mapping!$C$2:$C$99,MATCH(E$1&amp;"|"&amp;Customers!E284,Mapping!$D$2:$D$99,0))</f>
        <v>1</v>
      </c>
      <c r="F284" s="8" t="n">
        <f aca="false">INDEX(Mapping!$C$2:$C$99,MATCH(F$1&amp;"|"&amp;Customers!F284,Mapping!$D$2:$D$99,0))</f>
        <v>1</v>
      </c>
      <c r="G284" s="8" t="n">
        <f aca="false">INDEX(Mapping!$C$2:$C$99,MATCH(G$1&amp;"|"&amp;Customers!G284,Mapping!$D$2:$D$99,0))</f>
        <v>1</v>
      </c>
      <c r="H284" s="8" t="n">
        <f aca="false">INDEX(Mapping!$C$2:$C$99,MATCH(H$1&amp;"|"&amp;Customers!H284,Mapping!$D$2:$D$99,0))</f>
        <v>1</v>
      </c>
      <c r="I284" s="8" t="n">
        <f aca="false">INDEX(Mapping!$C$2:$C$99,MATCH(I$1&amp;"|"&amp;Customers!I284,Mapping!$D$2:$D$99,0))</f>
        <v>1</v>
      </c>
      <c r="J284" s="8" t="n">
        <f aca="false">INDEX(Mapping!$C$2:$C$99,MATCH(J$1&amp;"|"&amp;Customers!J284,Mapping!$D$2:$D$99,0))</f>
        <v>1</v>
      </c>
      <c r="K284" s="8" t="n">
        <f aca="false">INDEX(Mapping!$C$2:$C$99,MATCH(K$1&amp;"|"&amp;Customers!K284,Mapping!$D$2:$D$99,0))</f>
        <v>2</v>
      </c>
      <c r="L284" s="8" t="n">
        <f aca="false">INDEX(Mapping!$C$2:$C$99,MATCH(L$1&amp;"|"&amp;Customers!L284,Mapping!$D$2:$D$99,0))</f>
        <v>3</v>
      </c>
      <c r="M284" s="8" t="n">
        <f aca="false">INDEX(Mapping!$C$2:$C$99,MATCH(M$1&amp;"|"&amp;Customers!M284,Mapping!$D$2:$D$99,0))</f>
        <v>2</v>
      </c>
      <c r="N284" s="8" t="n">
        <f aca="false">INDEX(Mapping!$C$2:$C$99,MATCH(N$1&amp;"|"&amp;Customers!N284,Mapping!$D$2:$D$99,0))</f>
        <v>1</v>
      </c>
      <c r="O284" s="8" t="n">
        <f aca="false">INDEX(Mapping!$C$2:$C$99,MATCH(O$1&amp;"|"&amp;Customers!O284,Mapping!$D$2:$D$99,0))</f>
        <v>5</v>
      </c>
      <c r="P284" s="8" t="n">
        <f aca="false">INDEX(Mapping!$C$2:$C$99,MATCH(P$1&amp;"|"&amp;Customers!P284,Mapping!$D$2:$D$99,0))</f>
        <v>3</v>
      </c>
      <c r="Q284" s="8" t="n">
        <f aca="false">INDEX(Mapping!$C$2:$C$99,MATCH(Q$1&amp;"|"&amp;Customers!Q284,Mapping!$D$2:$D$99,0))</f>
        <v>1</v>
      </c>
      <c r="R284" s="8" t="n">
        <f aca="false">INDEX(Mapping!$C$2:$C$99,MATCH(R$1&amp;"|"&amp;Customers!R284,Mapping!$D$2:$D$99,0))</f>
        <v>1</v>
      </c>
      <c r="S284" s="8" t="n">
        <f aca="false">INDEX(Mapping!$C$2:$C$99,MATCH(S$1&amp;"|"&amp;Customers!S284,Mapping!$D$2:$D$99,0))</f>
        <v>2</v>
      </c>
      <c r="T284" s="8" t="n">
        <f aca="false">INDEX(Mapping!$C$2:$C$99,MATCH(T$1&amp;"|"&amp;Customers!T284,Mapping!$D$2:$D$99,0))</f>
        <v>1</v>
      </c>
      <c r="U284" s="8" t="n">
        <f aca="false">INDEX(Mapping!$C$2:$C$99,MATCH(U$1&amp;"|"&amp;Customers!U284,Mapping!$D$2:$D$99,0))</f>
        <v>2</v>
      </c>
      <c r="V284" s="8" t="n">
        <f aca="false">INDEX(Mapping!$C$2:$C$99,MATCH(V$1&amp;"|"&amp;Customers!V284,Mapping!$D$2:$D$99,0))</f>
        <v>1</v>
      </c>
      <c r="W284" s="17" t="n">
        <f aca="false">SUMPRODUCT($C284:$V284,Weights!$C$27:$V$27)</f>
        <v>1.5375</v>
      </c>
      <c r="X284" s="18" t="n">
        <f aca="false">ROUND($W284,2)</f>
        <v>1.54</v>
      </c>
      <c r="Y284" s="8" t="str">
        <f aca="false">IF($X284&lt;=2,"Low",IF($X284&lt;=3.49,"Medium","High"))</f>
        <v>Low</v>
      </c>
      <c r="Z284" s="8" t="str">
        <f aca="false">IF(OR($F284&gt;=3,$E284=5,$D284=5,$C284=5,$G284=5,$H284=5,$I284=5,$J284=5,Customers!$W284="Yes"),"Yes","No")</f>
        <v>No</v>
      </c>
      <c r="AA284" s="15" t="str">
        <f aca="false">IF($Z284="Yes","High",$Y284)</f>
        <v>Low</v>
      </c>
      <c r="AB284" s="18" t="n">
        <f aca="false">SUMPRODUCT($C284:$G284,Weights!$C$28:$G$28)</f>
        <v>1</v>
      </c>
      <c r="AC284" s="18" t="n">
        <f aca="false">SUMPRODUCT($H284:$J284,Weights!$H$28:$J$28)</f>
        <v>1</v>
      </c>
      <c r="AD284" s="18" t="n">
        <f aca="false">SUMPRODUCT($K284:$N284,Weights!$K$28:$N$28)</f>
        <v>2.1</v>
      </c>
      <c r="AE284" s="18" t="n">
        <f aca="false">SUMPRODUCT($O284:$Q284,Weights!$O$28:$Q$28)</f>
        <v>3.5</v>
      </c>
      <c r="AF284" s="18" t="n">
        <f aca="false">SUMPRODUCT($R284:$V284,Weights!$R$28:$V$28)</f>
        <v>1.45</v>
      </c>
      <c r="AH284" s="18" t="n">
        <f aca="false">SUMPRODUCT($AB284:$AF284,Validation!$D$7:$H$7)</f>
        <v>1.61428571428615</v>
      </c>
      <c r="AI284" s="18" t="n">
        <f aca="false">SUMPRODUCT($AB284:$AF284,Validation!$D$8:$H$8)</f>
        <v>1.46071428571385</v>
      </c>
      <c r="AJ284" s="18" t="n">
        <f aca="false">SUMPRODUCT($AB284:$AF284,Validation!$D$9:$H$9)</f>
        <v>1.6091666666662</v>
      </c>
      <c r="AK284" s="18" t="n">
        <f aca="false">SUMPRODUCT($AB284:$AF284,Validation!$D$10:$H$10)</f>
        <v>1.4658333333338</v>
      </c>
      <c r="AL284" s="18" t="n">
        <f aca="false">SUMPRODUCT($AB284:$AF284,Validation!$D$11:$H$11)</f>
        <v>1.4671875</v>
      </c>
      <c r="AM284" s="18" t="n">
        <f aca="false">SUMPRODUCT($AB284:$AF284,Validation!$D$12:$H$12)</f>
        <v>1.6078125</v>
      </c>
      <c r="AN284" s="18" t="n">
        <f aca="false">SUMPRODUCT($AB284:$AF284,Validation!$D$13:$H$13)</f>
        <v>1.31944444444435</v>
      </c>
      <c r="AO284" s="18" t="n">
        <f aca="false">SUMPRODUCT($AB284:$AF284,Validation!$D$14:$H$14)</f>
        <v>1.75555555555565</v>
      </c>
      <c r="AP284" s="18" t="n">
        <f aca="false">SUMPRODUCT($AB284:$AF284,Validation!$D$15:$H$15)</f>
        <v>1.5477941176465</v>
      </c>
      <c r="AQ284" s="18" t="n">
        <f aca="false">SUMPRODUCT($AB284:$AF284,Validation!$D$16:$H$16)</f>
        <v>1.5272058823535</v>
      </c>
      <c r="AR284" s="8" t="n">
        <f aca="false">COUNTIF($C284:$V284,"&gt;=4")</f>
        <v>1</v>
      </c>
      <c r="AS284" s="8" t="str">
        <f aca="false">IF($X284&lt;=1.6,"Low",IF($X284&lt;=2.2,"Medium","High"))</f>
        <v>Low</v>
      </c>
      <c r="AT284" s="8" t="str">
        <f aca="false">IF($AR284=0,"Low",IF($AR284&lt;3,"Medium","High"))</f>
        <v>Medium</v>
      </c>
      <c r="AU284" s="8" t="str">
        <f aca="false">IF(OR($AS284="High",$AT284="High"),"High",IF(OR($AS284="Medium",$AT284="Medium"),"Medium","Low"))</f>
        <v>Medium</v>
      </c>
      <c r="AV284" s="15" t="str">
        <f aca="false">IF($Z284="Yes","High",$AU284)</f>
        <v>Medium</v>
      </c>
    </row>
    <row r="285" customFormat="false" ht="15" hidden="false" customHeight="false" outlineLevel="0" collapsed="false">
      <c r="A285" s="7" t="str">
        <f aca="false">Customers!$A285</f>
        <v>NG-10078</v>
      </c>
      <c r="B285" s="7" t="str">
        <f aca="false">Customers!$B285</f>
        <v>Personal</v>
      </c>
      <c r="C285" s="8" t="n">
        <f aca="false">INDEX(Mapping!$C$2:$C$99,MATCH(C$1&amp;"|"&amp;Customers!C285,Mapping!$D$2:$D$99,0))</f>
        <v>1</v>
      </c>
      <c r="D285" s="8" t="n">
        <f aca="false">INDEX(Mapping!$C$2:$C$99,MATCH(D$1&amp;"|"&amp;Customers!D285,Mapping!$D$2:$D$99,0))</f>
        <v>1</v>
      </c>
      <c r="E285" s="8" t="n">
        <f aca="false">INDEX(Mapping!$C$2:$C$99,MATCH(E$1&amp;"|"&amp;Customers!E285,Mapping!$D$2:$D$99,0))</f>
        <v>4</v>
      </c>
      <c r="F285" s="8" t="n">
        <f aca="false">INDEX(Mapping!$C$2:$C$99,MATCH(F$1&amp;"|"&amp;Customers!F285,Mapping!$D$2:$D$99,0))</f>
        <v>1</v>
      </c>
      <c r="G285" s="8" t="n">
        <f aca="false">INDEX(Mapping!$C$2:$C$99,MATCH(G$1&amp;"|"&amp;Customers!G285,Mapping!$D$2:$D$99,0))</f>
        <v>1</v>
      </c>
      <c r="H285" s="8" t="n">
        <f aca="false">INDEX(Mapping!$C$2:$C$99,MATCH(H$1&amp;"|"&amp;Customers!H285,Mapping!$D$2:$D$99,0))</f>
        <v>1</v>
      </c>
      <c r="I285" s="8" t="n">
        <f aca="false">INDEX(Mapping!$C$2:$C$99,MATCH(I$1&amp;"|"&amp;Customers!I285,Mapping!$D$2:$D$99,0))</f>
        <v>1</v>
      </c>
      <c r="J285" s="8" t="n">
        <f aca="false">INDEX(Mapping!$C$2:$C$99,MATCH(J$1&amp;"|"&amp;Customers!J285,Mapping!$D$2:$D$99,0))</f>
        <v>1</v>
      </c>
      <c r="K285" s="8" t="n">
        <f aca="false">INDEX(Mapping!$C$2:$C$99,MATCH(K$1&amp;"|"&amp;Customers!K285,Mapping!$D$2:$D$99,0))</f>
        <v>2</v>
      </c>
      <c r="L285" s="8" t="n">
        <f aca="false">INDEX(Mapping!$C$2:$C$99,MATCH(L$1&amp;"|"&amp;Customers!L285,Mapping!$D$2:$D$99,0))</f>
        <v>2</v>
      </c>
      <c r="M285" s="8" t="n">
        <f aca="false">INDEX(Mapping!$C$2:$C$99,MATCH(M$1&amp;"|"&amp;Customers!M285,Mapping!$D$2:$D$99,0))</f>
        <v>1</v>
      </c>
      <c r="N285" s="8" t="n">
        <f aca="false">INDEX(Mapping!$C$2:$C$99,MATCH(N$1&amp;"|"&amp;Customers!N285,Mapping!$D$2:$D$99,0))</f>
        <v>1</v>
      </c>
      <c r="O285" s="8" t="n">
        <f aca="false">INDEX(Mapping!$C$2:$C$99,MATCH(O$1&amp;"|"&amp;Customers!O285,Mapping!$D$2:$D$99,0))</f>
        <v>1</v>
      </c>
      <c r="P285" s="8" t="n">
        <f aca="false">INDEX(Mapping!$C$2:$C$99,MATCH(P$1&amp;"|"&amp;Customers!P285,Mapping!$D$2:$D$99,0))</f>
        <v>3</v>
      </c>
      <c r="Q285" s="8" t="n">
        <f aca="false">INDEX(Mapping!$C$2:$C$99,MATCH(Q$1&amp;"|"&amp;Customers!Q285,Mapping!$D$2:$D$99,0))</f>
        <v>1</v>
      </c>
      <c r="R285" s="8" t="n">
        <f aca="false">INDEX(Mapping!$C$2:$C$99,MATCH(R$1&amp;"|"&amp;Customers!R285,Mapping!$D$2:$D$99,0))</f>
        <v>1</v>
      </c>
      <c r="S285" s="8" t="n">
        <f aca="false">INDEX(Mapping!$C$2:$C$99,MATCH(S$1&amp;"|"&amp;Customers!S285,Mapping!$D$2:$D$99,0))</f>
        <v>1</v>
      </c>
      <c r="T285" s="8" t="n">
        <f aca="false">INDEX(Mapping!$C$2:$C$99,MATCH(T$1&amp;"|"&amp;Customers!T285,Mapping!$D$2:$D$99,0))</f>
        <v>2</v>
      </c>
      <c r="U285" s="8" t="n">
        <f aca="false">INDEX(Mapping!$C$2:$C$99,MATCH(U$1&amp;"|"&amp;Customers!U285,Mapping!$D$2:$D$99,0))</f>
        <v>1</v>
      </c>
      <c r="V285" s="8" t="n">
        <f aca="false">INDEX(Mapping!$C$2:$C$99,MATCH(V$1&amp;"|"&amp;Customers!V285,Mapping!$D$2:$D$99,0))</f>
        <v>1</v>
      </c>
      <c r="W285" s="17" t="n">
        <f aca="false">SUMPRODUCT($C285:$V285,Weights!$C$27:$V$27)</f>
        <v>1.445</v>
      </c>
      <c r="X285" s="18" t="n">
        <f aca="false">ROUND($W285,2)</f>
        <v>1.45</v>
      </c>
      <c r="Y285" s="8" t="str">
        <f aca="false">IF($X285&lt;=2,"Low",IF($X285&lt;=3.49,"Medium","High"))</f>
        <v>Low</v>
      </c>
      <c r="Z285" s="8" t="str">
        <f aca="false">IF(OR($F285&gt;=3,$E285=5,$D285=5,$C285=5,$G285=5,$H285=5,$I285=5,$J285=5,Customers!$W285="Yes"),"Yes","No")</f>
        <v>No</v>
      </c>
      <c r="AA285" s="15" t="str">
        <f aca="false">IF($Z285="Yes","High",$Y285)</f>
        <v>Low</v>
      </c>
      <c r="AB285" s="18" t="n">
        <f aca="false">SUMPRODUCT($C285:$G285,Weights!$C$28:$G$28)</f>
        <v>1.75</v>
      </c>
      <c r="AC285" s="18" t="n">
        <f aca="false">SUMPRODUCT($H285:$J285,Weights!$H$28:$J$28)</f>
        <v>1</v>
      </c>
      <c r="AD285" s="18" t="n">
        <f aca="false">SUMPRODUCT($K285:$N285,Weights!$K$28:$N$28)</f>
        <v>1.6</v>
      </c>
      <c r="AE285" s="18" t="n">
        <f aca="false">SUMPRODUCT($O285:$Q285,Weights!$O$28:$Q$28)</f>
        <v>1.7</v>
      </c>
      <c r="AF285" s="18" t="n">
        <f aca="false">SUMPRODUCT($R285:$V285,Weights!$R$28:$V$28)</f>
        <v>1.2</v>
      </c>
      <c r="AH285" s="18" t="n">
        <f aca="false">SUMPRODUCT($AB285:$AF285,Validation!$D$7:$H$7)</f>
        <v>1.4014285714286</v>
      </c>
      <c r="AI285" s="18" t="n">
        <f aca="false">SUMPRODUCT($AB285:$AF285,Validation!$D$8:$H$8)</f>
        <v>1.4885714285714</v>
      </c>
      <c r="AJ285" s="18" t="n">
        <f aca="false">SUMPRODUCT($AB285:$AF285,Validation!$D$9:$H$9)</f>
        <v>1.5043333333333</v>
      </c>
      <c r="AK285" s="18" t="n">
        <f aca="false">SUMPRODUCT($AB285:$AF285,Validation!$D$10:$H$10)</f>
        <v>1.3856666666667</v>
      </c>
      <c r="AL285" s="18" t="n">
        <f aca="false">SUMPRODUCT($AB285:$AF285,Validation!$D$11:$H$11)</f>
        <v>1.425625</v>
      </c>
      <c r="AM285" s="18" t="n">
        <f aca="false">SUMPRODUCT($AB285:$AF285,Validation!$D$12:$H$12)</f>
        <v>1.464375</v>
      </c>
      <c r="AN285" s="18" t="n">
        <f aca="false">SUMPRODUCT($AB285:$AF285,Validation!$D$13:$H$13)</f>
        <v>1.41666666666635</v>
      </c>
      <c r="AO285" s="18" t="n">
        <f aca="false">SUMPRODUCT($AB285:$AF285,Validation!$D$14:$H$14)</f>
        <v>1.47333333333365</v>
      </c>
      <c r="AP285" s="18" t="n">
        <f aca="false">SUMPRODUCT($AB285:$AF285,Validation!$D$15:$H$15)</f>
        <v>1.47382352941165</v>
      </c>
      <c r="AQ285" s="18" t="n">
        <f aca="false">SUMPRODUCT($AB285:$AF285,Validation!$D$16:$H$16)</f>
        <v>1.41617647058835</v>
      </c>
      <c r="AR285" s="8" t="n">
        <f aca="false">COUNTIF($C285:$V285,"&gt;=4")</f>
        <v>1</v>
      </c>
      <c r="AS285" s="8" t="str">
        <f aca="false">IF($X285&lt;=1.6,"Low",IF($X285&lt;=2.2,"Medium","High"))</f>
        <v>Low</v>
      </c>
      <c r="AT285" s="8" t="str">
        <f aca="false">IF($AR285=0,"Low",IF($AR285&lt;3,"Medium","High"))</f>
        <v>Medium</v>
      </c>
      <c r="AU285" s="8" t="str">
        <f aca="false">IF(OR($AS285="High",$AT285="High"),"High",IF(OR($AS285="Medium",$AT285="Medium"),"Medium","Low"))</f>
        <v>Medium</v>
      </c>
      <c r="AV285" s="15" t="str">
        <f aca="false">IF($Z285="Yes","High",$AU285)</f>
        <v>Medium</v>
      </c>
    </row>
    <row r="286" customFormat="false" ht="15" hidden="false" customHeight="false" outlineLevel="0" collapsed="false">
      <c r="A286" s="7" t="str">
        <f aca="false">Customers!$A286</f>
        <v>NG-10026</v>
      </c>
      <c r="B286" s="7" t="str">
        <f aca="false">Customers!$B286</f>
        <v>Personal</v>
      </c>
      <c r="C286" s="8" t="n">
        <f aca="false">INDEX(Mapping!$C$2:$C$99,MATCH(C$1&amp;"|"&amp;Customers!C286,Mapping!$D$2:$D$99,0))</f>
        <v>2</v>
      </c>
      <c r="D286" s="8" t="n">
        <f aca="false">INDEX(Mapping!$C$2:$C$99,MATCH(D$1&amp;"|"&amp;Customers!D286,Mapping!$D$2:$D$99,0))</f>
        <v>1</v>
      </c>
      <c r="E286" s="8" t="n">
        <f aca="false">INDEX(Mapping!$C$2:$C$99,MATCH(E$1&amp;"|"&amp;Customers!E286,Mapping!$D$2:$D$99,0))</f>
        <v>1</v>
      </c>
      <c r="F286" s="8" t="n">
        <f aca="false">INDEX(Mapping!$C$2:$C$99,MATCH(F$1&amp;"|"&amp;Customers!F286,Mapping!$D$2:$D$99,0))</f>
        <v>1</v>
      </c>
      <c r="G286" s="8" t="n">
        <f aca="false">INDEX(Mapping!$C$2:$C$99,MATCH(G$1&amp;"|"&amp;Customers!G286,Mapping!$D$2:$D$99,0))</f>
        <v>1</v>
      </c>
      <c r="H286" s="8" t="n">
        <f aca="false">INDEX(Mapping!$C$2:$C$99,MATCH(H$1&amp;"|"&amp;Customers!H286,Mapping!$D$2:$D$99,0))</f>
        <v>1</v>
      </c>
      <c r="I286" s="8" t="n">
        <f aca="false">INDEX(Mapping!$C$2:$C$99,MATCH(I$1&amp;"|"&amp;Customers!I286,Mapping!$D$2:$D$99,0))</f>
        <v>1</v>
      </c>
      <c r="J286" s="8" t="n">
        <f aca="false">INDEX(Mapping!$C$2:$C$99,MATCH(J$1&amp;"|"&amp;Customers!J286,Mapping!$D$2:$D$99,0))</f>
        <v>1</v>
      </c>
      <c r="K286" s="8" t="n">
        <f aca="false">INDEX(Mapping!$C$2:$C$99,MATCH(K$1&amp;"|"&amp;Customers!K286,Mapping!$D$2:$D$99,0))</f>
        <v>2</v>
      </c>
      <c r="L286" s="8" t="n">
        <f aca="false">INDEX(Mapping!$C$2:$C$99,MATCH(L$1&amp;"|"&amp;Customers!L286,Mapping!$D$2:$D$99,0))</f>
        <v>2</v>
      </c>
      <c r="M286" s="8" t="n">
        <f aca="false">INDEX(Mapping!$C$2:$C$99,MATCH(M$1&amp;"|"&amp;Customers!M286,Mapping!$D$2:$D$99,0))</f>
        <v>1</v>
      </c>
      <c r="N286" s="8" t="n">
        <f aca="false">INDEX(Mapping!$C$2:$C$99,MATCH(N$1&amp;"|"&amp;Customers!N286,Mapping!$D$2:$D$99,0))</f>
        <v>2</v>
      </c>
      <c r="O286" s="8" t="n">
        <f aca="false">INDEX(Mapping!$C$2:$C$99,MATCH(O$1&amp;"|"&amp;Customers!O286,Mapping!$D$2:$D$99,0))</f>
        <v>3</v>
      </c>
      <c r="P286" s="8" t="n">
        <f aca="false">INDEX(Mapping!$C$2:$C$99,MATCH(P$1&amp;"|"&amp;Customers!P286,Mapping!$D$2:$D$99,0))</f>
        <v>4</v>
      </c>
      <c r="Q286" s="8" t="n">
        <f aca="false">INDEX(Mapping!$C$2:$C$99,MATCH(Q$1&amp;"|"&amp;Customers!Q286,Mapping!$D$2:$D$99,0))</f>
        <v>1</v>
      </c>
      <c r="R286" s="8" t="n">
        <f aca="false">INDEX(Mapping!$C$2:$C$99,MATCH(R$1&amp;"|"&amp;Customers!R286,Mapping!$D$2:$D$99,0))</f>
        <v>1</v>
      </c>
      <c r="S286" s="8" t="n">
        <f aca="false">INDEX(Mapping!$C$2:$C$99,MATCH(S$1&amp;"|"&amp;Customers!S286,Mapping!$D$2:$D$99,0))</f>
        <v>1</v>
      </c>
      <c r="T286" s="8" t="n">
        <f aca="false">INDEX(Mapping!$C$2:$C$99,MATCH(T$1&amp;"|"&amp;Customers!T286,Mapping!$D$2:$D$99,0))</f>
        <v>1</v>
      </c>
      <c r="U286" s="8" t="n">
        <f aca="false">INDEX(Mapping!$C$2:$C$99,MATCH(U$1&amp;"|"&amp;Customers!U286,Mapping!$D$2:$D$99,0))</f>
        <v>1</v>
      </c>
      <c r="V286" s="8" t="n">
        <f aca="false">INDEX(Mapping!$C$2:$C$99,MATCH(V$1&amp;"|"&amp;Customers!V286,Mapping!$D$2:$D$99,0))</f>
        <v>2</v>
      </c>
      <c r="W286" s="17" t="n">
        <f aca="false">SUMPRODUCT($C286:$V286,Weights!$C$27:$V$27)</f>
        <v>1.42</v>
      </c>
      <c r="X286" s="18" t="n">
        <f aca="false">ROUND($W286,2)</f>
        <v>1.42</v>
      </c>
      <c r="Y286" s="8" t="str">
        <f aca="false">IF($X286&lt;=2,"Low",IF($X286&lt;=3.49,"Medium","High"))</f>
        <v>Low</v>
      </c>
      <c r="Z286" s="8" t="str">
        <f aca="false">IF(OR($F286&gt;=3,$E286=5,$D286=5,$C286=5,$G286=5,$H286=5,$I286=5,$J286=5,Customers!$W286="Yes"),"Yes","No")</f>
        <v>No</v>
      </c>
      <c r="AA286" s="15" t="str">
        <f aca="false">IF($Z286="Yes","High",$Y286)</f>
        <v>Low</v>
      </c>
      <c r="AB286" s="18" t="n">
        <f aca="false">SUMPRODUCT($C286:$G286,Weights!$C$28:$G$28)</f>
        <v>1.2</v>
      </c>
      <c r="AC286" s="18" t="n">
        <f aca="false">SUMPRODUCT($H286:$J286,Weights!$H$28:$J$28)</f>
        <v>1</v>
      </c>
      <c r="AD286" s="18" t="n">
        <f aca="false">SUMPRODUCT($K286:$N286,Weights!$K$28:$N$28)</f>
        <v>1.75</v>
      </c>
      <c r="AE286" s="18" t="n">
        <f aca="false">SUMPRODUCT($O286:$Q286,Weights!$O$28:$Q$28)</f>
        <v>2.95</v>
      </c>
      <c r="AF286" s="18" t="n">
        <f aca="false">SUMPRODUCT($R286:$V286,Weights!$R$28:$V$28)</f>
        <v>1.1</v>
      </c>
      <c r="AH286" s="18" t="n">
        <f aca="false">SUMPRODUCT($AB286:$AF286,Validation!$D$7:$H$7)</f>
        <v>1.45142857142885</v>
      </c>
      <c r="AI286" s="18" t="n">
        <f aca="false">SUMPRODUCT($AB286:$AF286,Validation!$D$8:$H$8)</f>
        <v>1.38857142857115</v>
      </c>
      <c r="AJ286" s="18" t="n">
        <f aca="false">SUMPRODUCT($AB286:$AF286,Validation!$D$9:$H$9)</f>
        <v>1.4759999999996</v>
      </c>
      <c r="AK286" s="18" t="n">
        <f aca="false">SUMPRODUCT($AB286:$AF286,Validation!$D$10:$H$10)</f>
        <v>1.3640000000004</v>
      </c>
      <c r="AL286" s="18" t="n">
        <f aca="false">SUMPRODUCT($AB286:$AF286,Validation!$D$11:$H$11)</f>
        <v>1.37875</v>
      </c>
      <c r="AM286" s="18" t="n">
        <f aca="false">SUMPRODUCT($AB286:$AF286,Validation!$D$12:$H$12)</f>
        <v>1.46125</v>
      </c>
      <c r="AN286" s="18" t="n">
        <f aca="false">SUMPRODUCT($AB286:$AF286,Validation!$D$13:$H$13)</f>
        <v>1.2499999999998</v>
      </c>
      <c r="AO286" s="18" t="n">
        <f aca="false">SUMPRODUCT($AB286:$AF286,Validation!$D$14:$H$14)</f>
        <v>1.5900000000002</v>
      </c>
      <c r="AP286" s="18" t="n">
        <f aca="false">SUMPRODUCT($AB286:$AF286,Validation!$D$15:$H$15)</f>
        <v>1.45764705882305</v>
      </c>
      <c r="AQ286" s="18" t="n">
        <f aca="false">SUMPRODUCT($AB286:$AF286,Validation!$D$16:$H$16)</f>
        <v>1.38235294117695</v>
      </c>
      <c r="AR286" s="8" t="n">
        <f aca="false">COUNTIF($C286:$V286,"&gt;=4")</f>
        <v>1</v>
      </c>
      <c r="AS286" s="8" t="str">
        <f aca="false">IF($X286&lt;=1.6,"Low",IF($X286&lt;=2.2,"Medium","High"))</f>
        <v>Low</v>
      </c>
      <c r="AT286" s="8" t="str">
        <f aca="false">IF($AR286=0,"Low",IF($AR286&lt;3,"Medium","High"))</f>
        <v>Medium</v>
      </c>
      <c r="AU286" s="8" t="str">
        <f aca="false">IF(OR($AS286="High",$AT286="High"),"High",IF(OR($AS286="Medium",$AT286="Medium"),"Medium","Low"))</f>
        <v>Medium</v>
      </c>
      <c r="AV286" s="15" t="str">
        <f aca="false">IF($Z286="Yes","High",$AU286)</f>
        <v>Medium</v>
      </c>
    </row>
    <row r="287" customFormat="false" ht="15" hidden="false" customHeight="false" outlineLevel="0" collapsed="false">
      <c r="A287" s="7" t="str">
        <f aca="false">Customers!$A287</f>
        <v>NG-10254</v>
      </c>
      <c r="B287" s="7" t="str">
        <f aca="false">Customers!$B287</f>
        <v>Personal</v>
      </c>
      <c r="C287" s="8" t="n">
        <f aca="false">INDEX(Mapping!$C$2:$C$99,MATCH(C$1&amp;"|"&amp;Customers!C287,Mapping!$D$2:$D$99,0))</f>
        <v>2</v>
      </c>
      <c r="D287" s="8" t="n">
        <f aca="false">INDEX(Mapping!$C$2:$C$99,MATCH(D$1&amp;"|"&amp;Customers!D287,Mapping!$D$2:$D$99,0))</f>
        <v>1</v>
      </c>
      <c r="E287" s="8" t="n">
        <f aca="false">INDEX(Mapping!$C$2:$C$99,MATCH(E$1&amp;"|"&amp;Customers!E287,Mapping!$D$2:$D$99,0))</f>
        <v>3</v>
      </c>
      <c r="F287" s="8" t="n">
        <f aca="false">INDEX(Mapping!$C$2:$C$99,MATCH(F$1&amp;"|"&amp;Customers!F287,Mapping!$D$2:$D$99,0))</f>
        <v>1</v>
      </c>
      <c r="G287" s="8" t="n">
        <f aca="false">INDEX(Mapping!$C$2:$C$99,MATCH(G$1&amp;"|"&amp;Customers!G287,Mapping!$D$2:$D$99,0))</f>
        <v>1</v>
      </c>
      <c r="H287" s="8" t="n">
        <f aca="false">INDEX(Mapping!$C$2:$C$99,MATCH(H$1&amp;"|"&amp;Customers!H287,Mapping!$D$2:$D$99,0))</f>
        <v>1</v>
      </c>
      <c r="I287" s="8" t="n">
        <f aca="false">INDEX(Mapping!$C$2:$C$99,MATCH(I$1&amp;"|"&amp;Customers!I287,Mapping!$D$2:$D$99,0))</f>
        <v>1</v>
      </c>
      <c r="J287" s="8" t="n">
        <f aca="false">INDEX(Mapping!$C$2:$C$99,MATCH(J$1&amp;"|"&amp;Customers!J287,Mapping!$D$2:$D$99,0))</f>
        <v>1</v>
      </c>
      <c r="K287" s="8" t="n">
        <f aca="false">INDEX(Mapping!$C$2:$C$99,MATCH(K$1&amp;"|"&amp;Customers!K287,Mapping!$D$2:$D$99,0))</f>
        <v>2</v>
      </c>
      <c r="L287" s="8" t="n">
        <f aca="false">INDEX(Mapping!$C$2:$C$99,MATCH(L$1&amp;"|"&amp;Customers!L287,Mapping!$D$2:$D$99,0))</f>
        <v>3</v>
      </c>
      <c r="M287" s="8" t="n">
        <f aca="false">INDEX(Mapping!$C$2:$C$99,MATCH(M$1&amp;"|"&amp;Customers!M287,Mapping!$D$2:$D$99,0))</f>
        <v>1</v>
      </c>
      <c r="N287" s="8" t="n">
        <f aca="false">INDEX(Mapping!$C$2:$C$99,MATCH(N$1&amp;"|"&amp;Customers!N287,Mapping!$D$2:$D$99,0))</f>
        <v>1</v>
      </c>
      <c r="O287" s="8" t="n">
        <f aca="false">INDEX(Mapping!$C$2:$C$99,MATCH(O$1&amp;"|"&amp;Customers!O287,Mapping!$D$2:$D$99,0))</f>
        <v>3</v>
      </c>
      <c r="P287" s="8" t="n">
        <f aca="false">INDEX(Mapping!$C$2:$C$99,MATCH(P$1&amp;"|"&amp;Customers!P287,Mapping!$D$2:$D$99,0))</f>
        <v>3</v>
      </c>
      <c r="Q287" s="8" t="n">
        <f aca="false">INDEX(Mapping!$C$2:$C$99,MATCH(Q$1&amp;"|"&amp;Customers!Q287,Mapping!$D$2:$D$99,0))</f>
        <v>1</v>
      </c>
      <c r="R287" s="8" t="n">
        <f aca="false">INDEX(Mapping!$C$2:$C$99,MATCH(R$1&amp;"|"&amp;Customers!R287,Mapping!$D$2:$D$99,0))</f>
        <v>1</v>
      </c>
      <c r="S287" s="8" t="n">
        <f aca="false">INDEX(Mapping!$C$2:$C$99,MATCH(S$1&amp;"|"&amp;Customers!S287,Mapping!$D$2:$D$99,0))</f>
        <v>5</v>
      </c>
      <c r="T287" s="8" t="n">
        <f aca="false">INDEX(Mapping!$C$2:$C$99,MATCH(T$1&amp;"|"&amp;Customers!T287,Mapping!$D$2:$D$99,0))</f>
        <v>1</v>
      </c>
      <c r="U287" s="8" t="n">
        <f aca="false">INDEX(Mapping!$C$2:$C$99,MATCH(U$1&amp;"|"&amp;Customers!U287,Mapping!$D$2:$D$99,0))</f>
        <v>2</v>
      </c>
      <c r="V287" s="8" t="n">
        <f aca="false">INDEX(Mapping!$C$2:$C$99,MATCH(V$1&amp;"|"&amp;Customers!V287,Mapping!$D$2:$D$99,0))</f>
        <v>1</v>
      </c>
      <c r="W287" s="17" t="n">
        <f aca="false">SUMPRODUCT($C287:$V287,Weights!$C$27:$V$27)</f>
        <v>1.7425</v>
      </c>
      <c r="X287" s="18" t="n">
        <f aca="false">ROUND($W287,2)</f>
        <v>1.74</v>
      </c>
      <c r="Y287" s="8" t="str">
        <f aca="false">IF($X287&lt;=2,"Low",IF($X287&lt;=3.49,"Medium","High"))</f>
        <v>Low</v>
      </c>
      <c r="Z287" s="8" t="str">
        <f aca="false">IF(OR($F287&gt;=3,$E287=5,$D287=5,$C287=5,$G287=5,$H287=5,$I287=5,$J287=5,Customers!$W287="Yes"),"Yes","No")</f>
        <v>No</v>
      </c>
      <c r="AA287" s="15" t="str">
        <f aca="false">IF($Z287="Yes","High",$Y287)</f>
        <v>Low</v>
      </c>
      <c r="AB287" s="18" t="n">
        <f aca="false">SUMPRODUCT($C287:$G287,Weights!$C$28:$G$28)</f>
        <v>1.7</v>
      </c>
      <c r="AC287" s="18" t="n">
        <f aca="false">SUMPRODUCT($H287:$J287,Weights!$H$28:$J$28)</f>
        <v>1</v>
      </c>
      <c r="AD287" s="18" t="n">
        <f aca="false">SUMPRODUCT($K287:$N287,Weights!$K$28:$N$28)</f>
        <v>1.85</v>
      </c>
      <c r="AE287" s="18" t="n">
        <f aca="false">SUMPRODUCT($O287:$Q287,Weights!$O$28:$Q$28)</f>
        <v>2.6</v>
      </c>
      <c r="AF287" s="18" t="n">
        <f aca="false">SUMPRODUCT($R287:$V287,Weights!$R$28:$V$28)</f>
        <v>2.35</v>
      </c>
      <c r="AH287" s="18" t="n">
        <f aca="false">SUMPRODUCT($AB287:$AF287,Validation!$D$7:$H$7)</f>
        <v>1.7485714285721</v>
      </c>
      <c r="AI287" s="18" t="n">
        <f aca="false">SUMPRODUCT($AB287:$AF287,Validation!$D$8:$H$8)</f>
        <v>1.7364285714279</v>
      </c>
      <c r="AJ287" s="18" t="n">
        <f aca="false">SUMPRODUCT($AB287:$AF287,Validation!$D$9:$H$9)</f>
        <v>1.84149999999975</v>
      </c>
      <c r="AK287" s="18" t="n">
        <f aca="false">SUMPRODUCT($AB287:$AF287,Validation!$D$10:$H$10)</f>
        <v>1.64350000000025</v>
      </c>
      <c r="AL287" s="18" t="n">
        <f aca="false">SUMPRODUCT($AB287:$AF287,Validation!$D$11:$H$11)</f>
        <v>1.7290625</v>
      </c>
      <c r="AM287" s="18" t="n">
        <f aca="false">SUMPRODUCT($AB287:$AF287,Validation!$D$12:$H$12)</f>
        <v>1.7559375</v>
      </c>
      <c r="AN287" s="18" t="n">
        <f aca="false">SUMPRODUCT($AB287:$AF287,Validation!$D$13:$H$13)</f>
        <v>1.64722222222225</v>
      </c>
      <c r="AO287" s="18" t="n">
        <f aca="false">SUMPRODUCT($AB287:$AF287,Validation!$D$14:$H$14)</f>
        <v>1.83777777777775</v>
      </c>
      <c r="AP287" s="18" t="n">
        <f aca="false">SUMPRODUCT($AB287:$AF287,Validation!$D$15:$H$15)</f>
        <v>1.67102941176435</v>
      </c>
      <c r="AQ287" s="18" t="n">
        <f aca="false">SUMPRODUCT($AB287:$AF287,Validation!$D$16:$H$16)</f>
        <v>1.81397058823565</v>
      </c>
      <c r="AR287" s="8" t="n">
        <f aca="false">COUNTIF($C287:$V287,"&gt;=4")</f>
        <v>1</v>
      </c>
      <c r="AS287" s="8" t="str">
        <f aca="false">IF($X287&lt;=1.6,"Low",IF($X287&lt;=2.2,"Medium","High"))</f>
        <v>Medium</v>
      </c>
      <c r="AT287" s="8" t="str">
        <f aca="false">IF($AR287=0,"Low",IF($AR287&lt;3,"Medium","High"))</f>
        <v>Medium</v>
      </c>
      <c r="AU287" s="8" t="str">
        <f aca="false">IF(OR($AS287="High",$AT287="High"),"High",IF(OR($AS287="Medium",$AT287="Medium"),"Medium","Low"))</f>
        <v>Medium</v>
      </c>
      <c r="AV287" s="15" t="str">
        <f aca="false">IF($Z287="Yes","High",$AU287)</f>
        <v>Medium</v>
      </c>
    </row>
    <row r="288" customFormat="false" ht="15" hidden="false" customHeight="false" outlineLevel="0" collapsed="false">
      <c r="A288" s="7" t="str">
        <f aca="false">Customers!$A288</f>
        <v>NG-10015</v>
      </c>
      <c r="B288" s="7" t="str">
        <f aca="false">Customers!$B288</f>
        <v>Personal</v>
      </c>
      <c r="C288" s="8" t="n">
        <f aca="false">INDEX(Mapping!$C$2:$C$99,MATCH(C$1&amp;"|"&amp;Customers!C288,Mapping!$D$2:$D$99,0))</f>
        <v>1</v>
      </c>
      <c r="D288" s="8" t="n">
        <f aca="false">INDEX(Mapping!$C$2:$C$99,MATCH(D$1&amp;"|"&amp;Customers!D288,Mapping!$D$2:$D$99,0))</f>
        <v>1</v>
      </c>
      <c r="E288" s="8" t="n">
        <f aca="false">INDEX(Mapping!$C$2:$C$99,MATCH(E$1&amp;"|"&amp;Customers!E288,Mapping!$D$2:$D$99,0))</f>
        <v>3</v>
      </c>
      <c r="F288" s="8" t="n">
        <f aca="false">INDEX(Mapping!$C$2:$C$99,MATCH(F$1&amp;"|"&amp;Customers!F288,Mapping!$D$2:$D$99,0))</f>
        <v>1</v>
      </c>
      <c r="G288" s="8" t="n">
        <f aca="false">INDEX(Mapping!$C$2:$C$99,MATCH(G$1&amp;"|"&amp;Customers!G288,Mapping!$D$2:$D$99,0))</f>
        <v>1</v>
      </c>
      <c r="H288" s="8" t="n">
        <f aca="false">INDEX(Mapping!$C$2:$C$99,MATCH(H$1&amp;"|"&amp;Customers!H288,Mapping!$D$2:$D$99,0))</f>
        <v>1</v>
      </c>
      <c r="I288" s="8" t="n">
        <f aca="false">INDEX(Mapping!$C$2:$C$99,MATCH(I$1&amp;"|"&amp;Customers!I288,Mapping!$D$2:$D$99,0))</f>
        <v>1</v>
      </c>
      <c r="J288" s="8" t="n">
        <f aca="false">INDEX(Mapping!$C$2:$C$99,MATCH(J$1&amp;"|"&amp;Customers!J288,Mapping!$D$2:$D$99,0))</f>
        <v>1</v>
      </c>
      <c r="K288" s="8" t="n">
        <f aca="false">INDEX(Mapping!$C$2:$C$99,MATCH(K$1&amp;"|"&amp;Customers!K288,Mapping!$D$2:$D$99,0))</f>
        <v>3</v>
      </c>
      <c r="L288" s="8" t="n">
        <f aca="false">INDEX(Mapping!$C$2:$C$99,MATCH(L$1&amp;"|"&amp;Customers!L288,Mapping!$D$2:$D$99,0))</f>
        <v>2</v>
      </c>
      <c r="M288" s="8" t="n">
        <f aca="false">INDEX(Mapping!$C$2:$C$99,MATCH(M$1&amp;"|"&amp;Customers!M288,Mapping!$D$2:$D$99,0))</f>
        <v>1</v>
      </c>
      <c r="N288" s="8" t="n">
        <f aca="false">INDEX(Mapping!$C$2:$C$99,MATCH(N$1&amp;"|"&amp;Customers!N288,Mapping!$D$2:$D$99,0))</f>
        <v>2</v>
      </c>
      <c r="O288" s="8" t="n">
        <f aca="false">INDEX(Mapping!$C$2:$C$99,MATCH(O$1&amp;"|"&amp;Customers!O288,Mapping!$D$2:$D$99,0))</f>
        <v>1</v>
      </c>
      <c r="P288" s="8" t="n">
        <f aca="false">INDEX(Mapping!$C$2:$C$99,MATCH(P$1&amp;"|"&amp;Customers!P288,Mapping!$D$2:$D$99,0))</f>
        <v>3</v>
      </c>
      <c r="Q288" s="8" t="n">
        <f aca="false">INDEX(Mapping!$C$2:$C$99,MATCH(Q$1&amp;"|"&amp;Customers!Q288,Mapping!$D$2:$D$99,0))</f>
        <v>1</v>
      </c>
      <c r="R288" s="8" t="n">
        <f aca="false">INDEX(Mapping!$C$2:$C$99,MATCH(R$1&amp;"|"&amp;Customers!R288,Mapping!$D$2:$D$99,0))</f>
        <v>1</v>
      </c>
      <c r="S288" s="8" t="n">
        <f aca="false">INDEX(Mapping!$C$2:$C$99,MATCH(S$1&amp;"|"&amp;Customers!S288,Mapping!$D$2:$D$99,0))</f>
        <v>1</v>
      </c>
      <c r="T288" s="8" t="n">
        <f aca="false">INDEX(Mapping!$C$2:$C$99,MATCH(T$1&amp;"|"&amp;Customers!T288,Mapping!$D$2:$D$99,0))</f>
        <v>1</v>
      </c>
      <c r="U288" s="8" t="n">
        <f aca="false">INDEX(Mapping!$C$2:$C$99,MATCH(U$1&amp;"|"&amp;Customers!U288,Mapping!$D$2:$D$99,0))</f>
        <v>1</v>
      </c>
      <c r="V288" s="8" t="n">
        <f aca="false">INDEX(Mapping!$C$2:$C$99,MATCH(V$1&amp;"|"&amp;Customers!V288,Mapping!$D$2:$D$99,0))</f>
        <v>1</v>
      </c>
      <c r="W288" s="17" t="n">
        <f aca="false">SUMPRODUCT($C288:$V288,Weights!$C$27:$V$27)</f>
        <v>1.44</v>
      </c>
      <c r="X288" s="18" t="n">
        <f aca="false">ROUND($W288,2)</f>
        <v>1.44</v>
      </c>
      <c r="Y288" s="8" t="str">
        <f aca="false">IF($X288&lt;=2,"Low",IF($X288&lt;=3.49,"Medium","High"))</f>
        <v>Low</v>
      </c>
      <c r="Z288" s="8" t="str">
        <f aca="false">IF(OR($F288&gt;=3,$E288=5,$D288=5,$C288=5,$G288=5,$H288=5,$I288=5,$J288=5,Customers!$W288="Yes"),"Yes","No")</f>
        <v>No</v>
      </c>
      <c r="AA288" s="15" t="str">
        <f aca="false">IF($Z288="Yes","High",$Y288)</f>
        <v>Low</v>
      </c>
      <c r="AB288" s="18" t="n">
        <f aca="false">SUMPRODUCT($C288:$G288,Weights!$C$28:$G$28)</f>
        <v>1.5</v>
      </c>
      <c r="AC288" s="18" t="n">
        <f aca="false">SUMPRODUCT($H288:$J288,Weights!$H$28:$J$28)</f>
        <v>1</v>
      </c>
      <c r="AD288" s="18" t="n">
        <f aca="false">SUMPRODUCT($K288:$N288,Weights!$K$28:$N$28)</f>
        <v>2.1</v>
      </c>
      <c r="AE288" s="18" t="n">
        <f aca="false">SUMPRODUCT($O288:$Q288,Weights!$O$28:$Q$28)</f>
        <v>1.7</v>
      </c>
      <c r="AF288" s="18" t="n">
        <f aca="false">SUMPRODUCT($R288:$V288,Weights!$R$28:$V$28)</f>
        <v>1</v>
      </c>
      <c r="AH288" s="18" t="n">
        <f aca="false">SUMPRODUCT($AB288:$AF288,Validation!$D$7:$H$7)</f>
        <v>1.4314285714283</v>
      </c>
      <c r="AI288" s="18" t="n">
        <f aca="false">SUMPRODUCT($AB288:$AF288,Validation!$D$8:$H$8)</f>
        <v>1.4485714285717</v>
      </c>
      <c r="AJ288" s="18" t="n">
        <f aca="false">SUMPRODUCT($AB288:$AF288,Validation!$D$9:$H$9)</f>
        <v>1.4986666666668</v>
      </c>
      <c r="AK288" s="18" t="n">
        <f aca="false">SUMPRODUCT($AB288:$AF288,Validation!$D$10:$H$10)</f>
        <v>1.3813333333332</v>
      </c>
      <c r="AL288" s="18" t="n">
        <f aca="false">SUMPRODUCT($AB288:$AF288,Validation!$D$11:$H$11)</f>
        <v>1.3575</v>
      </c>
      <c r="AM288" s="18" t="n">
        <f aca="false">SUMPRODUCT($AB288:$AF288,Validation!$D$12:$H$12)</f>
        <v>1.5225</v>
      </c>
      <c r="AN288" s="18" t="n">
        <f aca="false">SUMPRODUCT($AB288:$AF288,Validation!$D$13:$H$13)</f>
        <v>1.4111111111107</v>
      </c>
      <c r="AO288" s="18" t="n">
        <f aca="false">SUMPRODUCT($AB288:$AF288,Validation!$D$14:$H$14)</f>
        <v>1.4688888888893</v>
      </c>
      <c r="AP288" s="18" t="n">
        <f aca="false">SUMPRODUCT($AB288:$AF288,Validation!$D$15:$H$15)</f>
        <v>1.4917647058824</v>
      </c>
      <c r="AQ288" s="18" t="n">
        <f aca="false">SUMPRODUCT($AB288:$AF288,Validation!$D$16:$H$16)</f>
        <v>1.3882352941176</v>
      </c>
      <c r="AR288" s="8" t="n">
        <f aca="false">COUNTIF($C288:$V288,"&gt;=4")</f>
        <v>0</v>
      </c>
      <c r="AS288" s="8" t="str">
        <f aca="false">IF($X288&lt;=1.6,"Low",IF($X288&lt;=2.2,"Medium","High"))</f>
        <v>Low</v>
      </c>
      <c r="AT288" s="8" t="str">
        <f aca="false">IF($AR288=0,"Low",IF($AR288&lt;3,"Medium","High"))</f>
        <v>Low</v>
      </c>
      <c r="AU288" s="8" t="str">
        <f aca="false">IF(OR($AS288="High",$AT288="High"),"High",IF(OR($AS288="Medium",$AT288="Medium"),"Medium","Low"))</f>
        <v>Low</v>
      </c>
      <c r="AV288" s="15" t="str">
        <f aca="false">IF($Z288="Yes","High",$AU288)</f>
        <v>Low</v>
      </c>
    </row>
    <row r="289" customFormat="false" ht="15" hidden="false" customHeight="false" outlineLevel="0" collapsed="false">
      <c r="A289" s="7" t="str">
        <f aca="false">Customers!$A289</f>
        <v>NG-10315</v>
      </c>
      <c r="B289" s="7" t="str">
        <f aca="false">Customers!$B289</f>
        <v>Sole trader</v>
      </c>
      <c r="C289" s="8" t="n">
        <f aca="false">INDEX(Mapping!$C$2:$C$99,MATCH(C$1&amp;"|"&amp;Customers!C289,Mapping!$D$2:$D$99,0))</f>
        <v>2</v>
      </c>
      <c r="D289" s="8" t="n">
        <f aca="false">INDEX(Mapping!$C$2:$C$99,MATCH(D$1&amp;"|"&amp;Customers!D289,Mapping!$D$2:$D$99,0))</f>
        <v>1</v>
      </c>
      <c r="E289" s="8" t="n">
        <f aca="false">INDEX(Mapping!$C$2:$C$99,MATCH(E$1&amp;"|"&amp;Customers!E289,Mapping!$D$2:$D$99,0))</f>
        <v>4</v>
      </c>
      <c r="F289" s="8" t="n">
        <f aca="false">INDEX(Mapping!$C$2:$C$99,MATCH(F$1&amp;"|"&amp;Customers!F289,Mapping!$D$2:$D$99,0))</f>
        <v>1</v>
      </c>
      <c r="G289" s="8" t="n">
        <f aca="false">INDEX(Mapping!$C$2:$C$99,MATCH(G$1&amp;"|"&amp;Customers!G289,Mapping!$D$2:$D$99,0))</f>
        <v>1</v>
      </c>
      <c r="H289" s="8" t="n">
        <f aca="false">INDEX(Mapping!$C$2:$C$99,MATCH(H$1&amp;"|"&amp;Customers!H289,Mapping!$D$2:$D$99,0))</f>
        <v>1</v>
      </c>
      <c r="I289" s="8" t="n">
        <f aca="false">INDEX(Mapping!$C$2:$C$99,MATCH(I$1&amp;"|"&amp;Customers!I289,Mapping!$D$2:$D$99,0))</f>
        <v>1</v>
      </c>
      <c r="J289" s="8" t="n">
        <f aca="false">INDEX(Mapping!$C$2:$C$99,MATCH(J$1&amp;"|"&amp;Customers!J289,Mapping!$D$2:$D$99,0))</f>
        <v>2</v>
      </c>
      <c r="K289" s="8" t="n">
        <f aca="false">INDEX(Mapping!$C$2:$C$99,MATCH(K$1&amp;"|"&amp;Customers!K289,Mapping!$D$2:$D$99,0))</f>
        <v>4</v>
      </c>
      <c r="L289" s="8" t="n">
        <f aca="false">INDEX(Mapping!$C$2:$C$99,MATCH(L$1&amp;"|"&amp;Customers!L289,Mapping!$D$2:$D$99,0))</f>
        <v>4</v>
      </c>
      <c r="M289" s="8" t="n">
        <f aca="false">INDEX(Mapping!$C$2:$C$99,MATCH(M$1&amp;"|"&amp;Customers!M289,Mapping!$D$2:$D$99,0))</f>
        <v>1</v>
      </c>
      <c r="N289" s="8" t="n">
        <f aca="false">INDEX(Mapping!$C$2:$C$99,MATCH(N$1&amp;"|"&amp;Customers!N289,Mapping!$D$2:$D$99,0))</f>
        <v>1</v>
      </c>
      <c r="O289" s="8" t="n">
        <f aca="false">INDEX(Mapping!$C$2:$C$99,MATCH(O$1&amp;"|"&amp;Customers!O289,Mapping!$D$2:$D$99,0))</f>
        <v>3</v>
      </c>
      <c r="P289" s="8" t="n">
        <f aca="false">INDEX(Mapping!$C$2:$C$99,MATCH(P$1&amp;"|"&amp;Customers!P289,Mapping!$D$2:$D$99,0))</f>
        <v>1</v>
      </c>
      <c r="Q289" s="8" t="n">
        <f aca="false">INDEX(Mapping!$C$2:$C$99,MATCH(Q$1&amp;"|"&amp;Customers!Q289,Mapping!$D$2:$D$99,0))</f>
        <v>1</v>
      </c>
      <c r="R289" s="8" t="n">
        <f aca="false">INDEX(Mapping!$C$2:$C$99,MATCH(R$1&amp;"|"&amp;Customers!R289,Mapping!$D$2:$D$99,0))</f>
        <v>2</v>
      </c>
      <c r="S289" s="8" t="n">
        <f aca="false">INDEX(Mapping!$C$2:$C$99,MATCH(S$1&amp;"|"&amp;Customers!S289,Mapping!$D$2:$D$99,0))</f>
        <v>4</v>
      </c>
      <c r="T289" s="8" t="n">
        <f aca="false">INDEX(Mapping!$C$2:$C$99,MATCH(T$1&amp;"|"&amp;Customers!T289,Mapping!$D$2:$D$99,0))</f>
        <v>2</v>
      </c>
      <c r="U289" s="8" t="n">
        <f aca="false">INDEX(Mapping!$C$2:$C$99,MATCH(U$1&amp;"|"&amp;Customers!U289,Mapping!$D$2:$D$99,0))</f>
        <v>5</v>
      </c>
      <c r="V289" s="8" t="n">
        <f aca="false">INDEX(Mapping!$C$2:$C$99,MATCH(V$1&amp;"|"&amp;Customers!V289,Mapping!$D$2:$D$99,0))</f>
        <v>3</v>
      </c>
      <c r="W289" s="17" t="n">
        <f aca="false">SUMPRODUCT($C289:$V289,Weights!$C$27:$V$27)</f>
        <v>2.1575</v>
      </c>
      <c r="X289" s="18" t="n">
        <f aca="false">ROUND($W289,2)</f>
        <v>2.16</v>
      </c>
      <c r="Y289" s="8" t="str">
        <f aca="false">IF($X289&lt;=2,"Low",IF($X289&lt;=3.49,"Medium","High"))</f>
        <v>Medium</v>
      </c>
      <c r="Z289" s="8" t="str">
        <f aca="false">IF(OR($F289&gt;=3,$E289=5,$D289=5,$C289=5,$G289=5,$H289=5,$I289=5,$J289=5,Customers!$W289="Yes"),"Yes","No")</f>
        <v>No</v>
      </c>
      <c r="AA289" s="15" t="str">
        <f aca="false">IF($Z289="Yes","High",$Y289)</f>
        <v>Medium</v>
      </c>
      <c r="AB289" s="18" t="n">
        <f aca="false">SUMPRODUCT($C289:$G289,Weights!$C$28:$G$28)</f>
        <v>1.95</v>
      </c>
      <c r="AC289" s="18" t="n">
        <f aca="false">SUMPRODUCT($H289:$J289,Weights!$H$28:$J$28)</f>
        <v>1.4</v>
      </c>
      <c r="AD289" s="18" t="n">
        <f aca="false">SUMPRODUCT($K289:$N289,Weights!$K$28:$N$28)</f>
        <v>2.8</v>
      </c>
      <c r="AE289" s="18" t="n">
        <f aca="false">SUMPRODUCT($O289:$Q289,Weights!$O$28:$Q$28)</f>
        <v>1.9</v>
      </c>
      <c r="AF289" s="18" t="n">
        <f aca="false">SUMPRODUCT($R289:$V289,Weights!$R$28:$V$28)</f>
        <v>3.15</v>
      </c>
      <c r="AH289" s="18" t="n">
        <f aca="false">SUMPRODUCT($AB289:$AF289,Validation!$D$7:$H$7)</f>
        <v>2.18714285714315</v>
      </c>
      <c r="AI289" s="18" t="n">
        <f aca="false">SUMPRODUCT($AB289:$AF289,Validation!$D$8:$H$8)</f>
        <v>2.12785714285685</v>
      </c>
      <c r="AJ289" s="18" t="n">
        <f aca="false">SUMPRODUCT($AB289:$AF289,Validation!$D$9:$H$9)</f>
        <v>2.2585000000003</v>
      </c>
      <c r="AK289" s="18" t="n">
        <f aca="false">SUMPRODUCT($AB289:$AF289,Validation!$D$10:$H$10)</f>
        <v>2.0564999999997</v>
      </c>
      <c r="AL289" s="18" t="n">
        <f aca="false">SUMPRODUCT($AB289:$AF289,Validation!$D$11:$H$11)</f>
        <v>2.0771875</v>
      </c>
      <c r="AM289" s="18" t="n">
        <f aca="false">SUMPRODUCT($AB289:$AF289,Validation!$D$12:$H$12)</f>
        <v>2.2378125</v>
      </c>
      <c r="AN289" s="18" t="n">
        <f aca="false">SUMPRODUCT($AB289:$AF289,Validation!$D$13:$H$13)</f>
        <v>2.1861111111112</v>
      </c>
      <c r="AO289" s="18" t="n">
        <f aca="false">SUMPRODUCT($AB289:$AF289,Validation!$D$14:$H$14)</f>
        <v>2.1288888888888</v>
      </c>
      <c r="AP289" s="18" t="n">
        <f aca="false">SUMPRODUCT($AB289:$AF289,Validation!$D$15:$H$15)</f>
        <v>2.04073529411785</v>
      </c>
      <c r="AQ289" s="18" t="n">
        <f aca="false">SUMPRODUCT($AB289:$AF289,Validation!$D$16:$H$16)</f>
        <v>2.27426470588215</v>
      </c>
      <c r="AR289" s="8" t="n">
        <f aca="false">COUNTIF($C289:$V289,"&gt;=4")</f>
        <v>5</v>
      </c>
      <c r="AS289" s="8" t="str">
        <f aca="false">IF($X289&lt;=1.6,"Low",IF($X289&lt;=2.2,"Medium","High"))</f>
        <v>Medium</v>
      </c>
      <c r="AT289" s="8" t="str">
        <f aca="false">IF($AR289=0,"Low",IF($AR289&lt;3,"Medium","High"))</f>
        <v>High</v>
      </c>
      <c r="AU289" s="8" t="str">
        <f aca="false">IF(OR($AS289="High",$AT289="High"),"High",IF(OR($AS289="Medium",$AT289="Medium"),"Medium","Low"))</f>
        <v>High</v>
      </c>
      <c r="AV289" s="15" t="str">
        <f aca="false">IF($Z289="Yes","High",$AU289)</f>
        <v>High</v>
      </c>
    </row>
    <row r="290" customFormat="false" ht="15" hidden="false" customHeight="false" outlineLevel="0" collapsed="false">
      <c r="A290" s="7" t="str">
        <f aca="false">Customers!$A290</f>
        <v>NG-10382</v>
      </c>
      <c r="B290" s="7" t="str">
        <f aca="false">Customers!$B290</f>
        <v>Limited company</v>
      </c>
      <c r="C290" s="8" t="n">
        <f aca="false">INDEX(Mapping!$C$2:$C$99,MATCH(C$1&amp;"|"&amp;Customers!C290,Mapping!$D$2:$D$99,0))</f>
        <v>4</v>
      </c>
      <c r="D290" s="8" t="n">
        <f aca="false">INDEX(Mapping!$C$2:$C$99,MATCH(D$1&amp;"|"&amp;Customers!D290,Mapping!$D$2:$D$99,0))</f>
        <v>4</v>
      </c>
      <c r="E290" s="8" t="n">
        <f aca="false">INDEX(Mapping!$C$2:$C$99,MATCH(E$1&amp;"|"&amp;Customers!E290,Mapping!$D$2:$D$99,0))</f>
        <v>5</v>
      </c>
      <c r="F290" s="8" t="n">
        <f aca="false">INDEX(Mapping!$C$2:$C$99,MATCH(F$1&amp;"|"&amp;Customers!F290,Mapping!$D$2:$D$99,0))</f>
        <v>1</v>
      </c>
      <c r="G290" s="8" t="n">
        <f aca="false">INDEX(Mapping!$C$2:$C$99,MATCH(G$1&amp;"|"&amp;Customers!G290,Mapping!$D$2:$D$99,0))</f>
        <v>1</v>
      </c>
      <c r="H290" s="8" t="n">
        <f aca="false">INDEX(Mapping!$C$2:$C$99,MATCH(H$1&amp;"|"&amp;Customers!H290,Mapping!$D$2:$D$99,0))</f>
        <v>1</v>
      </c>
      <c r="I290" s="8" t="n">
        <f aca="false">INDEX(Mapping!$C$2:$C$99,MATCH(I$1&amp;"|"&amp;Customers!I290,Mapping!$D$2:$D$99,0))</f>
        <v>1</v>
      </c>
      <c r="J290" s="8" t="n">
        <f aca="false">INDEX(Mapping!$C$2:$C$99,MATCH(J$1&amp;"|"&amp;Customers!J290,Mapping!$D$2:$D$99,0))</f>
        <v>1</v>
      </c>
      <c r="K290" s="8" t="n">
        <f aca="false">INDEX(Mapping!$C$2:$C$99,MATCH(K$1&amp;"|"&amp;Customers!K290,Mapping!$D$2:$D$99,0))</f>
        <v>5</v>
      </c>
      <c r="L290" s="8" t="n">
        <f aca="false">INDEX(Mapping!$C$2:$C$99,MATCH(L$1&amp;"|"&amp;Customers!L290,Mapping!$D$2:$D$99,0))</f>
        <v>5</v>
      </c>
      <c r="M290" s="8" t="n">
        <f aca="false">INDEX(Mapping!$C$2:$C$99,MATCH(M$1&amp;"|"&amp;Customers!M290,Mapping!$D$2:$D$99,0))</f>
        <v>2</v>
      </c>
      <c r="N290" s="8" t="n">
        <f aca="false">INDEX(Mapping!$C$2:$C$99,MATCH(N$1&amp;"|"&amp;Customers!N290,Mapping!$D$2:$D$99,0))</f>
        <v>3</v>
      </c>
      <c r="O290" s="8" t="n">
        <f aca="false">INDEX(Mapping!$C$2:$C$99,MATCH(O$1&amp;"|"&amp;Customers!O290,Mapping!$D$2:$D$99,0))</f>
        <v>3</v>
      </c>
      <c r="P290" s="8" t="n">
        <f aca="false">INDEX(Mapping!$C$2:$C$99,MATCH(P$1&amp;"|"&amp;Customers!P290,Mapping!$D$2:$D$99,0))</f>
        <v>2</v>
      </c>
      <c r="Q290" s="8" t="n">
        <f aca="false">INDEX(Mapping!$C$2:$C$99,MATCH(Q$1&amp;"|"&amp;Customers!Q290,Mapping!$D$2:$D$99,0))</f>
        <v>1</v>
      </c>
      <c r="R290" s="8" t="n">
        <f aca="false">INDEX(Mapping!$C$2:$C$99,MATCH(R$1&amp;"|"&amp;Customers!R290,Mapping!$D$2:$D$99,0))</f>
        <v>2</v>
      </c>
      <c r="S290" s="8" t="n">
        <f aca="false">INDEX(Mapping!$C$2:$C$99,MATCH(S$1&amp;"|"&amp;Customers!S290,Mapping!$D$2:$D$99,0))</f>
        <v>3</v>
      </c>
      <c r="T290" s="8" t="n">
        <f aca="false">INDEX(Mapping!$C$2:$C$99,MATCH(T$1&amp;"|"&amp;Customers!T290,Mapping!$D$2:$D$99,0))</f>
        <v>1</v>
      </c>
      <c r="U290" s="8" t="n">
        <f aca="false">INDEX(Mapping!$C$2:$C$99,MATCH(U$1&amp;"|"&amp;Customers!U290,Mapping!$D$2:$D$99,0))</f>
        <v>2</v>
      </c>
      <c r="V290" s="8" t="n">
        <f aca="false">INDEX(Mapping!$C$2:$C$99,MATCH(V$1&amp;"|"&amp;Customers!V290,Mapping!$D$2:$D$99,0))</f>
        <v>1</v>
      </c>
      <c r="W290" s="17" t="n">
        <f aca="false">SUMPRODUCT($C290:$V290,Weights!$C$27:$V$27)</f>
        <v>2.525</v>
      </c>
      <c r="X290" s="18" t="n">
        <f aca="false">ROUND($W290,2)</f>
        <v>2.53</v>
      </c>
      <c r="Y290" s="8" t="str">
        <f aca="false">IF($X290&lt;=2,"Low",IF($X290&lt;=3.49,"Medium","High"))</f>
        <v>Medium</v>
      </c>
      <c r="Z290" s="8" t="str">
        <f aca="false">IF(OR($F290&gt;=3,$E290=5,$D290=5,$C290=5,$G290=5,$H290=5,$I290=5,$J290=5,Customers!$W290="Yes"),"Yes","No")</f>
        <v>Yes</v>
      </c>
      <c r="AA290" s="15" t="str">
        <f aca="false">IF($Z290="Yes","High",$Y290)</f>
        <v>High</v>
      </c>
      <c r="AB290" s="18" t="n">
        <f aca="false">SUMPRODUCT($C290:$G290,Weights!$C$28:$G$28)</f>
        <v>3.2</v>
      </c>
      <c r="AC290" s="18" t="n">
        <f aca="false">SUMPRODUCT($H290:$J290,Weights!$H$28:$J$28)</f>
        <v>1</v>
      </c>
      <c r="AD290" s="18" t="n">
        <f aca="false">SUMPRODUCT($K290:$N290,Weights!$K$28:$N$28)</f>
        <v>3.95</v>
      </c>
      <c r="AE290" s="18" t="n">
        <f aca="false">SUMPRODUCT($O290:$Q290,Weights!$O$28:$Q$28)</f>
        <v>2.25</v>
      </c>
      <c r="AF290" s="18" t="n">
        <f aca="false">SUMPRODUCT($R290:$V290,Weights!$R$28:$V$28)</f>
        <v>2</v>
      </c>
      <c r="AH290" s="18" t="n">
        <f aca="false">SUMPRODUCT($AB290:$AF290,Validation!$D$7:$H$7)</f>
        <v>2.42857142857095</v>
      </c>
      <c r="AI290" s="18" t="n">
        <f aca="false">SUMPRODUCT($AB290:$AF290,Validation!$D$8:$H$8)</f>
        <v>2.62142857142905</v>
      </c>
      <c r="AJ290" s="18" t="n">
        <f aca="false">SUMPRODUCT($AB290:$AF290,Validation!$D$9:$H$9)</f>
        <v>2.7283333333339</v>
      </c>
      <c r="AK290" s="18" t="n">
        <f aca="false">SUMPRODUCT($AB290:$AF290,Validation!$D$10:$H$10)</f>
        <v>2.3216666666661</v>
      </c>
      <c r="AL290" s="18" t="n">
        <f aca="false">SUMPRODUCT($AB290:$AF290,Validation!$D$11:$H$11)</f>
        <v>2.346875</v>
      </c>
      <c r="AM290" s="18" t="n">
        <f aca="false">SUMPRODUCT($AB290:$AF290,Validation!$D$12:$H$12)</f>
        <v>2.703125</v>
      </c>
      <c r="AN290" s="18" t="n">
        <f aca="false">SUMPRODUCT($AB290:$AF290,Validation!$D$13:$H$13)</f>
        <v>2.5555555555545</v>
      </c>
      <c r="AO290" s="18" t="n">
        <f aca="false">SUMPRODUCT($AB290:$AF290,Validation!$D$14:$H$14)</f>
        <v>2.4944444444455</v>
      </c>
      <c r="AP290" s="18" t="n">
        <f aca="false">SUMPRODUCT($AB290:$AF290,Validation!$D$15:$H$15)</f>
        <v>2.58676470588265</v>
      </c>
      <c r="AQ290" s="18" t="n">
        <f aca="false">SUMPRODUCT($AB290:$AF290,Validation!$D$16:$H$16)</f>
        <v>2.46323529411735</v>
      </c>
      <c r="AR290" s="8" t="n">
        <f aca="false">COUNTIF($C290:$V290,"&gt;=4")</f>
        <v>5</v>
      </c>
      <c r="AS290" s="8" t="str">
        <f aca="false">IF($X290&lt;=1.6,"Low",IF($X290&lt;=2.2,"Medium","High"))</f>
        <v>High</v>
      </c>
      <c r="AT290" s="8" t="str">
        <f aca="false">IF($AR290=0,"Low",IF($AR290&lt;3,"Medium","High"))</f>
        <v>High</v>
      </c>
      <c r="AU290" s="8" t="str">
        <f aca="false">IF(OR($AS290="High",$AT290="High"),"High",IF(OR($AS290="Medium",$AT290="Medium"),"Medium","Low"))</f>
        <v>High</v>
      </c>
      <c r="AV290" s="15" t="str">
        <f aca="false">IF($Z290="Yes","High",$AU290)</f>
        <v>High</v>
      </c>
    </row>
    <row r="291" customFormat="false" ht="15" hidden="false" customHeight="false" outlineLevel="0" collapsed="false">
      <c r="A291" s="7" t="str">
        <f aca="false">Customers!$A291</f>
        <v>NG-10006</v>
      </c>
      <c r="B291" s="7" t="str">
        <f aca="false">Customers!$B291</f>
        <v>Personal</v>
      </c>
      <c r="C291" s="8" t="n">
        <f aca="false">INDEX(Mapping!$C$2:$C$99,MATCH(C$1&amp;"|"&amp;Customers!C291,Mapping!$D$2:$D$99,0))</f>
        <v>1</v>
      </c>
      <c r="D291" s="8" t="n">
        <f aca="false">INDEX(Mapping!$C$2:$C$99,MATCH(D$1&amp;"|"&amp;Customers!D291,Mapping!$D$2:$D$99,0))</f>
        <v>1</v>
      </c>
      <c r="E291" s="8" t="n">
        <f aca="false">INDEX(Mapping!$C$2:$C$99,MATCH(E$1&amp;"|"&amp;Customers!E291,Mapping!$D$2:$D$99,0))</f>
        <v>3</v>
      </c>
      <c r="F291" s="8" t="n">
        <f aca="false">INDEX(Mapping!$C$2:$C$99,MATCH(F$1&amp;"|"&amp;Customers!F291,Mapping!$D$2:$D$99,0))</f>
        <v>1</v>
      </c>
      <c r="G291" s="8" t="n">
        <f aca="false">INDEX(Mapping!$C$2:$C$99,MATCH(G$1&amp;"|"&amp;Customers!G291,Mapping!$D$2:$D$99,0))</f>
        <v>1</v>
      </c>
      <c r="H291" s="8" t="n">
        <f aca="false">INDEX(Mapping!$C$2:$C$99,MATCH(H$1&amp;"|"&amp;Customers!H291,Mapping!$D$2:$D$99,0))</f>
        <v>1</v>
      </c>
      <c r="I291" s="8" t="n">
        <f aca="false">INDEX(Mapping!$C$2:$C$99,MATCH(I$1&amp;"|"&amp;Customers!I291,Mapping!$D$2:$D$99,0))</f>
        <v>1</v>
      </c>
      <c r="J291" s="8" t="n">
        <f aca="false">INDEX(Mapping!$C$2:$C$99,MATCH(J$1&amp;"|"&amp;Customers!J291,Mapping!$D$2:$D$99,0))</f>
        <v>1</v>
      </c>
      <c r="K291" s="8" t="n">
        <f aca="false">INDEX(Mapping!$C$2:$C$99,MATCH(K$1&amp;"|"&amp;Customers!K291,Mapping!$D$2:$D$99,0))</f>
        <v>3</v>
      </c>
      <c r="L291" s="8" t="n">
        <f aca="false">INDEX(Mapping!$C$2:$C$99,MATCH(L$1&amp;"|"&amp;Customers!L291,Mapping!$D$2:$D$99,0))</f>
        <v>3</v>
      </c>
      <c r="M291" s="8" t="n">
        <f aca="false">INDEX(Mapping!$C$2:$C$99,MATCH(M$1&amp;"|"&amp;Customers!M291,Mapping!$D$2:$D$99,0))</f>
        <v>1</v>
      </c>
      <c r="N291" s="8" t="n">
        <f aca="false">INDEX(Mapping!$C$2:$C$99,MATCH(N$1&amp;"|"&amp;Customers!N291,Mapping!$D$2:$D$99,0))</f>
        <v>1</v>
      </c>
      <c r="O291" s="8" t="n">
        <f aca="false">INDEX(Mapping!$C$2:$C$99,MATCH(O$1&amp;"|"&amp;Customers!O291,Mapping!$D$2:$D$99,0))</f>
        <v>4</v>
      </c>
      <c r="P291" s="8" t="n">
        <f aca="false">INDEX(Mapping!$C$2:$C$99,MATCH(P$1&amp;"|"&amp;Customers!P291,Mapping!$D$2:$D$99,0))</f>
        <v>1</v>
      </c>
      <c r="Q291" s="8" t="n">
        <f aca="false">INDEX(Mapping!$C$2:$C$99,MATCH(Q$1&amp;"|"&amp;Customers!Q291,Mapping!$D$2:$D$99,0))</f>
        <v>2</v>
      </c>
      <c r="R291" s="8" t="n">
        <f aca="false">INDEX(Mapping!$C$2:$C$99,MATCH(R$1&amp;"|"&amp;Customers!R291,Mapping!$D$2:$D$99,0))</f>
        <v>1</v>
      </c>
      <c r="S291" s="8" t="n">
        <f aca="false">INDEX(Mapping!$C$2:$C$99,MATCH(S$1&amp;"|"&amp;Customers!S291,Mapping!$D$2:$D$99,0))</f>
        <v>1</v>
      </c>
      <c r="T291" s="8" t="n">
        <f aca="false">INDEX(Mapping!$C$2:$C$99,MATCH(T$1&amp;"|"&amp;Customers!T291,Mapping!$D$2:$D$99,0))</f>
        <v>2</v>
      </c>
      <c r="U291" s="8" t="n">
        <f aca="false">INDEX(Mapping!$C$2:$C$99,MATCH(U$1&amp;"|"&amp;Customers!U291,Mapping!$D$2:$D$99,0))</f>
        <v>1</v>
      </c>
      <c r="V291" s="8" t="n">
        <f aca="false">INDEX(Mapping!$C$2:$C$99,MATCH(V$1&amp;"|"&amp;Customers!V291,Mapping!$D$2:$D$99,0))</f>
        <v>1</v>
      </c>
      <c r="W291" s="17" t="n">
        <f aca="false">SUMPRODUCT($C291:$V291,Weights!$C$27:$V$27)</f>
        <v>1.575</v>
      </c>
      <c r="X291" s="18" t="n">
        <f aca="false">ROUND($W291,2)</f>
        <v>1.58</v>
      </c>
      <c r="Y291" s="8" t="str">
        <f aca="false">IF($X291&lt;=2,"Low",IF($X291&lt;=3.49,"Medium","High"))</f>
        <v>Low</v>
      </c>
      <c r="Z291" s="8" t="str">
        <f aca="false">IF(OR($F291&gt;=3,$E291=5,$D291=5,$C291=5,$G291=5,$H291=5,$I291=5,$J291=5,Customers!$W291="Yes"),"Yes","No")</f>
        <v>No</v>
      </c>
      <c r="AA291" s="15" t="str">
        <f aca="false">IF($Z291="Yes","High",$Y291)</f>
        <v>Low</v>
      </c>
      <c r="AB291" s="18" t="n">
        <f aca="false">SUMPRODUCT($C291:$G291,Weights!$C$28:$G$28)</f>
        <v>1.5</v>
      </c>
      <c r="AC291" s="18" t="n">
        <f aca="false">SUMPRODUCT($H291:$J291,Weights!$H$28:$J$28)</f>
        <v>1</v>
      </c>
      <c r="AD291" s="18" t="n">
        <f aca="false">SUMPRODUCT($K291:$N291,Weights!$K$28:$N$28)</f>
        <v>2.2</v>
      </c>
      <c r="AE291" s="18" t="n">
        <f aca="false">SUMPRODUCT($O291:$Q291,Weights!$O$28:$Q$28)</f>
        <v>2.55</v>
      </c>
      <c r="AF291" s="18" t="n">
        <f aca="false">SUMPRODUCT($R291:$V291,Weights!$R$28:$V$28)</f>
        <v>1.2</v>
      </c>
      <c r="AH291" s="18" t="n">
        <f aca="false">SUMPRODUCT($AB291:$AF291,Validation!$D$7:$H$7)</f>
        <v>1.5857142857143</v>
      </c>
      <c r="AI291" s="18" t="n">
        <f aca="false">SUMPRODUCT($AB291:$AF291,Validation!$D$8:$H$8)</f>
        <v>1.5642857142857</v>
      </c>
      <c r="AJ291" s="18" t="n">
        <f aca="false">SUMPRODUCT($AB291:$AF291,Validation!$D$9:$H$9)</f>
        <v>1.65166666666655</v>
      </c>
      <c r="AK291" s="18" t="n">
        <f aca="false">SUMPRODUCT($AB291:$AF291,Validation!$D$10:$H$10)</f>
        <v>1.49833333333345</v>
      </c>
      <c r="AL291" s="18" t="n">
        <f aca="false">SUMPRODUCT($AB291:$AF291,Validation!$D$11:$H$11)</f>
        <v>1.496875</v>
      </c>
      <c r="AM291" s="18" t="n">
        <f aca="false">SUMPRODUCT($AB291:$AF291,Validation!$D$12:$H$12)</f>
        <v>1.653125</v>
      </c>
      <c r="AN291" s="18" t="n">
        <f aca="false">SUMPRODUCT($AB291:$AF291,Validation!$D$13:$H$13)</f>
        <v>1.4666666666663</v>
      </c>
      <c r="AO291" s="18" t="n">
        <f aca="false">SUMPRODUCT($AB291:$AF291,Validation!$D$14:$H$14)</f>
        <v>1.6833333333337</v>
      </c>
      <c r="AP291" s="18" t="n">
        <f aca="false">SUMPRODUCT($AB291:$AF291,Validation!$D$15:$H$15)</f>
        <v>1.6191176470586</v>
      </c>
      <c r="AQ291" s="18" t="n">
        <f aca="false">SUMPRODUCT($AB291:$AF291,Validation!$D$16:$H$16)</f>
        <v>1.5308823529414</v>
      </c>
      <c r="AR291" s="8" t="n">
        <f aca="false">COUNTIF($C291:$V291,"&gt;=4")</f>
        <v>1</v>
      </c>
      <c r="AS291" s="8" t="str">
        <f aca="false">IF($X291&lt;=1.6,"Low",IF($X291&lt;=2.2,"Medium","High"))</f>
        <v>Low</v>
      </c>
      <c r="AT291" s="8" t="str">
        <f aca="false">IF($AR291=0,"Low",IF($AR291&lt;3,"Medium","High"))</f>
        <v>Medium</v>
      </c>
      <c r="AU291" s="8" t="str">
        <f aca="false">IF(OR($AS291="High",$AT291="High"),"High",IF(OR($AS291="Medium",$AT291="Medium"),"Medium","Low"))</f>
        <v>Medium</v>
      </c>
      <c r="AV291" s="15" t="str">
        <f aca="false">IF($Z291="Yes","High",$AU291)</f>
        <v>Medium</v>
      </c>
    </row>
    <row r="292" customFormat="false" ht="15" hidden="false" customHeight="false" outlineLevel="0" collapsed="false">
      <c r="A292" s="7" t="str">
        <f aca="false">Customers!$A292</f>
        <v>NG-10158</v>
      </c>
      <c r="B292" s="7" t="str">
        <f aca="false">Customers!$B292</f>
        <v>Personal</v>
      </c>
      <c r="C292" s="8" t="n">
        <f aca="false">INDEX(Mapping!$C$2:$C$99,MATCH(C$1&amp;"|"&amp;Customers!C292,Mapping!$D$2:$D$99,0))</f>
        <v>1</v>
      </c>
      <c r="D292" s="8" t="n">
        <f aca="false">INDEX(Mapping!$C$2:$C$99,MATCH(D$1&amp;"|"&amp;Customers!D292,Mapping!$D$2:$D$99,0))</f>
        <v>1</v>
      </c>
      <c r="E292" s="8" t="n">
        <f aca="false">INDEX(Mapping!$C$2:$C$99,MATCH(E$1&amp;"|"&amp;Customers!E292,Mapping!$D$2:$D$99,0))</f>
        <v>3</v>
      </c>
      <c r="F292" s="8" t="n">
        <f aca="false">INDEX(Mapping!$C$2:$C$99,MATCH(F$1&amp;"|"&amp;Customers!F292,Mapping!$D$2:$D$99,0))</f>
        <v>1</v>
      </c>
      <c r="G292" s="8" t="n">
        <f aca="false">INDEX(Mapping!$C$2:$C$99,MATCH(G$1&amp;"|"&amp;Customers!G292,Mapping!$D$2:$D$99,0))</f>
        <v>1</v>
      </c>
      <c r="H292" s="8" t="n">
        <f aca="false">INDEX(Mapping!$C$2:$C$99,MATCH(H$1&amp;"|"&amp;Customers!H292,Mapping!$D$2:$D$99,0))</f>
        <v>1</v>
      </c>
      <c r="I292" s="8" t="n">
        <f aca="false">INDEX(Mapping!$C$2:$C$99,MATCH(I$1&amp;"|"&amp;Customers!I292,Mapping!$D$2:$D$99,0))</f>
        <v>1</v>
      </c>
      <c r="J292" s="8" t="n">
        <f aca="false">INDEX(Mapping!$C$2:$C$99,MATCH(J$1&amp;"|"&amp;Customers!J292,Mapping!$D$2:$D$99,0))</f>
        <v>2</v>
      </c>
      <c r="K292" s="8" t="n">
        <f aca="false">INDEX(Mapping!$C$2:$C$99,MATCH(K$1&amp;"|"&amp;Customers!K292,Mapping!$D$2:$D$99,0))</f>
        <v>2</v>
      </c>
      <c r="L292" s="8" t="n">
        <f aca="false">INDEX(Mapping!$C$2:$C$99,MATCH(L$1&amp;"|"&amp;Customers!L292,Mapping!$D$2:$D$99,0))</f>
        <v>3</v>
      </c>
      <c r="M292" s="8" t="n">
        <f aca="false">INDEX(Mapping!$C$2:$C$99,MATCH(M$1&amp;"|"&amp;Customers!M292,Mapping!$D$2:$D$99,0))</f>
        <v>3</v>
      </c>
      <c r="N292" s="8" t="n">
        <f aca="false">INDEX(Mapping!$C$2:$C$99,MATCH(N$1&amp;"|"&amp;Customers!N292,Mapping!$D$2:$D$99,0))</f>
        <v>1</v>
      </c>
      <c r="O292" s="8" t="n">
        <f aca="false">INDEX(Mapping!$C$2:$C$99,MATCH(O$1&amp;"|"&amp;Customers!O292,Mapping!$D$2:$D$99,0))</f>
        <v>4</v>
      </c>
      <c r="P292" s="8" t="n">
        <f aca="false">INDEX(Mapping!$C$2:$C$99,MATCH(P$1&amp;"|"&amp;Customers!P292,Mapping!$D$2:$D$99,0))</f>
        <v>3</v>
      </c>
      <c r="Q292" s="8" t="n">
        <f aca="false">INDEX(Mapping!$C$2:$C$99,MATCH(Q$1&amp;"|"&amp;Customers!Q292,Mapping!$D$2:$D$99,0))</f>
        <v>1</v>
      </c>
      <c r="R292" s="8" t="n">
        <f aca="false">INDEX(Mapping!$C$2:$C$99,MATCH(R$1&amp;"|"&amp;Customers!R292,Mapping!$D$2:$D$99,0))</f>
        <v>1</v>
      </c>
      <c r="S292" s="8" t="n">
        <f aca="false">INDEX(Mapping!$C$2:$C$99,MATCH(S$1&amp;"|"&amp;Customers!S292,Mapping!$D$2:$D$99,0))</f>
        <v>2</v>
      </c>
      <c r="T292" s="8" t="n">
        <f aca="false">INDEX(Mapping!$C$2:$C$99,MATCH(T$1&amp;"|"&amp;Customers!T292,Mapping!$D$2:$D$99,0))</f>
        <v>2</v>
      </c>
      <c r="U292" s="8" t="n">
        <f aca="false">INDEX(Mapping!$C$2:$C$99,MATCH(U$1&amp;"|"&amp;Customers!U292,Mapping!$D$2:$D$99,0))</f>
        <v>1</v>
      </c>
      <c r="V292" s="8" t="n">
        <f aca="false">INDEX(Mapping!$C$2:$C$99,MATCH(V$1&amp;"|"&amp;Customers!V292,Mapping!$D$2:$D$99,0))</f>
        <v>1</v>
      </c>
      <c r="W292" s="17" t="n">
        <f aca="false">SUMPRODUCT($C292:$V292,Weights!$C$27:$V$27)</f>
        <v>1.8</v>
      </c>
      <c r="X292" s="18" t="n">
        <f aca="false">ROUND($W292,2)</f>
        <v>1.8</v>
      </c>
      <c r="Y292" s="8" t="str">
        <f aca="false">IF($X292&lt;=2,"Low",IF($X292&lt;=3.49,"Medium","High"))</f>
        <v>Low</v>
      </c>
      <c r="Z292" s="8" t="str">
        <f aca="false">IF(OR($F292&gt;=3,$E292=5,$D292=5,$C292=5,$G292=5,$H292=5,$I292=5,$J292=5,Customers!$W292="Yes"),"Yes","No")</f>
        <v>No</v>
      </c>
      <c r="AA292" s="15" t="str">
        <f aca="false">IF($Z292="Yes","High",$Y292)</f>
        <v>Low</v>
      </c>
      <c r="AB292" s="18" t="n">
        <f aca="false">SUMPRODUCT($C292:$G292,Weights!$C$28:$G$28)</f>
        <v>1.5</v>
      </c>
      <c r="AC292" s="18" t="n">
        <f aca="false">SUMPRODUCT($H292:$J292,Weights!$H$28:$J$28)</f>
        <v>1.4</v>
      </c>
      <c r="AD292" s="18" t="n">
        <f aca="false">SUMPRODUCT($K292:$N292,Weights!$K$28:$N$28)</f>
        <v>2.35</v>
      </c>
      <c r="AE292" s="18" t="n">
        <f aca="false">SUMPRODUCT($O292:$Q292,Weights!$O$28:$Q$28)</f>
        <v>3.05</v>
      </c>
      <c r="AF292" s="18" t="n">
        <f aca="false">SUMPRODUCT($R292:$V292,Weights!$R$28:$V$28)</f>
        <v>1.5</v>
      </c>
      <c r="AH292" s="18" t="n">
        <f aca="false">SUMPRODUCT($AB292:$AF292,Validation!$D$7:$H$7)</f>
        <v>1.84285714285725</v>
      </c>
      <c r="AI292" s="18" t="n">
        <f aca="false">SUMPRODUCT($AB292:$AF292,Validation!$D$8:$H$8)</f>
        <v>1.75714285714275</v>
      </c>
      <c r="AJ292" s="18" t="n">
        <f aca="false">SUMPRODUCT($AB292:$AF292,Validation!$D$9:$H$9)</f>
        <v>1.8533333333331</v>
      </c>
      <c r="AK292" s="18" t="n">
        <f aca="false">SUMPRODUCT($AB292:$AF292,Validation!$D$10:$H$10)</f>
        <v>1.7466666666669</v>
      </c>
      <c r="AL292" s="18" t="n">
        <f aca="false">SUMPRODUCT($AB292:$AF292,Validation!$D$11:$H$11)</f>
        <v>1.73125</v>
      </c>
      <c r="AM292" s="18" t="n">
        <f aca="false">SUMPRODUCT($AB292:$AF292,Validation!$D$12:$H$12)</f>
        <v>1.86875</v>
      </c>
      <c r="AN292" s="18" t="n">
        <f aca="false">SUMPRODUCT($AB292:$AF292,Validation!$D$13:$H$13)</f>
        <v>1.6611111111109</v>
      </c>
      <c r="AO292" s="18" t="n">
        <f aca="false">SUMPRODUCT($AB292:$AF292,Validation!$D$14:$H$14)</f>
        <v>1.9388888888891</v>
      </c>
      <c r="AP292" s="18" t="n">
        <f aca="false">SUMPRODUCT($AB292:$AF292,Validation!$D$15:$H$15)</f>
        <v>1.83529411764675</v>
      </c>
      <c r="AQ292" s="18" t="n">
        <f aca="false">SUMPRODUCT($AB292:$AF292,Validation!$D$16:$H$16)</f>
        <v>1.76470588235325</v>
      </c>
      <c r="AR292" s="8" t="n">
        <f aca="false">COUNTIF($C292:$V292,"&gt;=4")</f>
        <v>1</v>
      </c>
      <c r="AS292" s="8" t="str">
        <f aca="false">IF($X292&lt;=1.6,"Low",IF($X292&lt;=2.2,"Medium","High"))</f>
        <v>Medium</v>
      </c>
      <c r="AT292" s="8" t="str">
        <f aca="false">IF($AR292=0,"Low",IF($AR292&lt;3,"Medium","High"))</f>
        <v>Medium</v>
      </c>
      <c r="AU292" s="8" t="str">
        <f aca="false">IF(OR($AS292="High",$AT292="High"),"High",IF(OR($AS292="Medium",$AT292="Medium"),"Medium","Low"))</f>
        <v>Medium</v>
      </c>
      <c r="AV292" s="15" t="str">
        <f aca="false">IF($Z292="Yes","High",$AU292)</f>
        <v>Medium</v>
      </c>
    </row>
    <row r="293" customFormat="false" ht="15" hidden="false" customHeight="false" outlineLevel="0" collapsed="false">
      <c r="A293" s="7" t="str">
        <f aca="false">Customers!$A293</f>
        <v>NG-10256</v>
      </c>
      <c r="B293" s="7" t="str">
        <f aca="false">Customers!$B293</f>
        <v>Personal</v>
      </c>
      <c r="C293" s="8" t="n">
        <f aca="false">INDEX(Mapping!$C$2:$C$99,MATCH(C$1&amp;"|"&amp;Customers!C293,Mapping!$D$2:$D$99,0))</f>
        <v>1</v>
      </c>
      <c r="D293" s="8" t="n">
        <f aca="false">INDEX(Mapping!$C$2:$C$99,MATCH(D$1&amp;"|"&amp;Customers!D293,Mapping!$D$2:$D$99,0))</f>
        <v>1</v>
      </c>
      <c r="E293" s="8" t="n">
        <f aca="false">INDEX(Mapping!$C$2:$C$99,MATCH(E$1&amp;"|"&amp;Customers!E293,Mapping!$D$2:$D$99,0))</f>
        <v>1</v>
      </c>
      <c r="F293" s="8" t="n">
        <f aca="false">INDEX(Mapping!$C$2:$C$99,MATCH(F$1&amp;"|"&amp;Customers!F293,Mapping!$D$2:$D$99,0))</f>
        <v>1</v>
      </c>
      <c r="G293" s="8" t="n">
        <f aca="false">INDEX(Mapping!$C$2:$C$99,MATCH(G$1&amp;"|"&amp;Customers!G293,Mapping!$D$2:$D$99,0))</f>
        <v>1</v>
      </c>
      <c r="H293" s="8" t="n">
        <f aca="false">INDEX(Mapping!$C$2:$C$99,MATCH(H$1&amp;"|"&amp;Customers!H293,Mapping!$D$2:$D$99,0))</f>
        <v>1</v>
      </c>
      <c r="I293" s="8" t="n">
        <f aca="false">INDEX(Mapping!$C$2:$C$99,MATCH(I$1&amp;"|"&amp;Customers!I293,Mapping!$D$2:$D$99,0))</f>
        <v>1</v>
      </c>
      <c r="J293" s="8" t="n">
        <f aca="false">INDEX(Mapping!$C$2:$C$99,MATCH(J$1&amp;"|"&amp;Customers!J293,Mapping!$D$2:$D$99,0))</f>
        <v>2</v>
      </c>
      <c r="K293" s="8" t="n">
        <f aca="false">INDEX(Mapping!$C$2:$C$99,MATCH(K$1&amp;"|"&amp;Customers!K293,Mapping!$D$2:$D$99,0))</f>
        <v>3</v>
      </c>
      <c r="L293" s="8" t="n">
        <f aca="false">INDEX(Mapping!$C$2:$C$99,MATCH(L$1&amp;"|"&amp;Customers!L293,Mapping!$D$2:$D$99,0))</f>
        <v>2</v>
      </c>
      <c r="M293" s="8" t="n">
        <f aca="false">INDEX(Mapping!$C$2:$C$99,MATCH(M$1&amp;"|"&amp;Customers!M293,Mapping!$D$2:$D$99,0))</f>
        <v>2</v>
      </c>
      <c r="N293" s="8" t="n">
        <f aca="false">INDEX(Mapping!$C$2:$C$99,MATCH(N$1&amp;"|"&amp;Customers!N293,Mapping!$D$2:$D$99,0))</f>
        <v>1</v>
      </c>
      <c r="O293" s="8" t="n">
        <f aca="false">INDEX(Mapping!$C$2:$C$99,MATCH(O$1&amp;"|"&amp;Customers!O293,Mapping!$D$2:$D$99,0))</f>
        <v>3</v>
      </c>
      <c r="P293" s="8" t="n">
        <f aca="false">INDEX(Mapping!$C$2:$C$99,MATCH(P$1&amp;"|"&amp;Customers!P293,Mapping!$D$2:$D$99,0))</f>
        <v>3</v>
      </c>
      <c r="Q293" s="8" t="n">
        <f aca="false">INDEX(Mapping!$C$2:$C$99,MATCH(Q$1&amp;"|"&amp;Customers!Q293,Mapping!$D$2:$D$99,0))</f>
        <v>2</v>
      </c>
      <c r="R293" s="8" t="n">
        <f aca="false">INDEX(Mapping!$C$2:$C$99,MATCH(R$1&amp;"|"&amp;Customers!R293,Mapping!$D$2:$D$99,0))</f>
        <v>2</v>
      </c>
      <c r="S293" s="8" t="n">
        <f aca="false">INDEX(Mapping!$C$2:$C$99,MATCH(S$1&amp;"|"&amp;Customers!S293,Mapping!$D$2:$D$99,0))</f>
        <v>1</v>
      </c>
      <c r="T293" s="8" t="n">
        <f aca="false">INDEX(Mapping!$C$2:$C$99,MATCH(T$1&amp;"|"&amp;Customers!T293,Mapping!$D$2:$D$99,0))</f>
        <v>1</v>
      </c>
      <c r="U293" s="8" t="n">
        <f aca="false">INDEX(Mapping!$C$2:$C$99,MATCH(U$1&amp;"|"&amp;Customers!U293,Mapping!$D$2:$D$99,0))</f>
        <v>1</v>
      </c>
      <c r="V293" s="8" t="n">
        <f aca="false">INDEX(Mapping!$C$2:$C$99,MATCH(V$1&amp;"|"&amp;Customers!V293,Mapping!$D$2:$D$99,0))</f>
        <v>1</v>
      </c>
      <c r="W293" s="17" t="n">
        <f aca="false">SUMPRODUCT($C293:$V293,Weights!$C$27:$V$27)</f>
        <v>1.5575</v>
      </c>
      <c r="X293" s="18" t="n">
        <f aca="false">ROUND($W293,2)</f>
        <v>1.56</v>
      </c>
      <c r="Y293" s="8" t="str">
        <f aca="false">IF($X293&lt;=2,"Low",IF($X293&lt;=3.49,"Medium","High"))</f>
        <v>Low</v>
      </c>
      <c r="Z293" s="8" t="str">
        <f aca="false">IF(OR($F293&gt;=3,$E293=5,$D293=5,$C293=5,$G293=5,$H293=5,$I293=5,$J293=5,Customers!$W293="Yes"),"Yes","No")</f>
        <v>No</v>
      </c>
      <c r="AA293" s="15" t="str">
        <f aca="false">IF($Z293="Yes","High",$Y293)</f>
        <v>Low</v>
      </c>
      <c r="AB293" s="18" t="n">
        <f aca="false">SUMPRODUCT($C293:$G293,Weights!$C$28:$G$28)</f>
        <v>1</v>
      </c>
      <c r="AC293" s="18" t="n">
        <f aca="false">SUMPRODUCT($H293:$J293,Weights!$H$28:$J$28)</f>
        <v>1.4</v>
      </c>
      <c r="AD293" s="18" t="n">
        <f aca="false">SUMPRODUCT($K293:$N293,Weights!$K$28:$N$28)</f>
        <v>2.2</v>
      </c>
      <c r="AE293" s="18" t="n">
        <f aca="false">SUMPRODUCT($O293:$Q293,Weights!$O$28:$Q$28)</f>
        <v>2.8</v>
      </c>
      <c r="AF293" s="18" t="n">
        <f aca="false">SUMPRODUCT($R293:$V293,Weights!$R$28:$V$28)</f>
        <v>1.25</v>
      </c>
      <c r="AH293" s="18" t="n">
        <f aca="false">SUMPRODUCT($AB293:$AF293,Validation!$D$7:$H$7)</f>
        <v>1.63714285714285</v>
      </c>
      <c r="AI293" s="18" t="n">
        <f aca="false">SUMPRODUCT($AB293:$AF293,Validation!$D$8:$H$8)</f>
        <v>1.47785714285715</v>
      </c>
      <c r="AJ293" s="18" t="n">
        <f aca="false">SUMPRODUCT($AB293:$AF293,Validation!$D$9:$H$9)</f>
        <v>1.5784999999998</v>
      </c>
      <c r="AK293" s="18" t="n">
        <f aca="false">SUMPRODUCT($AB293:$AF293,Validation!$D$10:$H$10)</f>
        <v>1.5365000000002</v>
      </c>
      <c r="AL293" s="18" t="n">
        <f aca="false">SUMPRODUCT($AB293:$AF293,Validation!$D$11:$H$11)</f>
        <v>1.4771875</v>
      </c>
      <c r="AM293" s="18" t="n">
        <f aca="false">SUMPRODUCT($AB293:$AF293,Validation!$D$12:$H$12)</f>
        <v>1.6378125</v>
      </c>
      <c r="AN293" s="18" t="n">
        <f aca="false">SUMPRODUCT($AB293:$AF293,Validation!$D$13:$H$13)</f>
        <v>1.41944444444435</v>
      </c>
      <c r="AO293" s="18" t="n">
        <f aca="false">SUMPRODUCT($AB293:$AF293,Validation!$D$14:$H$14)</f>
        <v>1.69555555555565</v>
      </c>
      <c r="AP293" s="18" t="n">
        <f aca="false">SUMPRODUCT($AB293:$AF293,Validation!$D$15:$H$15)</f>
        <v>1.593676470588</v>
      </c>
      <c r="AQ293" s="18" t="n">
        <f aca="false">SUMPRODUCT($AB293:$AF293,Validation!$D$16:$H$16)</f>
        <v>1.521323529412</v>
      </c>
      <c r="AR293" s="8" t="n">
        <f aca="false">COUNTIF($C293:$V293,"&gt;=4")</f>
        <v>0</v>
      </c>
      <c r="AS293" s="8" t="str">
        <f aca="false">IF($X293&lt;=1.6,"Low",IF($X293&lt;=2.2,"Medium","High"))</f>
        <v>Low</v>
      </c>
      <c r="AT293" s="8" t="str">
        <f aca="false">IF($AR293=0,"Low",IF($AR293&lt;3,"Medium","High"))</f>
        <v>Low</v>
      </c>
      <c r="AU293" s="8" t="str">
        <f aca="false">IF(OR($AS293="High",$AT293="High"),"High",IF(OR($AS293="Medium",$AT293="Medium"),"Medium","Low"))</f>
        <v>Low</v>
      </c>
      <c r="AV293" s="15" t="str">
        <f aca="false">IF($Z293="Yes","High",$AU293)</f>
        <v>Low</v>
      </c>
    </row>
    <row r="294" customFormat="false" ht="15" hidden="false" customHeight="false" outlineLevel="0" collapsed="false">
      <c r="A294" s="7" t="str">
        <f aca="false">Customers!$A294</f>
        <v>NG-10344</v>
      </c>
      <c r="B294" s="7" t="str">
        <f aca="false">Customers!$B294</f>
        <v>Sole trader</v>
      </c>
      <c r="C294" s="8" t="n">
        <f aca="false">INDEX(Mapping!$C$2:$C$99,MATCH(C$1&amp;"|"&amp;Customers!C294,Mapping!$D$2:$D$99,0))</f>
        <v>2</v>
      </c>
      <c r="D294" s="8" t="n">
        <f aca="false">INDEX(Mapping!$C$2:$C$99,MATCH(D$1&amp;"|"&amp;Customers!D294,Mapping!$D$2:$D$99,0))</f>
        <v>1</v>
      </c>
      <c r="E294" s="8" t="n">
        <f aca="false">INDEX(Mapping!$C$2:$C$99,MATCH(E$1&amp;"|"&amp;Customers!E294,Mapping!$D$2:$D$99,0))</f>
        <v>4</v>
      </c>
      <c r="F294" s="8" t="n">
        <f aca="false">INDEX(Mapping!$C$2:$C$99,MATCH(F$1&amp;"|"&amp;Customers!F294,Mapping!$D$2:$D$99,0))</f>
        <v>3</v>
      </c>
      <c r="G294" s="8" t="n">
        <f aca="false">INDEX(Mapping!$C$2:$C$99,MATCH(G$1&amp;"|"&amp;Customers!G294,Mapping!$D$2:$D$99,0))</f>
        <v>1</v>
      </c>
      <c r="H294" s="8" t="n">
        <f aca="false">INDEX(Mapping!$C$2:$C$99,MATCH(H$1&amp;"|"&amp;Customers!H294,Mapping!$D$2:$D$99,0))</f>
        <v>1</v>
      </c>
      <c r="I294" s="8" t="n">
        <f aca="false">INDEX(Mapping!$C$2:$C$99,MATCH(I$1&amp;"|"&amp;Customers!I294,Mapping!$D$2:$D$99,0))</f>
        <v>1</v>
      </c>
      <c r="J294" s="8" t="n">
        <f aca="false">INDEX(Mapping!$C$2:$C$99,MATCH(J$1&amp;"|"&amp;Customers!J294,Mapping!$D$2:$D$99,0))</f>
        <v>1</v>
      </c>
      <c r="K294" s="8" t="n">
        <f aca="false">INDEX(Mapping!$C$2:$C$99,MATCH(K$1&amp;"|"&amp;Customers!K294,Mapping!$D$2:$D$99,0))</f>
        <v>4</v>
      </c>
      <c r="L294" s="8" t="n">
        <f aca="false">INDEX(Mapping!$C$2:$C$99,MATCH(L$1&amp;"|"&amp;Customers!L294,Mapping!$D$2:$D$99,0))</f>
        <v>5</v>
      </c>
      <c r="M294" s="8" t="n">
        <f aca="false">INDEX(Mapping!$C$2:$C$99,MATCH(M$1&amp;"|"&amp;Customers!M294,Mapping!$D$2:$D$99,0))</f>
        <v>3</v>
      </c>
      <c r="N294" s="8" t="n">
        <f aca="false">INDEX(Mapping!$C$2:$C$99,MATCH(N$1&amp;"|"&amp;Customers!N294,Mapping!$D$2:$D$99,0))</f>
        <v>1</v>
      </c>
      <c r="O294" s="8" t="n">
        <f aca="false">INDEX(Mapping!$C$2:$C$99,MATCH(O$1&amp;"|"&amp;Customers!O294,Mapping!$D$2:$D$99,0))</f>
        <v>3</v>
      </c>
      <c r="P294" s="8" t="n">
        <f aca="false">INDEX(Mapping!$C$2:$C$99,MATCH(P$1&amp;"|"&amp;Customers!P294,Mapping!$D$2:$D$99,0))</f>
        <v>2</v>
      </c>
      <c r="Q294" s="8" t="n">
        <f aca="false">INDEX(Mapping!$C$2:$C$99,MATCH(Q$1&amp;"|"&amp;Customers!Q294,Mapping!$D$2:$D$99,0))</f>
        <v>3</v>
      </c>
      <c r="R294" s="8" t="n">
        <f aca="false">INDEX(Mapping!$C$2:$C$99,MATCH(R$1&amp;"|"&amp;Customers!R294,Mapping!$D$2:$D$99,0))</f>
        <v>2</v>
      </c>
      <c r="S294" s="8" t="n">
        <f aca="false">INDEX(Mapping!$C$2:$C$99,MATCH(S$1&amp;"|"&amp;Customers!S294,Mapping!$D$2:$D$99,0))</f>
        <v>2</v>
      </c>
      <c r="T294" s="8" t="n">
        <f aca="false">INDEX(Mapping!$C$2:$C$99,MATCH(T$1&amp;"|"&amp;Customers!T294,Mapping!$D$2:$D$99,0))</f>
        <v>1</v>
      </c>
      <c r="U294" s="8" t="n">
        <f aca="false">INDEX(Mapping!$C$2:$C$99,MATCH(U$1&amp;"|"&amp;Customers!U294,Mapping!$D$2:$D$99,0))</f>
        <v>3</v>
      </c>
      <c r="V294" s="8" t="n">
        <f aca="false">INDEX(Mapping!$C$2:$C$99,MATCH(V$1&amp;"|"&amp;Customers!V294,Mapping!$D$2:$D$99,0))</f>
        <v>1</v>
      </c>
      <c r="W294" s="17" t="n">
        <f aca="false">SUMPRODUCT($C294:$V294,Weights!$C$27:$V$27)</f>
        <v>2.2075</v>
      </c>
      <c r="X294" s="18" t="n">
        <f aca="false">ROUND($W294,2)</f>
        <v>2.21</v>
      </c>
      <c r="Y294" s="8" t="str">
        <f aca="false">IF($X294&lt;=2,"Low",IF($X294&lt;=3.49,"Medium","High"))</f>
        <v>Medium</v>
      </c>
      <c r="Z294" s="8" t="str">
        <f aca="false">IF(OR($F294&gt;=3,$E294=5,$D294=5,$C294=5,$G294=5,$H294=5,$I294=5,$J294=5,Customers!$W294="Yes"),"Yes","No")</f>
        <v>Yes</v>
      </c>
      <c r="AA294" s="15" t="str">
        <f aca="false">IF($Z294="Yes","High",$Y294)</f>
        <v>High</v>
      </c>
      <c r="AB294" s="18" t="n">
        <f aca="false">SUMPRODUCT($C294:$G294,Weights!$C$28:$G$28)</f>
        <v>2.35</v>
      </c>
      <c r="AC294" s="18" t="n">
        <f aca="false">SUMPRODUCT($H294:$J294,Weights!$H$28:$J$28)</f>
        <v>1</v>
      </c>
      <c r="AD294" s="18" t="n">
        <f aca="false">SUMPRODUCT($K294:$N294,Weights!$K$28:$N$28)</f>
        <v>3.55</v>
      </c>
      <c r="AE294" s="18" t="n">
        <f aca="false">SUMPRODUCT($O294:$Q294,Weights!$O$28:$Q$28)</f>
        <v>2.65</v>
      </c>
      <c r="AF294" s="18" t="n">
        <f aca="false">SUMPRODUCT($R294:$V294,Weights!$R$28:$V$28)</f>
        <v>1.85</v>
      </c>
      <c r="AH294" s="18" t="n">
        <f aca="false">SUMPRODUCT($AB294:$AF294,Validation!$D$7:$H$7)</f>
        <v>2.1871428571426</v>
      </c>
      <c r="AI294" s="18" t="n">
        <f aca="false">SUMPRODUCT($AB294:$AF294,Validation!$D$8:$H$8)</f>
        <v>2.2278571428574</v>
      </c>
      <c r="AJ294" s="18" t="n">
        <f aca="false">SUMPRODUCT($AB294:$AF294,Validation!$D$9:$H$9)</f>
        <v>2.3685000000003</v>
      </c>
      <c r="AK294" s="18" t="n">
        <f aca="false">SUMPRODUCT($AB294:$AF294,Validation!$D$10:$H$10)</f>
        <v>2.0464999999997</v>
      </c>
      <c r="AL294" s="18" t="n">
        <f aca="false">SUMPRODUCT($AB294:$AF294,Validation!$D$11:$H$11)</f>
        <v>2.0396875</v>
      </c>
      <c r="AM294" s="18" t="n">
        <f aca="false">SUMPRODUCT($AB294:$AF294,Validation!$D$12:$H$12)</f>
        <v>2.3753125</v>
      </c>
      <c r="AN294" s="18" t="n">
        <f aca="false">SUMPRODUCT($AB294:$AF294,Validation!$D$13:$H$13)</f>
        <v>2.1583333333326</v>
      </c>
      <c r="AO294" s="18" t="n">
        <f aca="false">SUMPRODUCT($AB294:$AF294,Validation!$D$14:$H$14)</f>
        <v>2.2566666666674</v>
      </c>
      <c r="AP294" s="18" t="n">
        <f aca="false">SUMPRODUCT($AB294:$AF294,Validation!$D$15:$H$15)</f>
        <v>2.2495588235295</v>
      </c>
      <c r="AQ294" s="18" t="n">
        <f aca="false">SUMPRODUCT($AB294:$AF294,Validation!$D$16:$H$16)</f>
        <v>2.1654411764705</v>
      </c>
      <c r="AR294" s="8" t="n">
        <f aca="false">COUNTIF($C294:$V294,"&gt;=4")</f>
        <v>3</v>
      </c>
      <c r="AS294" s="8" t="str">
        <f aca="false">IF($X294&lt;=1.6,"Low",IF($X294&lt;=2.2,"Medium","High"))</f>
        <v>High</v>
      </c>
      <c r="AT294" s="8" t="str">
        <f aca="false">IF($AR294=0,"Low",IF($AR294&lt;3,"Medium","High"))</f>
        <v>High</v>
      </c>
      <c r="AU294" s="8" t="str">
        <f aca="false">IF(OR($AS294="High",$AT294="High"),"High",IF(OR($AS294="Medium",$AT294="Medium"),"Medium","Low"))</f>
        <v>High</v>
      </c>
      <c r="AV294" s="15" t="str">
        <f aca="false">IF($Z294="Yes","High",$AU294)</f>
        <v>High</v>
      </c>
    </row>
    <row r="295" customFormat="false" ht="15" hidden="false" customHeight="false" outlineLevel="0" collapsed="false">
      <c r="A295" s="7" t="str">
        <f aca="false">Customers!$A295</f>
        <v>NG-10066</v>
      </c>
      <c r="B295" s="7" t="str">
        <f aca="false">Customers!$B295</f>
        <v>Personal</v>
      </c>
      <c r="C295" s="8" t="n">
        <f aca="false">INDEX(Mapping!$C$2:$C$99,MATCH(C$1&amp;"|"&amp;Customers!C295,Mapping!$D$2:$D$99,0))</f>
        <v>1</v>
      </c>
      <c r="D295" s="8" t="n">
        <f aca="false">INDEX(Mapping!$C$2:$C$99,MATCH(D$1&amp;"|"&amp;Customers!D295,Mapping!$D$2:$D$99,0))</f>
        <v>1</v>
      </c>
      <c r="E295" s="8" t="n">
        <f aca="false">INDEX(Mapping!$C$2:$C$99,MATCH(E$1&amp;"|"&amp;Customers!E295,Mapping!$D$2:$D$99,0))</f>
        <v>1</v>
      </c>
      <c r="F295" s="8" t="n">
        <f aca="false">INDEX(Mapping!$C$2:$C$99,MATCH(F$1&amp;"|"&amp;Customers!F295,Mapping!$D$2:$D$99,0))</f>
        <v>1</v>
      </c>
      <c r="G295" s="8" t="n">
        <f aca="false">INDEX(Mapping!$C$2:$C$99,MATCH(G$1&amp;"|"&amp;Customers!G295,Mapping!$D$2:$D$99,0))</f>
        <v>1</v>
      </c>
      <c r="H295" s="8" t="n">
        <f aca="false">INDEX(Mapping!$C$2:$C$99,MATCH(H$1&amp;"|"&amp;Customers!H295,Mapping!$D$2:$D$99,0))</f>
        <v>1</v>
      </c>
      <c r="I295" s="8" t="n">
        <f aca="false">INDEX(Mapping!$C$2:$C$99,MATCH(I$1&amp;"|"&amp;Customers!I295,Mapping!$D$2:$D$99,0))</f>
        <v>2</v>
      </c>
      <c r="J295" s="8" t="n">
        <f aca="false">INDEX(Mapping!$C$2:$C$99,MATCH(J$1&amp;"|"&amp;Customers!J295,Mapping!$D$2:$D$99,0))</f>
        <v>1</v>
      </c>
      <c r="K295" s="8" t="n">
        <f aca="false">INDEX(Mapping!$C$2:$C$99,MATCH(K$1&amp;"|"&amp;Customers!K295,Mapping!$D$2:$D$99,0))</f>
        <v>2</v>
      </c>
      <c r="L295" s="8" t="n">
        <f aca="false">INDEX(Mapping!$C$2:$C$99,MATCH(L$1&amp;"|"&amp;Customers!L295,Mapping!$D$2:$D$99,0))</f>
        <v>3</v>
      </c>
      <c r="M295" s="8" t="n">
        <f aca="false">INDEX(Mapping!$C$2:$C$99,MATCH(M$1&amp;"|"&amp;Customers!M295,Mapping!$D$2:$D$99,0))</f>
        <v>1</v>
      </c>
      <c r="N295" s="8" t="n">
        <f aca="false">INDEX(Mapping!$C$2:$C$99,MATCH(N$1&amp;"|"&amp;Customers!N295,Mapping!$D$2:$D$99,0))</f>
        <v>1</v>
      </c>
      <c r="O295" s="8" t="n">
        <f aca="false">INDEX(Mapping!$C$2:$C$99,MATCH(O$1&amp;"|"&amp;Customers!O295,Mapping!$D$2:$D$99,0))</f>
        <v>1</v>
      </c>
      <c r="P295" s="8" t="n">
        <f aca="false">INDEX(Mapping!$C$2:$C$99,MATCH(P$1&amp;"|"&amp;Customers!P295,Mapping!$D$2:$D$99,0))</f>
        <v>4</v>
      </c>
      <c r="Q295" s="8" t="n">
        <f aca="false">INDEX(Mapping!$C$2:$C$99,MATCH(Q$1&amp;"|"&amp;Customers!Q295,Mapping!$D$2:$D$99,0))</f>
        <v>1</v>
      </c>
      <c r="R295" s="8" t="n">
        <f aca="false">INDEX(Mapping!$C$2:$C$99,MATCH(R$1&amp;"|"&amp;Customers!R295,Mapping!$D$2:$D$99,0))</f>
        <v>1</v>
      </c>
      <c r="S295" s="8" t="n">
        <f aca="false">INDEX(Mapping!$C$2:$C$99,MATCH(S$1&amp;"|"&amp;Customers!S295,Mapping!$D$2:$D$99,0))</f>
        <v>3</v>
      </c>
      <c r="T295" s="8" t="n">
        <f aca="false">INDEX(Mapping!$C$2:$C$99,MATCH(T$1&amp;"|"&amp;Customers!T295,Mapping!$D$2:$D$99,0))</f>
        <v>1</v>
      </c>
      <c r="U295" s="8" t="n">
        <f aca="false">INDEX(Mapping!$C$2:$C$99,MATCH(U$1&amp;"|"&amp;Customers!U295,Mapping!$D$2:$D$99,0))</f>
        <v>1</v>
      </c>
      <c r="V295" s="8" t="n">
        <f aca="false">INDEX(Mapping!$C$2:$C$99,MATCH(V$1&amp;"|"&amp;Customers!V295,Mapping!$D$2:$D$99,0))</f>
        <v>1</v>
      </c>
      <c r="W295" s="17" t="n">
        <f aca="false">SUMPRODUCT($C295:$V295,Weights!$C$27:$V$27)</f>
        <v>1.415</v>
      </c>
      <c r="X295" s="18" t="n">
        <f aca="false">ROUND($W295,2)</f>
        <v>1.42</v>
      </c>
      <c r="Y295" s="8" t="str">
        <f aca="false">IF($X295&lt;=2,"Low",IF($X295&lt;=3.49,"Medium","High"))</f>
        <v>Low</v>
      </c>
      <c r="Z295" s="8" t="str">
        <f aca="false">IF(OR($F295&gt;=3,$E295=5,$D295=5,$C295=5,$G295=5,$H295=5,$I295=5,$J295=5,Customers!$W295="Yes"),"Yes","No")</f>
        <v>No</v>
      </c>
      <c r="AA295" s="15" t="str">
        <f aca="false">IF($Z295="Yes","High",$Y295)</f>
        <v>Low</v>
      </c>
      <c r="AB295" s="18" t="n">
        <f aca="false">SUMPRODUCT($C295:$G295,Weights!$C$28:$G$28)</f>
        <v>1</v>
      </c>
      <c r="AC295" s="18" t="n">
        <f aca="false">SUMPRODUCT($H295:$J295,Weights!$H$28:$J$28)</f>
        <v>1.2</v>
      </c>
      <c r="AD295" s="18" t="n">
        <f aca="false">SUMPRODUCT($K295:$N295,Weights!$K$28:$N$28)</f>
        <v>1.85</v>
      </c>
      <c r="AE295" s="18" t="n">
        <f aca="false">SUMPRODUCT($O295:$Q295,Weights!$O$28:$Q$28)</f>
        <v>2.05</v>
      </c>
      <c r="AF295" s="18" t="n">
        <f aca="false">SUMPRODUCT($R295:$V295,Weights!$R$28:$V$28)</f>
        <v>1.6</v>
      </c>
      <c r="AH295" s="18" t="n">
        <f aca="false">SUMPRODUCT($AB295:$AF295,Validation!$D$7:$H$7)</f>
        <v>1.47428571428585</v>
      </c>
      <c r="AI295" s="18" t="n">
        <f aca="false">SUMPRODUCT($AB295:$AF295,Validation!$D$8:$H$8)</f>
        <v>1.35571428571415</v>
      </c>
      <c r="AJ295" s="18" t="n">
        <f aca="false">SUMPRODUCT($AB295:$AF295,Validation!$D$9:$H$9)</f>
        <v>1.4436666666666</v>
      </c>
      <c r="AK295" s="18" t="n">
        <f aca="false">SUMPRODUCT($AB295:$AF295,Validation!$D$10:$H$10)</f>
        <v>1.3863333333334</v>
      </c>
      <c r="AL295" s="18" t="n">
        <f aca="false">SUMPRODUCT($AB295:$AF295,Validation!$D$11:$H$11)</f>
        <v>1.360625</v>
      </c>
      <c r="AM295" s="18" t="n">
        <f aca="false">SUMPRODUCT($AB295:$AF295,Validation!$D$12:$H$12)</f>
        <v>1.469375</v>
      </c>
      <c r="AN295" s="18" t="n">
        <f aca="false">SUMPRODUCT($AB295:$AF295,Validation!$D$13:$H$13)</f>
        <v>1.3444444444445</v>
      </c>
      <c r="AO295" s="18" t="n">
        <f aca="false">SUMPRODUCT($AB295:$AF295,Validation!$D$14:$H$14)</f>
        <v>1.4855555555555</v>
      </c>
      <c r="AP295" s="18" t="n">
        <f aca="false">SUMPRODUCT($AB295:$AF295,Validation!$D$15:$H$15)</f>
        <v>1.39323529411755</v>
      </c>
      <c r="AQ295" s="18" t="n">
        <f aca="false">SUMPRODUCT($AB295:$AF295,Validation!$D$16:$H$16)</f>
        <v>1.43676470588245</v>
      </c>
      <c r="AR295" s="8" t="n">
        <f aca="false">COUNTIF($C295:$V295,"&gt;=4")</f>
        <v>1</v>
      </c>
      <c r="AS295" s="8" t="str">
        <f aca="false">IF($X295&lt;=1.6,"Low",IF($X295&lt;=2.2,"Medium","High"))</f>
        <v>Low</v>
      </c>
      <c r="AT295" s="8" t="str">
        <f aca="false">IF($AR295=0,"Low",IF($AR295&lt;3,"Medium","High"))</f>
        <v>Medium</v>
      </c>
      <c r="AU295" s="8" t="str">
        <f aca="false">IF(OR($AS295="High",$AT295="High"),"High",IF(OR($AS295="Medium",$AT295="Medium"),"Medium","Low"))</f>
        <v>Medium</v>
      </c>
      <c r="AV295" s="15" t="str">
        <f aca="false">IF($Z295="Yes","High",$AU295)</f>
        <v>Medium</v>
      </c>
    </row>
    <row r="296" customFormat="false" ht="15" hidden="false" customHeight="false" outlineLevel="0" collapsed="false">
      <c r="A296" s="7" t="str">
        <f aca="false">Customers!$A296</f>
        <v>NG-10145</v>
      </c>
      <c r="B296" s="7" t="str">
        <f aca="false">Customers!$B296</f>
        <v>Personal</v>
      </c>
      <c r="C296" s="8" t="n">
        <f aca="false">INDEX(Mapping!$C$2:$C$99,MATCH(C$1&amp;"|"&amp;Customers!C296,Mapping!$D$2:$D$99,0))</f>
        <v>2</v>
      </c>
      <c r="D296" s="8" t="n">
        <f aca="false">INDEX(Mapping!$C$2:$C$99,MATCH(D$1&amp;"|"&amp;Customers!D296,Mapping!$D$2:$D$99,0))</f>
        <v>1</v>
      </c>
      <c r="E296" s="8" t="n">
        <f aca="false">INDEX(Mapping!$C$2:$C$99,MATCH(E$1&amp;"|"&amp;Customers!E296,Mapping!$D$2:$D$99,0))</f>
        <v>1</v>
      </c>
      <c r="F296" s="8" t="n">
        <f aca="false">INDEX(Mapping!$C$2:$C$99,MATCH(F$1&amp;"|"&amp;Customers!F296,Mapping!$D$2:$D$99,0))</f>
        <v>1</v>
      </c>
      <c r="G296" s="8" t="n">
        <f aca="false">INDEX(Mapping!$C$2:$C$99,MATCH(G$1&amp;"|"&amp;Customers!G296,Mapping!$D$2:$D$99,0))</f>
        <v>1</v>
      </c>
      <c r="H296" s="8" t="n">
        <f aca="false">INDEX(Mapping!$C$2:$C$99,MATCH(H$1&amp;"|"&amp;Customers!H296,Mapping!$D$2:$D$99,0))</f>
        <v>1</v>
      </c>
      <c r="I296" s="8" t="n">
        <f aca="false">INDEX(Mapping!$C$2:$C$99,MATCH(I$1&amp;"|"&amp;Customers!I296,Mapping!$D$2:$D$99,0))</f>
        <v>1</v>
      </c>
      <c r="J296" s="8" t="n">
        <f aca="false">INDEX(Mapping!$C$2:$C$99,MATCH(J$1&amp;"|"&amp;Customers!J296,Mapping!$D$2:$D$99,0))</f>
        <v>1</v>
      </c>
      <c r="K296" s="8" t="n">
        <f aca="false">INDEX(Mapping!$C$2:$C$99,MATCH(K$1&amp;"|"&amp;Customers!K296,Mapping!$D$2:$D$99,0))</f>
        <v>2</v>
      </c>
      <c r="L296" s="8" t="n">
        <f aca="false">INDEX(Mapping!$C$2:$C$99,MATCH(L$1&amp;"|"&amp;Customers!L296,Mapping!$D$2:$D$99,0))</f>
        <v>3</v>
      </c>
      <c r="M296" s="8" t="n">
        <f aca="false">INDEX(Mapping!$C$2:$C$99,MATCH(M$1&amp;"|"&amp;Customers!M296,Mapping!$D$2:$D$99,0))</f>
        <v>1</v>
      </c>
      <c r="N296" s="8" t="n">
        <f aca="false">INDEX(Mapping!$C$2:$C$99,MATCH(N$1&amp;"|"&amp;Customers!N296,Mapping!$D$2:$D$99,0))</f>
        <v>1</v>
      </c>
      <c r="O296" s="8" t="n">
        <f aca="false">INDEX(Mapping!$C$2:$C$99,MATCH(O$1&amp;"|"&amp;Customers!O296,Mapping!$D$2:$D$99,0))</f>
        <v>3</v>
      </c>
      <c r="P296" s="8" t="n">
        <f aca="false">INDEX(Mapping!$C$2:$C$99,MATCH(P$1&amp;"|"&amp;Customers!P296,Mapping!$D$2:$D$99,0))</f>
        <v>3</v>
      </c>
      <c r="Q296" s="8" t="n">
        <f aca="false">INDEX(Mapping!$C$2:$C$99,MATCH(Q$1&amp;"|"&amp;Customers!Q296,Mapping!$D$2:$D$99,0))</f>
        <v>1</v>
      </c>
      <c r="R296" s="8" t="n">
        <f aca="false">INDEX(Mapping!$C$2:$C$99,MATCH(R$1&amp;"|"&amp;Customers!R296,Mapping!$D$2:$D$99,0))</f>
        <v>1</v>
      </c>
      <c r="S296" s="8" t="n">
        <f aca="false">INDEX(Mapping!$C$2:$C$99,MATCH(S$1&amp;"|"&amp;Customers!S296,Mapping!$D$2:$D$99,0))</f>
        <v>3</v>
      </c>
      <c r="T296" s="8" t="n">
        <f aca="false">INDEX(Mapping!$C$2:$C$99,MATCH(T$1&amp;"|"&amp;Customers!T296,Mapping!$D$2:$D$99,0))</f>
        <v>1</v>
      </c>
      <c r="U296" s="8" t="n">
        <f aca="false">INDEX(Mapping!$C$2:$C$99,MATCH(U$1&amp;"|"&amp;Customers!U296,Mapping!$D$2:$D$99,0))</f>
        <v>1</v>
      </c>
      <c r="V296" s="8" t="n">
        <f aca="false">INDEX(Mapping!$C$2:$C$99,MATCH(V$1&amp;"|"&amp;Customers!V296,Mapping!$D$2:$D$99,0))</f>
        <v>1</v>
      </c>
      <c r="W296" s="17" t="n">
        <f aca="false">SUMPRODUCT($C296:$V296,Weights!$C$27:$V$27)</f>
        <v>1.48</v>
      </c>
      <c r="X296" s="18" t="n">
        <f aca="false">ROUND($W296,2)</f>
        <v>1.48</v>
      </c>
      <c r="Y296" s="8" t="str">
        <f aca="false">IF($X296&lt;=2,"Low",IF($X296&lt;=3.49,"Medium","High"))</f>
        <v>Low</v>
      </c>
      <c r="Z296" s="8" t="str">
        <f aca="false">IF(OR($F296&gt;=3,$E296=5,$D296=5,$C296=5,$G296=5,$H296=5,$I296=5,$J296=5,Customers!$W296="Yes"),"Yes","No")</f>
        <v>No</v>
      </c>
      <c r="AA296" s="15" t="str">
        <f aca="false">IF($Z296="Yes","High",$Y296)</f>
        <v>Low</v>
      </c>
      <c r="AB296" s="18" t="n">
        <f aca="false">SUMPRODUCT($C296:$G296,Weights!$C$28:$G$28)</f>
        <v>1.2</v>
      </c>
      <c r="AC296" s="18" t="n">
        <f aca="false">SUMPRODUCT($H296:$J296,Weights!$H$28:$J$28)</f>
        <v>1</v>
      </c>
      <c r="AD296" s="18" t="n">
        <f aca="false">SUMPRODUCT($K296:$N296,Weights!$K$28:$N$28)</f>
        <v>1.85</v>
      </c>
      <c r="AE296" s="18" t="n">
        <f aca="false">SUMPRODUCT($O296:$Q296,Weights!$O$28:$Q$28)</f>
        <v>2.6</v>
      </c>
      <c r="AF296" s="18" t="n">
        <f aca="false">SUMPRODUCT($R296:$V296,Weights!$R$28:$V$28)</f>
        <v>1.6</v>
      </c>
      <c r="AH296" s="18" t="n">
        <f aca="false">SUMPRODUCT($AB296:$AF296,Validation!$D$7:$H$7)</f>
        <v>1.52000000000035</v>
      </c>
      <c r="AI296" s="18" t="n">
        <f aca="false">SUMPRODUCT($AB296:$AF296,Validation!$D$8:$H$8)</f>
        <v>1.43999999999965</v>
      </c>
      <c r="AJ296" s="18" t="n">
        <f aca="false">SUMPRODUCT($AB296:$AF296,Validation!$D$9:$H$9)</f>
        <v>1.54399999999975</v>
      </c>
      <c r="AK296" s="18" t="n">
        <f aca="false">SUMPRODUCT($AB296:$AF296,Validation!$D$10:$H$10)</f>
        <v>1.41600000000025</v>
      </c>
      <c r="AL296" s="18" t="n">
        <f aca="false">SUMPRODUCT($AB296:$AF296,Validation!$D$11:$H$11)</f>
        <v>1.43375</v>
      </c>
      <c r="AM296" s="18" t="n">
        <f aca="false">SUMPRODUCT($AB296:$AF296,Validation!$D$12:$H$12)</f>
        <v>1.52625</v>
      </c>
      <c r="AN296" s="18" t="n">
        <f aca="false">SUMPRODUCT($AB296:$AF296,Validation!$D$13:$H$13)</f>
        <v>1.3555555555555</v>
      </c>
      <c r="AO296" s="18" t="n">
        <f aca="false">SUMPRODUCT($AB296:$AF296,Validation!$D$14:$H$14)</f>
        <v>1.6044444444445</v>
      </c>
      <c r="AP296" s="18" t="n">
        <f aca="false">SUMPRODUCT($AB296:$AF296,Validation!$D$15:$H$15)</f>
        <v>1.46588235294085</v>
      </c>
      <c r="AQ296" s="18" t="n">
        <f aca="false">SUMPRODUCT($AB296:$AF296,Validation!$D$16:$H$16)</f>
        <v>1.49411764705915</v>
      </c>
      <c r="AR296" s="8" t="n">
        <f aca="false">COUNTIF($C296:$V296,"&gt;=4")</f>
        <v>0</v>
      </c>
      <c r="AS296" s="8" t="str">
        <f aca="false">IF($X296&lt;=1.6,"Low",IF($X296&lt;=2.2,"Medium","High"))</f>
        <v>Low</v>
      </c>
      <c r="AT296" s="8" t="str">
        <f aca="false">IF($AR296=0,"Low",IF($AR296&lt;3,"Medium","High"))</f>
        <v>Low</v>
      </c>
      <c r="AU296" s="8" t="str">
        <f aca="false">IF(OR($AS296="High",$AT296="High"),"High",IF(OR($AS296="Medium",$AT296="Medium"),"Medium","Low"))</f>
        <v>Low</v>
      </c>
      <c r="AV296" s="15" t="str">
        <f aca="false">IF($Z296="Yes","High",$AU296)</f>
        <v>Low</v>
      </c>
    </row>
    <row r="297" customFormat="false" ht="15" hidden="false" customHeight="false" outlineLevel="0" collapsed="false">
      <c r="A297" s="7" t="str">
        <f aca="false">Customers!$A297</f>
        <v>NG-10202</v>
      </c>
      <c r="B297" s="7" t="str">
        <f aca="false">Customers!$B297</f>
        <v>Personal</v>
      </c>
      <c r="C297" s="8" t="n">
        <f aca="false">INDEX(Mapping!$C$2:$C$99,MATCH(C$1&amp;"|"&amp;Customers!C297,Mapping!$D$2:$D$99,0))</f>
        <v>1</v>
      </c>
      <c r="D297" s="8" t="n">
        <f aca="false">INDEX(Mapping!$C$2:$C$99,MATCH(D$1&amp;"|"&amp;Customers!D297,Mapping!$D$2:$D$99,0))</f>
        <v>1</v>
      </c>
      <c r="E297" s="8" t="n">
        <f aca="false">INDEX(Mapping!$C$2:$C$99,MATCH(E$1&amp;"|"&amp;Customers!E297,Mapping!$D$2:$D$99,0))</f>
        <v>5</v>
      </c>
      <c r="F297" s="8" t="n">
        <f aca="false">INDEX(Mapping!$C$2:$C$99,MATCH(F$1&amp;"|"&amp;Customers!F297,Mapping!$D$2:$D$99,0))</f>
        <v>1</v>
      </c>
      <c r="G297" s="8" t="n">
        <f aca="false">INDEX(Mapping!$C$2:$C$99,MATCH(G$1&amp;"|"&amp;Customers!G297,Mapping!$D$2:$D$99,0))</f>
        <v>1</v>
      </c>
      <c r="H297" s="8" t="n">
        <f aca="false">INDEX(Mapping!$C$2:$C$99,MATCH(H$1&amp;"|"&amp;Customers!H297,Mapping!$D$2:$D$99,0))</f>
        <v>1</v>
      </c>
      <c r="I297" s="8" t="n">
        <f aca="false">INDEX(Mapping!$C$2:$C$99,MATCH(I$1&amp;"|"&amp;Customers!I297,Mapping!$D$2:$D$99,0))</f>
        <v>1</v>
      </c>
      <c r="J297" s="8" t="n">
        <f aca="false">INDEX(Mapping!$C$2:$C$99,MATCH(J$1&amp;"|"&amp;Customers!J297,Mapping!$D$2:$D$99,0))</f>
        <v>1</v>
      </c>
      <c r="K297" s="8" t="n">
        <f aca="false">INDEX(Mapping!$C$2:$C$99,MATCH(K$1&amp;"|"&amp;Customers!K297,Mapping!$D$2:$D$99,0))</f>
        <v>1</v>
      </c>
      <c r="L297" s="8" t="n">
        <f aca="false">INDEX(Mapping!$C$2:$C$99,MATCH(L$1&amp;"|"&amp;Customers!L297,Mapping!$D$2:$D$99,0))</f>
        <v>3</v>
      </c>
      <c r="M297" s="8" t="n">
        <f aca="false">INDEX(Mapping!$C$2:$C$99,MATCH(M$1&amp;"|"&amp;Customers!M297,Mapping!$D$2:$D$99,0))</f>
        <v>2</v>
      </c>
      <c r="N297" s="8" t="n">
        <f aca="false">INDEX(Mapping!$C$2:$C$99,MATCH(N$1&amp;"|"&amp;Customers!N297,Mapping!$D$2:$D$99,0))</f>
        <v>2</v>
      </c>
      <c r="O297" s="8" t="n">
        <f aca="false">INDEX(Mapping!$C$2:$C$99,MATCH(O$1&amp;"|"&amp;Customers!O297,Mapping!$D$2:$D$99,0))</f>
        <v>3</v>
      </c>
      <c r="P297" s="8" t="n">
        <f aca="false">INDEX(Mapping!$C$2:$C$99,MATCH(P$1&amp;"|"&amp;Customers!P297,Mapping!$D$2:$D$99,0))</f>
        <v>3</v>
      </c>
      <c r="Q297" s="8" t="n">
        <f aca="false">INDEX(Mapping!$C$2:$C$99,MATCH(Q$1&amp;"|"&amp;Customers!Q297,Mapping!$D$2:$D$99,0))</f>
        <v>1</v>
      </c>
      <c r="R297" s="8" t="n">
        <f aca="false">INDEX(Mapping!$C$2:$C$99,MATCH(R$1&amp;"|"&amp;Customers!R297,Mapping!$D$2:$D$99,0))</f>
        <v>1</v>
      </c>
      <c r="S297" s="8" t="n">
        <f aca="false">INDEX(Mapping!$C$2:$C$99,MATCH(S$1&amp;"|"&amp;Customers!S297,Mapping!$D$2:$D$99,0))</f>
        <v>2</v>
      </c>
      <c r="T297" s="8" t="n">
        <f aca="false">INDEX(Mapping!$C$2:$C$99,MATCH(T$1&amp;"|"&amp;Customers!T297,Mapping!$D$2:$D$99,0))</f>
        <v>1</v>
      </c>
      <c r="U297" s="8" t="n">
        <f aca="false">INDEX(Mapping!$C$2:$C$99,MATCH(U$1&amp;"|"&amp;Customers!U297,Mapping!$D$2:$D$99,0))</f>
        <v>1</v>
      </c>
      <c r="V297" s="8" t="n">
        <f aca="false">INDEX(Mapping!$C$2:$C$99,MATCH(V$1&amp;"|"&amp;Customers!V297,Mapping!$D$2:$D$99,0))</f>
        <v>1</v>
      </c>
      <c r="W297" s="17" t="n">
        <f aca="false">SUMPRODUCT($C297:$V297,Weights!$C$27:$V$27)</f>
        <v>1.685</v>
      </c>
      <c r="X297" s="18" t="n">
        <f aca="false">ROUND($W297,2)</f>
        <v>1.69</v>
      </c>
      <c r="Y297" s="8" t="str">
        <f aca="false">IF($X297&lt;=2,"Low",IF($X297&lt;=3.49,"Medium","High"))</f>
        <v>Low</v>
      </c>
      <c r="Z297" s="8" t="str">
        <f aca="false">IF(OR($F297&gt;=3,$E297=5,$D297=5,$C297=5,$G297=5,$H297=5,$I297=5,$J297=5,Customers!$W297="Yes"),"Yes","No")</f>
        <v>Yes</v>
      </c>
      <c r="AA297" s="15" t="str">
        <f aca="false">IF($Z297="Yes","High",$Y297)</f>
        <v>High</v>
      </c>
      <c r="AB297" s="18" t="n">
        <f aca="false">SUMPRODUCT($C297:$G297,Weights!$C$28:$G$28)</f>
        <v>2</v>
      </c>
      <c r="AC297" s="18" t="n">
        <f aca="false">SUMPRODUCT($H297:$J297,Weights!$H$28:$J$28)</f>
        <v>1</v>
      </c>
      <c r="AD297" s="18" t="n">
        <f aca="false">SUMPRODUCT($K297:$N297,Weights!$K$28:$N$28)</f>
        <v>1.9</v>
      </c>
      <c r="AE297" s="18" t="n">
        <f aca="false">SUMPRODUCT($O297:$Q297,Weights!$O$28:$Q$28)</f>
        <v>2.6</v>
      </c>
      <c r="AF297" s="18" t="n">
        <f aca="false">SUMPRODUCT($R297:$V297,Weights!$R$28:$V$28)</f>
        <v>1.3</v>
      </c>
      <c r="AH297" s="18" t="n">
        <f aca="false">SUMPRODUCT($AB297:$AF297,Validation!$D$7:$H$7)</f>
        <v>1.6400000000002</v>
      </c>
      <c r="AI297" s="18" t="n">
        <f aca="false">SUMPRODUCT($AB297:$AF297,Validation!$D$8:$H$8)</f>
        <v>1.7299999999998</v>
      </c>
      <c r="AJ297" s="18" t="n">
        <f aca="false">SUMPRODUCT($AB297:$AF297,Validation!$D$9:$H$9)</f>
        <v>1.7763333333331</v>
      </c>
      <c r="AK297" s="18" t="n">
        <f aca="false">SUMPRODUCT($AB297:$AF297,Validation!$D$10:$H$10)</f>
        <v>1.5936666666669</v>
      </c>
      <c r="AL297" s="18" t="n">
        <f aca="false">SUMPRODUCT($AB297:$AF297,Validation!$D$11:$H$11)</f>
        <v>1.658125</v>
      </c>
      <c r="AM297" s="18" t="n">
        <f aca="false">SUMPRODUCT($AB297:$AF297,Validation!$D$12:$H$12)</f>
        <v>1.711875</v>
      </c>
      <c r="AN297" s="18" t="n">
        <f aca="false">SUMPRODUCT($AB297:$AF297,Validation!$D$13:$H$13)</f>
        <v>1.5833333333329</v>
      </c>
      <c r="AO297" s="18" t="n">
        <f aca="false">SUMPRODUCT($AB297:$AF297,Validation!$D$14:$H$14)</f>
        <v>1.7866666666671</v>
      </c>
      <c r="AP297" s="18" t="n">
        <f aca="false">SUMPRODUCT($AB297:$AF297,Validation!$D$15:$H$15)</f>
        <v>1.7302941176467</v>
      </c>
      <c r="AQ297" s="18" t="n">
        <f aca="false">SUMPRODUCT($AB297:$AF297,Validation!$D$16:$H$16)</f>
        <v>1.6397058823533</v>
      </c>
      <c r="AR297" s="8" t="n">
        <f aca="false">COUNTIF($C297:$V297,"&gt;=4")</f>
        <v>1</v>
      </c>
      <c r="AS297" s="8" t="str">
        <f aca="false">IF($X297&lt;=1.6,"Low",IF($X297&lt;=2.2,"Medium","High"))</f>
        <v>Medium</v>
      </c>
      <c r="AT297" s="8" t="str">
        <f aca="false">IF($AR297=0,"Low",IF($AR297&lt;3,"Medium","High"))</f>
        <v>Medium</v>
      </c>
      <c r="AU297" s="8" t="str">
        <f aca="false">IF(OR($AS297="High",$AT297="High"),"High",IF(OR($AS297="Medium",$AT297="Medium"),"Medium","Low"))</f>
        <v>Medium</v>
      </c>
      <c r="AV297" s="15" t="str">
        <f aca="false">IF($Z297="Yes","High",$AU297)</f>
        <v>High</v>
      </c>
    </row>
    <row r="298" customFormat="false" ht="15" hidden="false" customHeight="false" outlineLevel="0" collapsed="false">
      <c r="A298" s="7" t="str">
        <f aca="false">Customers!$A298</f>
        <v>NG-10339</v>
      </c>
      <c r="B298" s="7" t="str">
        <f aca="false">Customers!$B298</f>
        <v>Sole trader</v>
      </c>
      <c r="C298" s="8" t="n">
        <f aca="false">INDEX(Mapping!$C$2:$C$99,MATCH(C$1&amp;"|"&amp;Customers!C298,Mapping!$D$2:$D$99,0))</f>
        <v>2</v>
      </c>
      <c r="D298" s="8" t="n">
        <f aca="false">INDEX(Mapping!$C$2:$C$99,MATCH(D$1&amp;"|"&amp;Customers!D298,Mapping!$D$2:$D$99,0))</f>
        <v>1</v>
      </c>
      <c r="E298" s="8" t="n">
        <f aca="false">INDEX(Mapping!$C$2:$C$99,MATCH(E$1&amp;"|"&amp;Customers!E298,Mapping!$D$2:$D$99,0))</f>
        <v>4</v>
      </c>
      <c r="F298" s="8" t="n">
        <f aca="false">INDEX(Mapping!$C$2:$C$99,MATCH(F$1&amp;"|"&amp;Customers!F298,Mapping!$D$2:$D$99,0))</f>
        <v>1</v>
      </c>
      <c r="G298" s="8" t="n">
        <f aca="false">INDEX(Mapping!$C$2:$C$99,MATCH(G$1&amp;"|"&amp;Customers!G298,Mapping!$D$2:$D$99,0))</f>
        <v>1</v>
      </c>
      <c r="H298" s="8" t="n">
        <f aca="false">INDEX(Mapping!$C$2:$C$99,MATCH(H$1&amp;"|"&amp;Customers!H298,Mapping!$D$2:$D$99,0))</f>
        <v>1</v>
      </c>
      <c r="I298" s="8" t="n">
        <f aca="false">INDEX(Mapping!$C$2:$C$99,MATCH(I$1&amp;"|"&amp;Customers!I298,Mapping!$D$2:$D$99,0))</f>
        <v>1</v>
      </c>
      <c r="J298" s="8" t="n">
        <f aca="false">INDEX(Mapping!$C$2:$C$99,MATCH(J$1&amp;"|"&amp;Customers!J298,Mapping!$D$2:$D$99,0))</f>
        <v>1</v>
      </c>
      <c r="K298" s="8" t="n">
        <f aca="false">INDEX(Mapping!$C$2:$C$99,MATCH(K$1&amp;"|"&amp;Customers!K298,Mapping!$D$2:$D$99,0))</f>
        <v>5</v>
      </c>
      <c r="L298" s="8" t="n">
        <f aca="false">INDEX(Mapping!$C$2:$C$99,MATCH(L$1&amp;"|"&amp;Customers!L298,Mapping!$D$2:$D$99,0))</f>
        <v>2</v>
      </c>
      <c r="M298" s="8" t="n">
        <f aca="false">INDEX(Mapping!$C$2:$C$99,MATCH(M$1&amp;"|"&amp;Customers!M298,Mapping!$D$2:$D$99,0))</f>
        <v>2</v>
      </c>
      <c r="N298" s="8" t="n">
        <f aca="false">INDEX(Mapping!$C$2:$C$99,MATCH(N$1&amp;"|"&amp;Customers!N298,Mapping!$D$2:$D$99,0))</f>
        <v>1</v>
      </c>
      <c r="O298" s="8" t="n">
        <f aca="false">INDEX(Mapping!$C$2:$C$99,MATCH(O$1&amp;"|"&amp;Customers!O298,Mapping!$D$2:$D$99,0))</f>
        <v>3</v>
      </c>
      <c r="P298" s="8" t="n">
        <f aca="false">INDEX(Mapping!$C$2:$C$99,MATCH(P$1&amp;"|"&amp;Customers!P298,Mapping!$D$2:$D$99,0))</f>
        <v>3</v>
      </c>
      <c r="Q298" s="8" t="n">
        <f aca="false">INDEX(Mapping!$C$2:$C$99,MATCH(Q$1&amp;"|"&amp;Customers!Q298,Mapping!$D$2:$D$99,0))</f>
        <v>3</v>
      </c>
      <c r="R298" s="8" t="n">
        <f aca="false">INDEX(Mapping!$C$2:$C$99,MATCH(R$1&amp;"|"&amp;Customers!R298,Mapping!$D$2:$D$99,0))</f>
        <v>3</v>
      </c>
      <c r="S298" s="8" t="n">
        <f aca="false">INDEX(Mapping!$C$2:$C$99,MATCH(S$1&amp;"|"&amp;Customers!S298,Mapping!$D$2:$D$99,0))</f>
        <v>5</v>
      </c>
      <c r="T298" s="8" t="n">
        <f aca="false">INDEX(Mapping!$C$2:$C$99,MATCH(T$1&amp;"|"&amp;Customers!T298,Mapping!$D$2:$D$99,0))</f>
        <v>1</v>
      </c>
      <c r="U298" s="8" t="n">
        <f aca="false">INDEX(Mapping!$C$2:$C$99,MATCH(U$1&amp;"|"&amp;Customers!U298,Mapping!$D$2:$D$99,0))</f>
        <v>3</v>
      </c>
      <c r="V298" s="8" t="n">
        <f aca="false">INDEX(Mapping!$C$2:$C$99,MATCH(V$1&amp;"|"&amp;Customers!V298,Mapping!$D$2:$D$99,0))</f>
        <v>1</v>
      </c>
      <c r="W298" s="17" t="n">
        <f aca="false">SUMPRODUCT($C298:$V298,Weights!$C$27:$V$27)</f>
        <v>2.165</v>
      </c>
      <c r="X298" s="18" t="n">
        <f aca="false">ROUND($W298,2)</f>
        <v>2.17</v>
      </c>
      <c r="Y298" s="8" t="str">
        <f aca="false">IF($X298&lt;=2,"Low",IF($X298&lt;=3.49,"Medium","High"))</f>
        <v>Medium</v>
      </c>
      <c r="Z298" s="8" t="str">
        <f aca="false">IF(OR($F298&gt;=3,$E298=5,$D298=5,$C298=5,$G298=5,$H298=5,$I298=5,$J298=5,Customers!$W298="Yes"),"Yes","No")</f>
        <v>No</v>
      </c>
      <c r="AA298" s="15" t="str">
        <f aca="false">IF($Z298="Yes","High",$Y298)</f>
        <v>Medium</v>
      </c>
      <c r="AB298" s="18" t="n">
        <f aca="false">SUMPRODUCT($C298:$G298,Weights!$C$28:$G$28)</f>
        <v>1.95</v>
      </c>
      <c r="AC298" s="18" t="n">
        <f aca="false">SUMPRODUCT($H298:$J298,Weights!$H$28:$J$28)</f>
        <v>1</v>
      </c>
      <c r="AD298" s="18" t="n">
        <f aca="false">SUMPRODUCT($K298:$N298,Weights!$K$28:$N$28)</f>
        <v>2.9</v>
      </c>
      <c r="AE298" s="18" t="n">
        <f aca="false">SUMPRODUCT($O298:$Q298,Weights!$O$28:$Q$28)</f>
        <v>3</v>
      </c>
      <c r="AF298" s="18" t="n">
        <f aca="false">SUMPRODUCT($R298:$V298,Weights!$R$28:$V$28)</f>
        <v>3</v>
      </c>
      <c r="AH298" s="18" t="n">
        <f aca="false">SUMPRODUCT($AB298:$AF298,Validation!$D$7:$H$7)</f>
        <v>2.1957142857149</v>
      </c>
      <c r="AI298" s="18" t="n">
        <f aca="false">SUMPRODUCT($AB298:$AF298,Validation!$D$8:$H$8)</f>
        <v>2.1342857142851</v>
      </c>
      <c r="AJ298" s="18" t="n">
        <f aca="false">SUMPRODUCT($AB298:$AF298,Validation!$D$9:$H$9)</f>
        <v>2.3203333333333</v>
      </c>
      <c r="AK298" s="18" t="n">
        <f aca="false">SUMPRODUCT($AB298:$AF298,Validation!$D$10:$H$10)</f>
        <v>2.0096666666667</v>
      </c>
      <c r="AL298" s="18" t="n">
        <f aca="false">SUMPRODUCT($AB298:$AF298,Validation!$D$11:$H$11)</f>
        <v>2.073125</v>
      </c>
      <c r="AM298" s="18" t="n">
        <f aca="false">SUMPRODUCT($AB298:$AF298,Validation!$D$12:$H$12)</f>
        <v>2.256875</v>
      </c>
      <c r="AN298" s="18" t="n">
        <f aca="false">SUMPRODUCT($AB298:$AF298,Validation!$D$13:$H$13)</f>
        <v>2.07222222222215</v>
      </c>
      <c r="AO298" s="18" t="n">
        <f aca="false">SUMPRODUCT($AB298:$AF298,Validation!$D$14:$H$14)</f>
        <v>2.25777777777785</v>
      </c>
      <c r="AP298" s="18" t="n">
        <f aca="false">SUMPRODUCT($AB298:$AF298,Validation!$D$15:$H$15)</f>
        <v>2.06676470588215</v>
      </c>
      <c r="AQ298" s="18" t="n">
        <f aca="false">SUMPRODUCT($AB298:$AF298,Validation!$D$16:$H$16)</f>
        <v>2.26323529411785</v>
      </c>
      <c r="AR298" s="8" t="n">
        <f aca="false">COUNTIF($C298:$V298,"&gt;=4")</f>
        <v>3</v>
      </c>
      <c r="AS298" s="8" t="str">
        <f aca="false">IF($X298&lt;=1.6,"Low",IF($X298&lt;=2.2,"Medium","High"))</f>
        <v>Medium</v>
      </c>
      <c r="AT298" s="8" t="str">
        <f aca="false">IF($AR298=0,"Low",IF($AR298&lt;3,"Medium","High"))</f>
        <v>High</v>
      </c>
      <c r="AU298" s="8" t="str">
        <f aca="false">IF(OR($AS298="High",$AT298="High"),"High",IF(OR($AS298="Medium",$AT298="Medium"),"Medium","Low"))</f>
        <v>High</v>
      </c>
      <c r="AV298" s="15" t="str">
        <f aca="false">IF($Z298="Yes","High",$AU298)</f>
        <v>High</v>
      </c>
    </row>
    <row r="299" customFormat="false" ht="15" hidden="false" customHeight="false" outlineLevel="0" collapsed="false">
      <c r="A299" s="7" t="str">
        <f aca="false">Customers!$A299</f>
        <v>NG-10294</v>
      </c>
      <c r="B299" s="7" t="str">
        <f aca="false">Customers!$B299</f>
        <v>Personal</v>
      </c>
      <c r="C299" s="8" t="n">
        <f aca="false">INDEX(Mapping!$C$2:$C$99,MATCH(C$1&amp;"|"&amp;Customers!C299,Mapping!$D$2:$D$99,0))</f>
        <v>2</v>
      </c>
      <c r="D299" s="8" t="n">
        <f aca="false">INDEX(Mapping!$C$2:$C$99,MATCH(D$1&amp;"|"&amp;Customers!D299,Mapping!$D$2:$D$99,0))</f>
        <v>1</v>
      </c>
      <c r="E299" s="8" t="n">
        <f aca="false">INDEX(Mapping!$C$2:$C$99,MATCH(E$1&amp;"|"&amp;Customers!E299,Mapping!$D$2:$D$99,0))</f>
        <v>3</v>
      </c>
      <c r="F299" s="8" t="n">
        <f aca="false">INDEX(Mapping!$C$2:$C$99,MATCH(F$1&amp;"|"&amp;Customers!F299,Mapping!$D$2:$D$99,0))</f>
        <v>1</v>
      </c>
      <c r="G299" s="8" t="n">
        <f aca="false">INDEX(Mapping!$C$2:$C$99,MATCH(G$1&amp;"|"&amp;Customers!G299,Mapping!$D$2:$D$99,0))</f>
        <v>1</v>
      </c>
      <c r="H299" s="8" t="n">
        <f aca="false">INDEX(Mapping!$C$2:$C$99,MATCH(H$1&amp;"|"&amp;Customers!H299,Mapping!$D$2:$D$99,0))</f>
        <v>1</v>
      </c>
      <c r="I299" s="8" t="n">
        <f aca="false">INDEX(Mapping!$C$2:$C$99,MATCH(I$1&amp;"|"&amp;Customers!I299,Mapping!$D$2:$D$99,0))</f>
        <v>1</v>
      </c>
      <c r="J299" s="8" t="n">
        <f aca="false">INDEX(Mapping!$C$2:$C$99,MATCH(J$1&amp;"|"&amp;Customers!J299,Mapping!$D$2:$D$99,0))</f>
        <v>1</v>
      </c>
      <c r="K299" s="8" t="n">
        <f aca="false">INDEX(Mapping!$C$2:$C$99,MATCH(K$1&amp;"|"&amp;Customers!K299,Mapping!$D$2:$D$99,0))</f>
        <v>1</v>
      </c>
      <c r="L299" s="8" t="n">
        <f aca="false">INDEX(Mapping!$C$2:$C$99,MATCH(L$1&amp;"|"&amp;Customers!L299,Mapping!$D$2:$D$99,0))</f>
        <v>2</v>
      </c>
      <c r="M299" s="8" t="n">
        <f aca="false">INDEX(Mapping!$C$2:$C$99,MATCH(M$1&amp;"|"&amp;Customers!M299,Mapping!$D$2:$D$99,0))</f>
        <v>2</v>
      </c>
      <c r="N299" s="8" t="n">
        <f aca="false">INDEX(Mapping!$C$2:$C$99,MATCH(N$1&amp;"|"&amp;Customers!N299,Mapping!$D$2:$D$99,0))</f>
        <v>1</v>
      </c>
      <c r="O299" s="8" t="n">
        <f aca="false">INDEX(Mapping!$C$2:$C$99,MATCH(O$1&amp;"|"&amp;Customers!O299,Mapping!$D$2:$D$99,0))</f>
        <v>3</v>
      </c>
      <c r="P299" s="8" t="n">
        <f aca="false">INDEX(Mapping!$C$2:$C$99,MATCH(P$1&amp;"|"&amp;Customers!P299,Mapping!$D$2:$D$99,0))</f>
        <v>3</v>
      </c>
      <c r="Q299" s="8" t="n">
        <f aca="false">INDEX(Mapping!$C$2:$C$99,MATCH(Q$1&amp;"|"&amp;Customers!Q299,Mapping!$D$2:$D$99,0))</f>
        <v>1</v>
      </c>
      <c r="R299" s="8" t="n">
        <f aca="false">INDEX(Mapping!$C$2:$C$99,MATCH(R$1&amp;"|"&amp;Customers!R299,Mapping!$D$2:$D$99,0))</f>
        <v>2</v>
      </c>
      <c r="S299" s="8" t="n">
        <f aca="false">INDEX(Mapping!$C$2:$C$99,MATCH(S$1&amp;"|"&amp;Customers!S299,Mapping!$D$2:$D$99,0))</f>
        <v>1</v>
      </c>
      <c r="T299" s="8" t="n">
        <f aca="false">INDEX(Mapping!$C$2:$C$99,MATCH(T$1&amp;"|"&amp;Customers!T299,Mapping!$D$2:$D$99,0))</f>
        <v>1</v>
      </c>
      <c r="U299" s="8" t="n">
        <f aca="false">INDEX(Mapping!$C$2:$C$99,MATCH(U$1&amp;"|"&amp;Customers!U299,Mapping!$D$2:$D$99,0))</f>
        <v>1</v>
      </c>
      <c r="V299" s="8" t="n">
        <f aca="false">INDEX(Mapping!$C$2:$C$99,MATCH(V$1&amp;"|"&amp;Customers!V299,Mapping!$D$2:$D$99,0))</f>
        <v>1</v>
      </c>
      <c r="W299" s="17" t="n">
        <f aca="false">SUMPRODUCT($C299:$V299,Weights!$C$27:$V$27)</f>
        <v>1.5075</v>
      </c>
      <c r="X299" s="18" t="n">
        <f aca="false">ROUND($W299,2)</f>
        <v>1.51</v>
      </c>
      <c r="Y299" s="8" t="str">
        <f aca="false">IF($X299&lt;=2,"Low",IF($X299&lt;=3.49,"Medium","High"))</f>
        <v>Low</v>
      </c>
      <c r="Z299" s="8" t="str">
        <f aca="false">IF(OR($F299&gt;=3,$E299=5,$D299=5,$C299=5,$G299=5,$H299=5,$I299=5,$J299=5,Customers!$W299="Yes"),"Yes","No")</f>
        <v>No</v>
      </c>
      <c r="AA299" s="15" t="str">
        <f aca="false">IF($Z299="Yes","High",$Y299)</f>
        <v>Low</v>
      </c>
      <c r="AB299" s="18" t="n">
        <f aca="false">SUMPRODUCT($C299:$G299,Weights!$C$28:$G$28)</f>
        <v>1.7</v>
      </c>
      <c r="AC299" s="18" t="n">
        <f aca="false">SUMPRODUCT($H299:$J299,Weights!$H$28:$J$28)</f>
        <v>1</v>
      </c>
      <c r="AD299" s="18" t="n">
        <f aca="false">SUMPRODUCT($K299:$N299,Weights!$K$28:$N$28)</f>
        <v>1.5</v>
      </c>
      <c r="AE299" s="18" t="n">
        <f aca="false">SUMPRODUCT($O299:$Q299,Weights!$O$28:$Q$28)</f>
        <v>2.6</v>
      </c>
      <c r="AF299" s="18" t="n">
        <f aca="false">SUMPRODUCT($R299:$V299,Weights!$R$28:$V$28)</f>
        <v>1.25</v>
      </c>
      <c r="AH299" s="18" t="n">
        <f aca="false">SUMPRODUCT($AB299:$AF299,Validation!$D$7:$H$7)</f>
        <v>1.48000000000035</v>
      </c>
      <c r="AI299" s="18" t="n">
        <f aca="false">SUMPRODUCT($AB299:$AF299,Validation!$D$8:$H$8)</f>
        <v>1.53499999999965</v>
      </c>
      <c r="AJ299" s="18" t="n">
        <f aca="false">SUMPRODUCT($AB299:$AF299,Validation!$D$9:$H$9)</f>
        <v>1.5751666666663</v>
      </c>
      <c r="AK299" s="18" t="n">
        <f aca="false">SUMPRODUCT($AB299:$AF299,Validation!$D$10:$H$10)</f>
        <v>1.4398333333337</v>
      </c>
      <c r="AL299" s="18" t="n">
        <f aca="false">SUMPRODUCT($AB299:$AF299,Validation!$D$11:$H$11)</f>
        <v>1.5084375</v>
      </c>
      <c r="AM299" s="18" t="n">
        <f aca="false">SUMPRODUCT($AB299:$AF299,Validation!$D$12:$H$12)</f>
        <v>1.5065625</v>
      </c>
      <c r="AN299" s="18" t="n">
        <f aca="false">SUMPRODUCT($AB299:$AF299,Validation!$D$13:$H$13)</f>
        <v>1.38611111111085</v>
      </c>
      <c r="AO299" s="18" t="n">
        <f aca="false">SUMPRODUCT($AB299:$AF299,Validation!$D$14:$H$14)</f>
        <v>1.62888888888915</v>
      </c>
      <c r="AP299" s="18" t="n">
        <f aca="false">SUMPRODUCT($AB299:$AF299,Validation!$D$15:$H$15)</f>
        <v>1.5377941176466</v>
      </c>
      <c r="AQ299" s="18" t="n">
        <f aca="false">SUMPRODUCT($AB299:$AF299,Validation!$D$16:$H$16)</f>
        <v>1.4772058823534</v>
      </c>
      <c r="AR299" s="8" t="n">
        <f aca="false">COUNTIF($C299:$V299,"&gt;=4")</f>
        <v>0</v>
      </c>
      <c r="AS299" s="8" t="str">
        <f aca="false">IF($X299&lt;=1.6,"Low",IF($X299&lt;=2.2,"Medium","High"))</f>
        <v>Low</v>
      </c>
      <c r="AT299" s="8" t="str">
        <f aca="false">IF($AR299=0,"Low",IF($AR299&lt;3,"Medium","High"))</f>
        <v>Low</v>
      </c>
      <c r="AU299" s="8" t="str">
        <f aca="false">IF(OR($AS299="High",$AT299="High"),"High",IF(OR($AS299="Medium",$AT299="Medium"),"Medium","Low"))</f>
        <v>Low</v>
      </c>
      <c r="AV299" s="15" t="str">
        <f aca="false">IF($Z299="Yes","High",$AU299)</f>
        <v>Low</v>
      </c>
    </row>
    <row r="300" customFormat="false" ht="15" hidden="false" customHeight="false" outlineLevel="0" collapsed="false">
      <c r="A300" s="7" t="str">
        <f aca="false">Customers!$A300</f>
        <v>NG-10011</v>
      </c>
      <c r="B300" s="7" t="str">
        <f aca="false">Customers!$B300</f>
        <v>Personal</v>
      </c>
      <c r="C300" s="8" t="n">
        <f aca="false">INDEX(Mapping!$C$2:$C$99,MATCH(C$1&amp;"|"&amp;Customers!C300,Mapping!$D$2:$D$99,0))</f>
        <v>1</v>
      </c>
      <c r="D300" s="8" t="n">
        <f aca="false">INDEX(Mapping!$C$2:$C$99,MATCH(D$1&amp;"|"&amp;Customers!D300,Mapping!$D$2:$D$99,0))</f>
        <v>1</v>
      </c>
      <c r="E300" s="8" t="n">
        <f aca="false">INDEX(Mapping!$C$2:$C$99,MATCH(E$1&amp;"|"&amp;Customers!E300,Mapping!$D$2:$D$99,0))</f>
        <v>1</v>
      </c>
      <c r="F300" s="8" t="n">
        <f aca="false">INDEX(Mapping!$C$2:$C$99,MATCH(F$1&amp;"|"&amp;Customers!F300,Mapping!$D$2:$D$99,0))</f>
        <v>1</v>
      </c>
      <c r="G300" s="8" t="n">
        <f aca="false">INDEX(Mapping!$C$2:$C$99,MATCH(G$1&amp;"|"&amp;Customers!G300,Mapping!$D$2:$D$99,0))</f>
        <v>1</v>
      </c>
      <c r="H300" s="8" t="n">
        <f aca="false">INDEX(Mapping!$C$2:$C$99,MATCH(H$1&amp;"|"&amp;Customers!H300,Mapping!$D$2:$D$99,0))</f>
        <v>1</v>
      </c>
      <c r="I300" s="8" t="n">
        <f aca="false">INDEX(Mapping!$C$2:$C$99,MATCH(I$1&amp;"|"&amp;Customers!I300,Mapping!$D$2:$D$99,0))</f>
        <v>1</v>
      </c>
      <c r="J300" s="8" t="n">
        <f aca="false">INDEX(Mapping!$C$2:$C$99,MATCH(J$1&amp;"|"&amp;Customers!J300,Mapping!$D$2:$D$99,0))</f>
        <v>1</v>
      </c>
      <c r="K300" s="8" t="n">
        <f aca="false">INDEX(Mapping!$C$2:$C$99,MATCH(K$1&amp;"|"&amp;Customers!K300,Mapping!$D$2:$D$99,0))</f>
        <v>3</v>
      </c>
      <c r="L300" s="8" t="n">
        <f aca="false">INDEX(Mapping!$C$2:$C$99,MATCH(L$1&amp;"|"&amp;Customers!L300,Mapping!$D$2:$D$99,0))</f>
        <v>3</v>
      </c>
      <c r="M300" s="8" t="n">
        <f aca="false">INDEX(Mapping!$C$2:$C$99,MATCH(M$1&amp;"|"&amp;Customers!M300,Mapping!$D$2:$D$99,0))</f>
        <v>1</v>
      </c>
      <c r="N300" s="8" t="n">
        <f aca="false">INDEX(Mapping!$C$2:$C$99,MATCH(N$1&amp;"|"&amp;Customers!N300,Mapping!$D$2:$D$99,0))</f>
        <v>1</v>
      </c>
      <c r="O300" s="8" t="n">
        <f aca="false">INDEX(Mapping!$C$2:$C$99,MATCH(O$1&amp;"|"&amp;Customers!O300,Mapping!$D$2:$D$99,0))</f>
        <v>3</v>
      </c>
      <c r="P300" s="8" t="n">
        <f aca="false">INDEX(Mapping!$C$2:$C$99,MATCH(P$1&amp;"|"&amp;Customers!P300,Mapping!$D$2:$D$99,0))</f>
        <v>1</v>
      </c>
      <c r="Q300" s="8" t="n">
        <f aca="false">INDEX(Mapping!$C$2:$C$99,MATCH(Q$1&amp;"|"&amp;Customers!Q300,Mapping!$D$2:$D$99,0))</f>
        <v>1</v>
      </c>
      <c r="R300" s="8" t="n">
        <f aca="false">INDEX(Mapping!$C$2:$C$99,MATCH(R$1&amp;"|"&amp;Customers!R300,Mapping!$D$2:$D$99,0))</f>
        <v>1</v>
      </c>
      <c r="S300" s="8" t="n">
        <f aca="false">INDEX(Mapping!$C$2:$C$99,MATCH(S$1&amp;"|"&amp;Customers!S300,Mapping!$D$2:$D$99,0))</f>
        <v>2</v>
      </c>
      <c r="T300" s="8" t="n">
        <f aca="false">INDEX(Mapping!$C$2:$C$99,MATCH(T$1&amp;"|"&amp;Customers!T300,Mapping!$D$2:$D$99,0))</f>
        <v>1</v>
      </c>
      <c r="U300" s="8" t="n">
        <f aca="false">INDEX(Mapping!$C$2:$C$99,MATCH(U$1&amp;"|"&amp;Customers!U300,Mapping!$D$2:$D$99,0))</f>
        <v>1</v>
      </c>
      <c r="V300" s="8" t="n">
        <f aca="false">INDEX(Mapping!$C$2:$C$99,MATCH(V$1&amp;"|"&amp;Customers!V300,Mapping!$D$2:$D$99,0))</f>
        <v>1</v>
      </c>
      <c r="W300" s="17" t="n">
        <f aca="false">SUMPRODUCT($C300:$V300,Weights!$C$27:$V$27)</f>
        <v>1.375</v>
      </c>
      <c r="X300" s="18" t="n">
        <f aca="false">ROUND($W300,2)</f>
        <v>1.38</v>
      </c>
      <c r="Y300" s="8" t="str">
        <f aca="false">IF($X300&lt;=2,"Low",IF($X300&lt;=3.49,"Medium","High"))</f>
        <v>Low</v>
      </c>
      <c r="Z300" s="8" t="str">
        <f aca="false">IF(OR($F300&gt;=3,$E300=5,$D300=5,$C300=5,$G300=5,$H300=5,$I300=5,$J300=5,Customers!$W300="Yes"),"Yes","No")</f>
        <v>No</v>
      </c>
      <c r="AA300" s="15" t="str">
        <f aca="false">IF($Z300="Yes","High",$Y300)</f>
        <v>Low</v>
      </c>
      <c r="AB300" s="18" t="n">
        <f aca="false">SUMPRODUCT($C300:$G300,Weights!$C$28:$G$28)</f>
        <v>1</v>
      </c>
      <c r="AC300" s="18" t="n">
        <f aca="false">SUMPRODUCT($H300:$J300,Weights!$H$28:$J$28)</f>
        <v>1</v>
      </c>
      <c r="AD300" s="18" t="n">
        <f aca="false">SUMPRODUCT($K300:$N300,Weights!$K$28:$N$28)</f>
        <v>2.2</v>
      </c>
      <c r="AE300" s="18" t="n">
        <f aca="false">SUMPRODUCT($O300:$Q300,Weights!$O$28:$Q$28)</f>
        <v>1.9</v>
      </c>
      <c r="AF300" s="18" t="n">
        <f aca="false">SUMPRODUCT($R300:$V300,Weights!$R$28:$V$28)</f>
        <v>1.3</v>
      </c>
      <c r="AH300" s="18" t="n">
        <f aca="false">SUMPRODUCT($AB300:$AF300,Validation!$D$7:$H$7)</f>
        <v>1.4285714285713</v>
      </c>
      <c r="AI300" s="18" t="n">
        <f aca="false">SUMPRODUCT($AB300:$AF300,Validation!$D$8:$H$8)</f>
        <v>1.3214285714287</v>
      </c>
      <c r="AJ300" s="18" t="n">
        <f aca="false">SUMPRODUCT($AB300:$AF300,Validation!$D$9:$H$9)</f>
        <v>1.4250000000001</v>
      </c>
      <c r="AK300" s="18" t="n">
        <f aca="false">SUMPRODUCT($AB300:$AF300,Validation!$D$10:$H$10)</f>
        <v>1.3249999999999</v>
      </c>
      <c r="AL300" s="18" t="n">
        <f aca="false">SUMPRODUCT($AB300:$AF300,Validation!$D$11:$H$11)</f>
        <v>1.271875</v>
      </c>
      <c r="AM300" s="18" t="n">
        <f aca="false">SUMPRODUCT($AB300:$AF300,Validation!$D$12:$H$12)</f>
        <v>1.478125</v>
      </c>
      <c r="AN300" s="18" t="n">
        <f aca="false">SUMPRODUCT($AB300:$AF300,Validation!$D$13:$H$13)</f>
        <v>1.3166666666665</v>
      </c>
      <c r="AO300" s="18" t="n">
        <f aca="false">SUMPRODUCT($AB300:$AF300,Validation!$D$14:$H$14)</f>
        <v>1.4333333333335</v>
      </c>
      <c r="AP300" s="18" t="n">
        <f aca="false">SUMPRODUCT($AB300:$AF300,Validation!$D$15:$H$15)</f>
        <v>1.3838235294118</v>
      </c>
      <c r="AQ300" s="18" t="n">
        <f aca="false">SUMPRODUCT($AB300:$AF300,Validation!$D$16:$H$16)</f>
        <v>1.3661764705882</v>
      </c>
      <c r="AR300" s="8" t="n">
        <f aca="false">COUNTIF($C300:$V300,"&gt;=4")</f>
        <v>0</v>
      </c>
      <c r="AS300" s="8" t="str">
        <f aca="false">IF($X300&lt;=1.6,"Low",IF($X300&lt;=2.2,"Medium","High"))</f>
        <v>Low</v>
      </c>
      <c r="AT300" s="8" t="str">
        <f aca="false">IF($AR300=0,"Low",IF($AR300&lt;3,"Medium","High"))</f>
        <v>Low</v>
      </c>
      <c r="AU300" s="8" t="str">
        <f aca="false">IF(OR($AS300="High",$AT300="High"),"High",IF(OR($AS300="Medium",$AT300="Medium"),"Medium","Low"))</f>
        <v>Low</v>
      </c>
      <c r="AV300" s="15" t="str">
        <f aca="false">IF($Z300="Yes","High",$AU300)</f>
        <v>Low</v>
      </c>
    </row>
    <row r="301" customFormat="false" ht="15" hidden="false" customHeight="false" outlineLevel="0" collapsed="false">
      <c r="A301" s="7" t="str">
        <f aca="false">Customers!$A301</f>
        <v>NG-10303</v>
      </c>
      <c r="B301" s="7" t="str">
        <f aca="false">Customers!$B301</f>
        <v>Sole trader</v>
      </c>
      <c r="C301" s="8" t="n">
        <f aca="false">INDEX(Mapping!$C$2:$C$99,MATCH(C$1&amp;"|"&amp;Customers!C301,Mapping!$D$2:$D$99,0))</f>
        <v>2</v>
      </c>
      <c r="D301" s="8" t="n">
        <f aca="false">INDEX(Mapping!$C$2:$C$99,MATCH(D$1&amp;"|"&amp;Customers!D301,Mapping!$D$2:$D$99,0))</f>
        <v>1</v>
      </c>
      <c r="E301" s="8" t="n">
        <f aca="false">INDEX(Mapping!$C$2:$C$99,MATCH(E$1&amp;"|"&amp;Customers!E301,Mapping!$D$2:$D$99,0))</f>
        <v>3</v>
      </c>
      <c r="F301" s="8" t="n">
        <f aca="false">INDEX(Mapping!$C$2:$C$99,MATCH(F$1&amp;"|"&amp;Customers!F301,Mapping!$D$2:$D$99,0))</f>
        <v>1</v>
      </c>
      <c r="G301" s="8" t="n">
        <f aca="false">INDEX(Mapping!$C$2:$C$99,MATCH(G$1&amp;"|"&amp;Customers!G301,Mapping!$D$2:$D$99,0))</f>
        <v>1</v>
      </c>
      <c r="H301" s="8" t="n">
        <f aca="false">INDEX(Mapping!$C$2:$C$99,MATCH(H$1&amp;"|"&amp;Customers!H301,Mapping!$D$2:$D$99,0))</f>
        <v>1</v>
      </c>
      <c r="I301" s="8" t="n">
        <f aca="false">INDEX(Mapping!$C$2:$C$99,MATCH(I$1&amp;"|"&amp;Customers!I301,Mapping!$D$2:$D$99,0))</f>
        <v>1</v>
      </c>
      <c r="J301" s="8" t="n">
        <f aca="false">INDEX(Mapping!$C$2:$C$99,MATCH(J$1&amp;"|"&amp;Customers!J301,Mapping!$D$2:$D$99,0))</f>
        <v>1</v>
      </c>
      <c r="K301" s="8" t="n">
        <f aca="false">INDEX(Mapping!$C$2:$C$99,MATCH(K$1&amp;"|"&amp;Customers!K301,Mapping!$D$2:$D$99,0))</f>
        <v>4</v>
      </c>
      <c r="L301" s="8" t="n">
        <f aca="false">INDEX(Mapping!$C$2:$C$99,MATCH(L$1&amp;"|"&amp;Customers!L301,Mapping!$D$2:$D$99,0))</f>
        <v>4</v>
      </c>
      <c r="M301" s="8" t="n">
        <f aca="false">INDEX(Mapping!$C$2:$C$99,MATCH(M$1&amp;"|"&amp;Customers!M301,Mapping!$D$2:$D$99,0))</f>
        <v>1</v>
      </c>
      <c r="N301" s="8" t="n">
        <f aca="false">INDEX(Mapping!$C$2:$C$99,MATCH(N$1&amp;"|"&amp;Customers!N301,Mapping!$D$2:$D$99,0))</f>
        <v>1</v>
      </c>
      <c r="O301" s="8" t="n">
        <f aca="false">INDEX(Mapping!$C$2:$C$99,MATCH(O$1&amp;"|"&amp;Customers!O301,Mapping!$D$2:$D$99,0))</f>
        <v>1</v>
      </c>
      <c r="P301" s="8" t="n">
        <f aca="false">INDEX(Mapping!$C$2:$C$99,MATCH(P$1&amp;"|"&amp;Customers!P301,Mapping!$D$2:$D$99,0))</f>
        <v>4</v>
      </c>
      <c r="Q301" s="8" t="n">
        <f aca="false">INDEX(Mapping!$C$2:$C$99,MATCH(Q$1&amp;"|"&amp;Customers!Q301,Mapping!$D$2:$D$99,0))</f>
        <v>1</v>
      </c>
      <c r="R301" s="8" t="n">
        <f aca="false">INDEX(Mapping!$C$2:$C$99,MATCH(R$1&amp;"|"&amp;Customers!R301,Mapping!$D$2:$D$99,0))</f>
        <v>2</v>
      </c>
      <c r="S301" s="8" t="n">
        <f aca="false">INDEX(Mapping!$C$2:$C$99,MATCH(S$1&amp;"|"&amp;Customers!S301,Mapping!$D$2:$D$99,0))</f>
        <v>3</v>
      </c>
      <c r="T301" s="8" t="n">
        <f aca="false">INDEX(Mapping!$C$2:$C$99,MATCH(T$1&amp;"|"&amp;Customers!T301,Mapping!$D$2:$D$99,0))</f>
        <v>1</v>
      </c>
      <c r="U301" s="8" t="n">
        <f aca="false">INDEX(Mapping!$C$2:$C$99,MATCH(U$1&amp;"|"&amp;Customers!U301,Mapping!$D$2:$D$99,0))</f>
        <v>2</v>
      </c>
      <c r="V301" s="8" t="n">
        <f aca="false">INDEX(Mapping!$C$2:$C$99,MATCH(V$1&amp;"|"&amp;Customers!V301,Mapping!$D$2:$D$99,0))</f>
        <v>1</v>
      </c>
      <c r="W301" s="17" t="n">
        <f aca="false">SUMPRODUCT($C301:$V301,Weights!$C$27:$V$27)</f>
        <v>1.825</v>
      </c>
      <c r="X301" s="18" t="n">
        <f aca="false">ROUND($W301,2)</f>
        <v>1.83</v>
      </c>
      <c r="Y301" s="8" t="str">
        <f aca="false">IF($X301&lt;=2,"Low",IF($X301&lt;=3.49,"Medium","High"))</f>
        <v>Low</v>
      </c>
      <c r="Z301" s="8" t="str">
        <f aca="false">IF(OR($F301&gt;=3,$E301=5,$D301=5,$C301=5,$G301=5,$H301=5,$I301=5,$J301=5,Customers!$W301="Yes"),"Yes","No")</f>
        <v>No</v>
      </c>
      <c r="AA301" s="15" t="str">
        <f aca="false">IF($Z301="Yes","High",$Y301)</f>
        <v>Low</v>
      </c>
      <c r="AB301" s="18" t="n">
        <f aca="false">SUMPRODUCT($C301:$G301,Weights!$C$28:$G$28)</f>
        <v>1.7</v>
      </c>
      <c r="AC301" s="18" t="n">
        <f aca="false">SUMPRODUCT($H301:$J301,Weights!$H$28:$J$28)</f>
        <v>1</v>
      </c>
      <c r="AD301" s="18" t="n">
        <f aca="false">SUMPRODUCT($K301:$N301,Weights!$K$28:$N$28)</f>
        <v>2.8</v>
      </c>
      <c r="AE301" s="18" t="n">
        <f aca="false">SUMPRODUCT($O301:$Q301,Weights!$O$28:$Q$28)</f>
        <v>2.05</v>
      </c>
      <c r="AF301" s="18" t="n">
        <f aca="false">SUMPRODUCT($R301:$V301,Weights!$R$28:$V$28)</f>
        <v>2</v>
      </c>
      <c r="AH301" s="18" t="n">
        <f aca="false">SUMPRODUCT($AB301:$AF301,Validation!$D$7:$H$7)</f>
        <v>1.8428571428571</v>
      </c>
      <c r="AI301" s="18" t="n">
        <f aca="false">SUMPRODUCT($AB301:$AF301,Validation!$D$8:$H$8)</f>
        <v>1.8071428571429</v>
      </c>
      <c r="AJ301" s="18" t="n">
        <f aca="false">SUMPRODUCT($AB301:$AF301,Validation!$D$9:$H$9)</f>
        <v>1.93500000000025</v>
      </c>
      <c r="AK301" s="18" t="n">
        <f aca="false">SUMPRODUCT($AB301:$AF301,Validation!$D$10:$H$10)</f>
        <v>1.71499999999975</v>
      </c>
      <c r="AL301" s="18" t="n">
        <f aca="false">SUMPRODUCT($AB301:$AF301,Validation!$D$11:$H$11)</f>
        <v>1.703125</v>
      </c>
      <c r="AM301" s="18" t="n">
        <f aca="false">SUMPRODUCT($AB301:$AF301,Validation!$D$12:$H$12)</f>
        <v>1.946875</v>
      </c>
      <c r="AN301" s="18" t="n">
        <f aca="false">SUMPRODUCT($AB301:$AF301,Validation!$D$13:$H$13)</f>
        <v>1.7999999999997</v>
      </c>
      <c r="AO301" s="18" t="n">
        <f aca="false">SUMPRODUCT($AB301:$AF301,Validation!$D$14:$H$14)</f>
        <v>1.8500000000003</v>
      </c>
      <c r="AP301" s="18" t="n">
        <f aca="false">SUMPRODUCT($AB301:$AF301,Validation!$D$15:$H$15)</f>
        <v>1.804411764706</v>
      </c>
      <c r="AQ301" s="18" t="n">
        <f aca="false">SUMPRODUCT($AB301:$AF301,Validation!$D$16:$H$16)</f>
        <v>1.845588235294</v>
      </c>
      <c r="AR301" s="8" t="n">
        <f aca="false">COUNTIF($C301:$V301,"&gt;=4")</f>
        <v>3</v>
      </c>
      <c r="AS301" s="8" t="str">
        <f aca="false">IF($X301&lt;=1.6,"Low",IF($X301&lt;=2.2,"Medium","High"))</f>
        <v>Medium</v>
      </c>
      <c r="AT301" s="8" t="str">
        <f aca="false">IF($AR301=0,"Low",IF($AR301&lt;3,"Medium","High"))</f>
        <v>High</v>
      </c>
      <c r="AU301" s="8" t="str">
        <f aca="false">IF(OR($AS301="High",$AT301="High"),"High",IF(OR($AS301="Medium",$AT301="Medium"),"Medium","Low"))</f>
        <v>High</v>
      </c>
      <c r="AV301" s="15" t="str">
        <f aca="false">IF($Z301="Yes","High",$AU301)</f>
        <v>High</v>
      </c>
    </row>
    <row r="302" customFormat="false" ht="15" hidden="false" customHeight="false" outlineLevel="0" collapsed="false">
      <c r="A302" s="7" t="str">
        <f aca="false">Customers!$A302</f>
        <v>NG-10030</v>
      </c>
      <c r="B302" s="7" t="str">
        <f aca="false">Customers!$B302</f>
        <v>Personal</v>
      </c>
      <c r="C302" s="8" t="n">
        <f aca="false">INDEX(Mapping!$C$2:$C$99,MATCH(C$1&amp;"|"&amp;Customers!C302,Mapping!$D$2:$D$99,0))</f>
        <v>1</v>
      </c>
      <c r="D302" s="8" t="n">
        <f aca="false">INDEX(Mapping!$C$2:$C$99,MATCH(D$1&amp;"|"&amp;Customers!D302,Mapping!$D$2:$D$99,0))</f>
        <v>1</v>
      </c>
      <c r="E302" s="8" t="n">
        <f aca="false">INDEX(Mapping!$C$2:$C$99,MATCH(E$1&amp;"|"&amp;Customers!E302,Mapping!$D$2:$D$99,0))</f>
        <v>4</v>
      </c>
      <c r="F302" s="8" t="n">
        <f aca="false">INDEX(Mapping!$C$2:$C$99,MATCH(F$1&amp;"|"&amp;Customers!F302,Mapping!$D$2:$D$99,0))</f>
        <v>1</v>
      </c>
      <c r="G302" s="8" t="n">
        <f aca="false">INDEX(Mapping!$C$2:$C$99,MATCH(G$1&amp;"|"&amp;Customers!G302,Mapping!$D$2:$D$99,0))</f>
        <v>1</v>
      </c>
      <c r="H302" s="8" t="n">
        <f aca="false">INDEX(Mapping!$C$2:$C$99,MATCH(H$1&amp;"|"&amp;Customers!H302,Mapping!$D$2:$D$99,0))</f>
        <v>1</v>
      </c>
      <c r="I302" s="8" t="n">
        <f aca="false">INDEX(Mapping!$C$2:$C$99,MATCH(I$1&amp;"|"&amp;Customers!I302,Mapping!$D$2:$D$99,0))</f>
        <v>1</v>
      </c>
      <c r="J302" s="8" t="n">
        <f aca="false">INDEX(Mapping!$C$2:$C$99,MATCH(J$1&amp;"|"&amp;Customers!J302,Mapping!$D$2:$D$99,0))</f>
        <v>1</v>
      </c>
      <c r="K302" s="8" t="n">
        <f aca="false">INDEX(Mapping!$C$2:$C$99,MATCH(K$1&amp;"|"&amp;Customers!K302,Mapping!$D$2:$D$99,0))</f>
        <v>2</v>
      </c>
      <c r="L302" s="8" t="n">
        <f aca="false">INDEX(Mapping!$C$2:$C$99,MATCH(L$1&amp;"|"&amp;Customers!L302,Mapping!$D$2:$D$99,0))</f>
        <v>2</v>
      </c>
      <c r="M302" s="8" t="n">
        <f aca="false">INDEX(Mapping!$C$2:$C$99,MATCH(M$1&amp;"|"&amp;Customers!M302,Mapping!$D$2:$D$99,0))</f>
        <v>2</v>
      </c>
      <c r="N302" s="8" t="n">
        <f aca="false">INDEX(Mapping!$C$2:$C$99,MATCH(N$1&amp;"|"&amp;Customers!N302,Mapping!$D$2:$D$99,0))</f>
        <v>1</v>
      </c>
      <c r="O302" s="8" t="n">
        <f aca="false">INDEX(Mapping!$C$2:$C$99,MATCH(O$1&amp;"|"&amp;Customers!O302,Mapping!$D$2:$D$99,0))</f>
        <v>3</v>
      </c>
      <c r="P302" s="8" t="n">
        <f aca="false">INDEX(Mapping!$C$2:$C$99,MATCH(P$1&amp;"|"&amp;Customers!P302,Mapping!$D$2:$D$99,0))</f>
        <v>3</v>
      </c>
      <c r="Q302" s="8" t="n">
        <f aca="false">INDEX(Mapping!$C$2:$C$99,MATCH(Q$1&amp;"|"&amp;Customers!Q302,Mapping!$D$2:$D$99,0))</f>
        <v>2</v>
      </c>
      <c r="R302" s="8" t="n">
        <f aca="false">INDEX(Mapping!$C$2:$C$99,MATCH(R$1&amp;"|"&amp;Customers!R302,Mapping!$D$2:$D$99,0))</f>
        <v>1</v>
      </c>
      <c r="S302" s="8" t="n">
        <f aca="false">INDEX(Mapping!$C$2:$C$99,MATCH(S$1&amp;"|"&amp;Customers!S302,Mapping!$D$2:$D$99,0))</f>
        <v>1</v>
      </c>
      <c r="T302" s="8" t="n">
        <f aca="false">INDEX(Mapping!$C$2:$C$99,MATCH(T$1&amp;"|"&amp;Customers!T302,Mapping!$D$2:$D$99,0))</f>
        <v>1</v>
      </c>
      <c r="U302" s="8" t="n">
        <f aca="false">INDEX(Mapping!$C$2:$C$99,MATCH(U$1&amp;"|"&amp;Customers!U302,Mapping!$D$2:$D$99,0))</f>
        <v>2</v>
      </c>
      <c r="V302" s="8" t="n">
        <f aca="false">INDEX(Mapping!$C$2:$C$99,MATCH(V$1&amp;"|"&amp;Customers!V302,Mapping!$D$2:$D$99,0))</f>
        <v>1</v>
      </c>
      <c r="W302" s="17" t="n">
        <f aca="false">SUMPRODUCT($C302:$V302,Weights!$C$27:$V$27)</f>
        <v>1.5975</v>
      </c>
      <c r="X302" s="18" t="n">
        <f aca="false">ROUND($W302,2)</f>
        <v>1.6</v>
      </c>
      <c r="Y302" s="8" t="str">
        <f aca="false">IF($X302&lt;=2,"Low",IF($X302&lt;=3.49,"Medium","High"))</f>
        <v>Low</v>
      </c>
      <c r="Z302" s="8" t="str">
        <f aca="false">IF(OR($F302&gt;=3,$E302=5,$D302=5,$C302=5,$G302=5,$H302=5,$I302=5,$J302=5,Customers!$W302="Yes"),"Yes","No")</f>
        <v>No</v>
      </c>
      <c r="AA302" s="15" t="str">
        <f aca="false">IF($Z302="Yes","High",$Y302)</f>
        <v>Low</v>
      </c>
      <c r="AB302" s="18" t="n">
        <f aca="false">SUMPRODUCT($C302:$G302,Weights!$C$28:$G$28)</f>
        <v>1.75</v>
      </c>
      <c r="AC302" s="18" t="n">
        <f aca="false">SUMPRODUCT($H302:$J302,Weights!$H$28:$J$28)</f>
        <v>1</v>
      </c>
      <c r="AD302" s="18" t="n">
        <f aca="false">SUMPRODUCT($K302:$N302,Weights!$K$28:$N$28)</f>
        <v>1.85</v>
      </c>
      <c r="AE302" s="18" t="n">
        <f aca="false">SUMPRODUCT($O302:$Q302,Weights!$O$28:$Q$28)</f>
        <v>2.8</v>
      </c>
      <c r="AF302" s="18" t="n">
        <f aca="false">SUMPRODUCT($R302:$V302,Weights!$R$28:$V$28)</f>
        <v>1.15</v>
      </c>
      <c r="AH302" s="18" t="n">
        <f aca="false">SUMPRODUCT($AB302:$AF302,Validation!$D$7:$H$7)</f>
        <v>1.5757142857145</v>
      </c>
      <c r="AI302" s="18" t="n">
        <f aca="false">SUMPRODUCT($AB302:$AF302,Validation!$D$8:$H$8)</f>
        <v>1.6192857142855</v>
      </c>
      <c r="AJ302" s="18" t="n">
        <f aca="false">SUMPRODUCT($AB302:$AF302,Validation!$D$9:$H$9)</f>
        <v>1.67716666666635</v>
      </c>
      <c r="AK302" s="18" t="n">
        <f aca="false">SUMPRODUCT($AB302:$AF302,Validation!$D$10:$H$10)</f>
        <v>1.51783333333365</v>
      </c>
      <c r="AL302" s="18" t="n">
        <f aca="false">SUMPRODUCT($AB302:$AF302,Validation!$D$11:$H$11)</f>
        <v>1.5659375</v>
      </c>
      <c r="AM302" s="18" t="n">
        <f aca="false">SUMPRODUCT($AB302:$AF302,Validation!$D$12:$H$12)</f>
        <v>1.6290625</v>
      </c>
      <c r="AN302" s="18" t="n">
        <f aca="false">SUMPRODUCT($AB302:$AF302,Validation!$D$13:$H$13)</f>
        <v>1.4638888888885</v>
      </c>
      <c r="AO302" s="18" t="n">
        <f aca="false">SUMPRODUCT($AB302:$AF302,Validation!$D$14:$H$14)</f>
        <v>1.7311111111115</v>
      </c>
      <c r="AP302" s="18" t="n">
        <f aca="false">SUMPRODUCT($AB302:$AF302,Validation!$D$15:$H$15)</f>
        <v>1.6501470588231</v>
      </c>
      <c r="AQ302" s="18" t="n">
        <f aca="false">SUMPRODUCT($AB302:$AF302,Validation!$D$16:$H$16)</f>
        <v>1.5448529411769</v>
      </c>
      <c r="AR302" s="8" t="n">
        <f aca="false">COUNTIF($C302:$V302,"&gt;=4")</f>
        <v>1</v>
      </c>
      <c r="AS302" s="8" t="str">
        <f aca="false">IF($X302&lt;=1.6,"Low",IF($X302&lt;=2.2,"Medium","High"))</f>
        <v>Low</v>
      </c>
      <c r="AT302" s="8" t="str">
        <f aca="false">IF($AR302=0,"Low",IF($AR302&lt;3,"Medium","High"))</f>
        <v>Medium</v>
      </c>
      <c r="AU302" s="8" t="str">
        <f aca="false">IF(OR($AS302="High",$AT302="High"),"High",IF(OR($AS302="Medium",$AT302="Medium"),"Medium","Low"))</f>
        <v>Medium</v>
      </c>
      <c r="AV302" s="15" t="str">
        <f aca="false">IF($Z302="Yes","High",$AU302)</f>
        <v>Medium</v>
      </c>
    </row>
    <row r="303" customFormat="false" ht="15" hidden="false" customHeight="false" outlineLevel="0" collapsed="false">
      <c r="A303" s="7" t="str">
        <f aca="false">Customers!$A303</f>
        <v>NG-10093</v>
      </c>
      <c r="B303" s="7" t="str">
        <f aca="false">Customers!$B303</f>
        <v>Personal</v>
      </c>
      <c r="C303" s="8" t="n">
        <f aca="false">INDEX(Mapping!$C$2:$C$99,MATCH(C$1&amp;"|"&amp;Customers!C303,Mapping!$D$2:$D$99,0))</f>
        <v>1</v>
      </c>
      <c r="D303" s="8" t="n">
        <f aca="false">INDEX(Mapping!$C$2:$C$99,MATCH(D$1&amp;"|"&amp;Customers!D303,Mapping!$D$2:$D$99,0))</f>
        <v>1</v>
      </c>
      <c r="E303" s="8" t="n">
        <f aca="false">INDEX(Mapping!$C$2:$C$99,MATCH(E$1&amp;"|"&amp;Customers!E303,Mapping!$D$2:$D$99,0))</f>
        <v>3</v>
      </c>
      <c r="F303" s="8" t="n">
        <f aca="false">INDEX(Mapping!$C$2:$C$99,MATCH(F$1&amp;"|"&amp;Customers!F303,Mapping!$D$2:$D$99,0))</f>
        <v>1</v>
      </c>
      <c r="G303" s="8" t="n">
        <f aca="false">INDEX(Mapping!$C$2:$C$99,MATCH(G$1&amp;"|"&amp;Customers!G303,Mapping!$D$2:$D$99,0))</f>
        <v>1</v>
      </c>
      <c r="H303" s="8" t="n">
        <f aca="false">INDEX(Mapping!$C$2:$C$99,MATCH(H$1&amp;"|"&amp;Customers!H303,Mapping!$D$2:$D$99,0))</f>
        <v>1</v>
      </c>
      <c r="I303" s="8" t="n">
        <f aca="false">INDEX(Mapping!$C$2:$C$99,MATCH(I$1&amp;"|"&amp;Customers!I303,Mapping!$D$2:$D$99,0))</f>
        <v>1</v>
      </c>
      <c r="J303" s="8" t="n">
        <f aca="false">INDEX(Mapping!$C$2:$C$99,MATCH(J$1&amp;"|"&amp;Customers!J303,Mapping!$D$2:$D$99,0))</f>
        <v>1</v>
      </c>
      <c r="K303" s="8" t="n">
        <f aca="false">INDEX(Mapping!$C$2:$C$99,MATCH(K$1&amp;"|"&amp;Customers!K303,Mapping!$D$2:$D$99,0))</f>
        <v>2</v>
      </c>
      <c r="L303" s="8" t="n">
        <f aca="false">INDEX(Mapping!$C$2:$C$99,MATCH(L$1&amp;"|"&amp;Customers!L303,Mapping!$D$2:$D$99,0))</f>
        <v>2</v>
      </c>
      <c r="M303" s="8" t="n">
        <f aca="false">INDEX(Mapping!$C$2:$C$99,MATCH(M$1&amp;"|"&amp;Customers!M303,Mapping!$D$2:$D$99,0))</f>
        <v>1</v>
      </c>
      <c r="N303" s="8" t="n">
        <f aca="false">INDEX(Mapping!$C$2:$C$99,MATCH(N$1&amp;"|"&amp;Customers!N303,Mapping!$D$2:$D$99,0))</f>
        <v>2</v>
      </c>
      <c r="O303" s="8" t="n">
        <f aca="false">INDEX(Mapping!$C$2:$C$99,MATCH(O$1&amp;"|"&amp;Customers!O303,Mapping!$D$2:$D$99,0))</f>
        <v>3</v>
      </c>
      <c r="P303" s="8" t="n">
        <f aca="false">INDEX(Mapping!$C$2:$C$99,MATCH(P$1&amp;"|"&amp;Customers!P303,Mapping!$D$2:$D$99,0))</f>
        <v>4</v>
      </c>
      <c r="Q303" s="8" t="n">
        <f aca="false">INDEX(Mapping!$C$2:$C$99,MATCH(Q$1&amp;"|"&amp;Customers!Q303,Mapping!$D$2:$D$99,0))</f>
        <v>1</v>
      </c>
      <c r="R303" s="8" t="n">
        <f aca="false">INDEX(Mapping!$C$2:$C$99,MATCH(R$1&amp;"|"&amp;Customers!R303,Mapping!$D$2:$D$99,0))</f>
        <v>1</v>
      </c>
      <c r="S303" s="8" t="n">
        <f aca="false">INDEX(Mapping!$C$2:$C$99,MATCH(S$1&amp;"|"&amp;Customers!S303,Mapping!$D$2:$D$99,0))</f>
        <v>1</v>
      </c>
      <c r="T303" s="8" t="n">
        <f aca="false">INDEX(Mapping!$C$2:$C$99,MATCH(T$1&amp;"|"&amp;Customers!T303,Mapping!$D$2:$D$99,0))</f>
        <v>3</v>
      </c>
      <c r="U303" s="8" t="n">
        <f aca="false">INDEX(Mapping!$C$2:$C$99,MATCH(U$1&amp;"|"&amp;Customers!U303,Mapping!$D$2:$D$99,0))</f>
        <v>1</v>
      </c>
      <c r="V303" s="8" t="n">
        <f aca="false">INDEX(Mapping!$C$2:$C$99,MATCH(V$1&amp;"|"&amp;Customers!V303,Mapping!$D$2:$D$99,0))</f>
        <v>1</v>
      </c>
      <c r="W303" s="17" t="n">
        <f aca="false">SUMPRODUCT($C303:$V303,Weights!$C$27:$V$27)</f>
        <v>1.555</v>
      </c>
      <c r="X303" s="18" t="n">
        <f aca="false">ROUND($W303,2)</f>
        <v>1.56</v>
      </c>
      <c r="Y303" s="8" t="str">
        <f aca="false">IF($X303&lt;=2,"Low",IF($X303&lt;=3.49,"Medium","High"))</f>
        <v>Low</v>
      </c>
      <c r="Z303" s="8" t="str">
        <f aca="false">IF(OR($F303&gt;=3,$E303=5,$D303=5,$C303=5,$G303=5,$H303=5,$I303=5,$J303=5,Customers!$W303="Yes"),"Yes","No")</f>
        <v>No</v>
      </c>
      <c r="AA303" s="15" t="str">
        <f aca="false">IF($Z303="Yes","High",$Y303)</f>
        <v>Low</v>
      </c>
      <c r="AB303" s="18" t="n">
        <f aca="false">SUMPRODUCT($C303:$G303,Weights!$C$28:$G$28)</f>
        <v>1.5</v>
      </c>
      <c r="AC303" s="18" t="n">
        <f aca="false">SUMPRODUCT($H303:$J303,Weights!$H$28:$J$28)</f>
        <v>1</v>
      </c>
      <c r="AD303" s="18" t="n">
        <f aca="false">SUMPRODUCT($K303:$N303,Weights!$K$28:$N$28)</f>
        <v>1.75</v>
      </c>
      <c r="AE303" s="18" t="n">
        <f aca="false">SUMPRODUCT($O303:$Q303,Weights!$O$28:$Q$28)</f>
        <v>2.95</v>
      </c>
      <c r="AF303" s="18" t="n">
        <f aca="false">SUMPRODUCT($R303:$V303,Weights!$R$28:$V$28)</f>
        <v>1.4</v>
      </c>
      <c r="AH303" s="18" t="n">
        <f aca="false">SUMPRODUCT($AB303:$AF303,Validation!$D$7:$H$7)</f>
        <v>1.56285714285755</v>
      </c>
      <c r="AI303" s="18" t="n">
        <f aca="false">SUMPRODUCT($AB303:$AF303,Validation!$D$8:$H$8)</f>
        <v>1.54714285714245</v>
      </c>
      <c r="AJ303" s="18" t="n">
        <f aca="false">SUMPRODUCT($AB303:$AF303,Validation!$D$9:$H$9)</f>
        <v>1.6289999999996</v>
      </c>
      <c r="AK303" s="18" t="n">
        <f aca="false">SUMPRODUCT($AB303:$AF303,Validation!$D$10:$H$10)</f>
        <v>1.4810000000004</v>
      </c>
      <c r="AL303" s="18" t="n">
        <f aca="false">SUMPRODUCT($AB303:$AF303,Validation!$D$11:$H$11)</f>
        <v>1.530625</v>
      </c>
      <c r="AM303" s="18" t="n">
        <f aca="false">SUMPRODUCT($AB303:$AF303,Validation!$D$12:$H$12)</f>
        <v>1.579375</v>
      </c>
      <c r="AN303" s="18" t="n">
        <f aca="false">SUMPRODUCT($AB303:$AF303,Validation!$D$13:$H$13)</f>
        <v>1.3999999999998</v>
      </c>
      <c r="AO303" s="18" t="n">
        <f aca="false">SUMPRODUCT($AB303:$AF303,Validation!$D$14:$H$14)</f>
        <v>1.7100000000002</v>
      </c>
      <c r="AP303" s="18" t="n">
        <f aca="false">SUMPRODUCT($AB303:$AF303,Validation!$D$15:$H$15)</f>
        <v>1.57323529411715</v>
      </c>
      <c r="AQ303" s="18" t="n">
        <f aca="false">SUMPRODUCT($AB303:$AF303,Validation!$D$16:$H$16)</f>
        <v>1.53676470588285</v>
      </c>
      <c r="AR303" s="8" t="n">
        <f aca="false">COUNTIF($C303:$V303,"&gt;=4")</f>
        <v>1</v>
      </c>
      <c r="AS303" s="8" t="str">
        <f aca="false">IF($X303&lt;=1.6,"Low",IF($X303&lt;=2.2,"Medium","High"))</f>
        <v>Low</v>
      </c>
      <c r="AT303" s="8" t="str">
        <f aca="false">IF($AR303=0,"Low",IF($AR303&lt;3,"Medium","High"))</f>
        <v>Medium</v>
      </c>
      <c r="AU303" s="8" t="str">
        <f aca="false">IF(OR($AS303="High",$AT303="High"),"High",IF(OR($AS303="Medium",$AT303="Medium"),"Medium","Low"))</f>
        <v>Medium</v>
      </c>
      <c r="AV303" s="15" t="str">
        <f aca="false">IF($Z303="Yes","High",$AU303)</f>
        <v>Medium</v>
      </c>
    </row>
    <row r="304" customFormat="false" ht="15" hidden="false" customHeight="false" outlineLevel="0" collapsed="false">
      <c r="A304" s="7" t="str">
        <f aca="false">Customers!$A304</f>
        <v>NG-10377</v>
      </c>
      <c r="B304" s="7" t="str">
        <f aca="false">Customers!$B304</f>
        <v>Limited company</v>
      </c>
      <c r="C304" s="8" t="n">
        <f aca="false">INDEX(Mapping!$C$2:$C$99,MATCH(C$1&amp;"|"&amp;Customers!C304,Mapping!$D$2:$D$99,0))</f>
        <v>3</v>
      </c>
      <c r="D304" s="8" t="n">
        <f aca="false">INDEX(Mapping!$C$2:$C$99,MATCH(D$1&amp;"|"&amp;Customers!D304,Mapping!$D$2:$D$99,0))</f>
        <v>2</v>
      </c>
      <c r="E304" s="8" t="n">
        <f aca="false">INDEX(Mapping!$C$2:$C$99,MATCH(E$1&amp;"|"&amp;Customers!E304,Mapping!$D$2:$D$99,0))</f>
        <v>2</v>
      </c>
      <c r="F304" s="8" t="n">
        <f aca="false">INDEX(Mapping!$C$2:$C$99,MATCH(F$1&amp;"|"&amp;Customers!F304,Mapping!$D$2:$D$99,0))</f>
        <v>1</v>
      </c>
      <c r="G304" s="8" t="n">
        <f aca="false">INDEX(Mapping!$C$2:$C$99,MATCH(G$1&amp;"|"&amp;Customers!G304,Mapping!$D$2:$D$99,0))</f>
        <v>2</v>
      </c>
      <c r="H304" s="8" t="n">
        <f aca="false">INDEX(Mapping!$C$2:$C$99,MATCH(H$1&amp;"|"&amp;Customers!H304,Mapping!$D$2:$D$99,0))</f>
        <v>1</v>
      </c>
      <c r="I304" s="8" t="n">
        <f aca="false">INDEX(Mapping!$C$2:$C$99,MATCH(I$1&amp;"|"&amp;Customers!I304,Mapping!$D$2:$D$99,0))</f>
        <v>1</v>
      </c>
      <c r="J304" s="8" t="n">
        <f aca="false">INDEX(Mapping!$C$2:$C$99,MATCH(J$1&amp;"|"&amp;Customers!J304,Mapping!$D$2:$D$99,0))</f>
        <v>1</v>
      </c>
      <c r="K304" s="8" t="n">
        <f aca="false">INDEX(Mapping!$C$2:$C$99,MATCH(K$1&amp;"|"&amp;Customers!K304,Mapping!$D$2:$D$99,0))</f>
        <v>4</v>
      </c>
      <c r="L304" s="8" t="n">
        <f aca="false">INDEX(Mapping!$C$2:$C$99,MATCH(L$1&amp;"|"&amp;Customers!L304,Mapping!$D$2:$D$99,0))</f>
        <v>4</v>
      </c>
      <c r="M304" s="8" t="n">
        <f aca="false">INDEX(Mapping!$C$2:$C$99,MATCH(M$1&amp;"|"&amp;Customers!M304,Mapping!$D$2:$D$99,0))</f>
        <v>3</v>
      </c>
      <c r="N304" s="8" t="n">
        <f aca="false">INDEX(Mapping!$C$2:$C$99,MATCH(N$1&amp;"|"&amp;Customers!N304,Mapping!$D$2:$D$99,0))</f>
        <v>3</v>
      </c>
      <c r="O304" s="8" t="n">
        <f aca="false">INDEX(Mapping!$C$2:$C$99,MATCH(O$1&amp;"|"&amp;Customers!O304,Mapping!$D$2:$D$99,0))</f>
        <v>4</v>
      </c>
      <c r="P304" s="8" t="n">
        <f aca="false">INDEX(Mapping!$C$2:$C$99,MATCH(P$1&amp;"|"&amp;Customers!P304,Mapping!$D$2:$D$99,0))</f>
        <v>3</v>
      </c>
      <c r="Q304" s="8" t="n">
        <f aca="false">INDEX(Mapping!$C$2:$C$99,MATCH(Q$1&amp;"|"&amp;Customers!Q304,Mapping!$D$2:$D$99,0))</f>
        <v>1</v>
      </c>
      <c r="R304" s="8" t="n">
        <f aca="false">INDEX(Mapping!$C$2:$C$99,MATCH(R$1&amp;"|"&amp;Customers!R304,Mapping!$D$2:$D$99,0))</f>
        <v>2</v>
      </c>
      <c r="S304" s="8" t="n">
        <f aca="false">INDEX(Mapping!$C$2:$C$99,MATCH(S$1&amp;"|"&amp;Customers!S304,Mapping!$D$2:$D$99,0))</f>
        <v>1</v>
      </c>
      <c r="T304" s="8" t="n">
        <f aca="false">INDEX(Mapping!$C$2:$C$99,MATCH(T$1&amp;"|"&amp;Customers!T304,Mapping!$D$2:$D$99,0))</f>
        <v>2</v>
      </c>
      <c r="U304" s="8" t="n">
        <f aca="false">INDEX(Mapping!$C$2:$C$99,MATCH(U$1&amp;"|"&amp;Customers!U304,Mapping!$D$2:$D$99,0))</f>
        <v>3</v>
      </c>
      <c r="V304" s="8" t="n">
        <f aca="false">INDEX(Mapping!$C$2:$C$99,MATCH(V$1&amp;"|"&amp;Customers!V304,Mapping!$D$2:$D$99,0))</f>
        <v>1</v>
      </c>
      <c r="W304" s="17" t="n">
        <f aca="false">SUMPRODUCT($C304:$V304,Weights!$C$27:$V$27)</f>
        <v>2.1375</v>
      </c>
      <c r="X304" s="18" t="n">
        <f aca="false">ROUND($W304,2)</f>
        <v>2.14</v>
      </c>
      <c r="Y304" s="8" t="str">
        <f aca="false">IF($X304&lt;=2,"Low",IF($X304&lt;=3.49,"Medium","High"))</f>
        <v>Medium</v>
      </c>
      <c r="Z304" s="8" t="str">
        <f aca="false">IF(OR($F304&gt;=3,$E304=5,$D304=5,$C304=5,$G304=5,$H304=5,$I304=5,$J304=5,Customers!$W304="Yes"),"Yes","No")</f>
        <v>No</v>
      </c>
      <c r="AA304" s="15" t="str">
        <f aca="false">IF($Z304="Yes","High",$Y304)</f>
        <v>Medium</v>
      </c>
      <c r="AB304" s="18" t="n">
        <f aca="false">SUMPRODUCT($C304:$G304,Weights!$C$28:$G$28)</f>
        <v>2</v>
      </c>
      <c r="AC304" s="18" t="n">
        <f aca="false">SUMPRODUCT($H304:$J304,Weights!$H$28:$J$28)</f>
        <v>1</v>
      </c>
      <c r="AD304" s="18" t="n">
        <f aca="false">SUMPRODUCT($K304:$N304,Weights!$K$28:$N$28)</f>
        <v>3.6</v>
      </c>
      <c r="AE304" s="18" t="n">
        <f aca="false">SUMPRODUCT($O304:$Q304,Weights!$O$28:$Q$28)</f>
        <v>3.05</v>
      </c>
      <c r="AF304" s="18" t="n">
        <f aca="false">SUMPRODUCT($R304:$V304,Weights!$R$28:$V$28)</f>
        <v>1.75</v>
      </c>
      <c r="AH304" s="18" t="n">
        <f aca="false">SUMPRODUCT($AB304:$AF304,Validation!$D$7:$H$7)</f>
        <v>2.15714285714265</v>
      </c>
      <c r="AI304" s="18" t="n">
        <f aca="false">SUMPRODUCT($AB304:$AF304,Validation!$D$8:$H$8)</f>
        <v>2.11785714285735</v>
      </c>
      <c r="AJ304" s="18" t="n">
        <f aca="false">SUMPRODUCT($AB304:$AF304,Validation!$D$9:$H$9)</f>
        <v>2.28916666666685</v>
      </c>
      <c r="AK304" s="18" t="n">
        <f aca="false">SUMPRODUCT($AB304:$AF304,Validation!$D$10:$H$10)</f>
        <v>1.98583333333315</v>
      </c>
      <c r="AL304" s="18" t="n">
        <f aca="false">SUMPRODUCT($AB304:$AF304,Validation!$D$11:$H$11)</f>
        <v>1.9546875</v>
      </c>
      <c r="AM304" s="18" t="n">
        <f aca="false">SUMPRODUCT($AB304:$AF304,Validation!$D$12:$H$12)</f>
        <v>2.3203125</v>
      </c>
      <c r="AN304" s="18" t="n">
        <f aca="false">SUMPRODUCT($AB304:$AF304,Validation!$D$13:$H$13)</f>
        <v>2.03611111111045</v>
      </c>
      <c r="AO304" s="18" t="n">
        <f aca="false">SUMPRODUCT($AB304:$AF304,Validation!$D$14:$H$14)</f>
        <v>2.23888888888955</v>
      </c>
      <c r="AP304" s="18" t="n">
        <f aca="false">SUMPRODUCT($AB304:$AF304,Validation!$D$15:$H$15)</f>
        <v>2.1830882352941</v>
      </c>
      <c r="AQ304" s="18" t="n">
        <f aca="false">SUMPRODUCT($AB304:$AF304,Validation!$D$16:$H$16)</f>
        <v>2.0919117647059</v>
      </c>
      <c r="AR304" s="8" t="n">
        <f aca="false">COUNTIF($C304:$V304,"&gt;=4")</f>
        <v>3</v>
      </c>
      <c r="AS304" s="8" t="str">
        <f aca="false">IF($X304&lt;=1.6,"Low",IF($X304&lt;=2.2,"Medium","High"))</f>
        <v>Medium</v>
      </c>
      <c r="AT304" s="8" t="str">
        <f aca="false">IF($AR304=0,"Low",IF($AR304&lt;3,"Medium","High"))</f>
        <v>High</v>
      </c>
      <c r="AU304" s="8" t="str">
        <f aca="false">IF(OR($AS304="High",$AT304="High"),"High",IF(OR($AS304="Medium",$AT304="Medium"),"Medium","Low"))</f>
        <v>High</v>
      </c>
      <c r="AV304" s="15" t="str">
        <f aca="false">IF($Z304="Yes","High",$AU304)</f>
        <v>High</v>
      </c>
    </row>
    <row r="305" customFormat="false" ht="15" hidden="false" customHeight="false" outlineLevel="0" collapsed="false">
      <c r="A305" s="7" t="str">
        <f aca="false">Customers!$A305</f>
        <v>NG-10160</v>
      </c>
      <c r="B305" s="7" t="str">
        <f aca="false">Customers!$B305</f>
        <v>Personal</v>
      </c>
      <c r="C305" s="8" t="n">
        <f aca="false">INDEX(Mapping!$C$2:$C$99,MATCH(C$1&amp;"|"&amp;Customers!C305,Mapping!$D$2:$D$99,0))</f>
        <v>1</v>
      </c>
      <c r="D305" s="8" t="n">
        <f aca="false">INDEX(Mapping!$C$2:$C$99,MATCH(D$1&amp;"|"&amp;Customers!D305,Mapping!$D$2:$D$99,0))</f>
        <v>1</v>
      </c>
      <c r="E305" s="8" t="n">
        <f aca="false">INDEX(Mapping!$C$2:$C$99,MATCH(E$1&amp;"|"&amp;Customers!E305,Mapping!$D$2:$D$99,0))</f>
        <v>1</v>
      </c>
      <c r="F305" s="8" t="n">
        <f aca="false">INDEX(Mapping!$C$2:$C$99,MATCH(F$1&amp;"|"&amp;Customers!F305,Mapping!$D$2:$D$99,0))</f>
        <v>1</v>
      </c>
      <c r="G305" s="8" t="n">
        <f aca="false">INDEX(Mapping!$C$2:$C$99,MATCH(G$1&amp;"|"&amp;Customers!G305,Mapping!$D$2:$D$99,0))</f>
        <v>1</v>
      </c>
      <c r="H305" s="8" t="n">
        <f aca="false">INDEX(Mapping!$C$2:$C$99,MATCH(H$1&amp;"|"&amp;Customers!H305,Mapping!$D$2:$D$99,0))</f>
        <v>1</v>
      </c>
      <c r="I305" s="8" t="n">
        <f aca="false">INDEX(Mapping!$C$2:$C$99,MATCH(I$1&amp;"|"&amp;Customers!I305,Mapping!$D$2:$D$99,0))</f>
        <v>1</v>
      </c>
      <c r="J305" s="8" t="n">
        <f aca="false">INDEX(Mapping!$C$2:$C$99,MATCH(J$1&amp;"|"&amp;Customers!J305,Mapping!$D$2:$D$99,0))</f>
        <v>1</v>
      </c>
      <c r="K305" s="8" t="n">
        <f aca="false">INDEX(Mapping!$C$2:$C$99,MATCH(K$1&amp;"|"&amp;Customers!K305,Mapping!$D$2:$D$99,0))</f>
        <v>2</v>
      </c>
      <c r="L305" s="8" t="n">
        <f aca="false">INDEX(Mapping!$C$2:$C$99,MATCH(L$1&amp;"|"&amp;Customers!L305,Mapping!$D$2:$D$99,0))</f>
        <v>2</v>
      </c>
      <c r="M305" s="8" t="n">
        <f aca="false">INDEX(Mapping!$C$2:$C$99,MATCH(M$1&amp;"|"&amp;Customers!M305,Mapping!$D$2:$D$99,0))</f>
        <v>1</v>
      </c>
      <c r="N305" s="8" t="n">
        <f aca="false">INDEX(Mapping!$C$2:$C$99,MATCH(N$1&amp;"|"&amp;Customers!N305,Mapping!$D$2:$D$99,0))</f>
        <v>1</v>
      </c>
      <c r="O305" s="8" t="n">
        <f aca="false">INDEX(Mapping!$C$2:$C$99,MATCH(O$1&amp;"|"&amp;Customers!O305,Mapping!$D$2:$D$99,0))</f>
        <v>2</v>
      </c>
      <c r="P305" s="8" t="n">
        <f aca="false">INDEX(Mapping!$C$2:$C$99,MATCH(P$1&amp;"|"&amp;Customers!P305,Mapping!$D$2:$D$99,0))</f>
        <v>3</v>
      </c>
      <c r="Q305" s="8" t="n">
        <f aca="false">INDEX(Mapping!$C$2:$C$99,MATCH(Q$1&amp;"|"&amp;Customers!Q305,Mapping!$D$2:$D$99,0))</f>
        <v>1</v>
      </c>
      <c r="R305" s="8" t="n">
        <f aca="false">INDEX(Mapping!$C$2:$C$99,MATCH(R$1&amp;"|"&amp;Customers!R305,Mapping!$D$2:$D$99,0))</f>
        <v>1</v>
      </c>
      <c r="S305" s="8" t="n">
        <f aca="false">INDEX(Mapping!$C$2:$C$99,MATCH(S$1&amp;"|"&amp;Customers!S305,Mapping!$D$2:$D$99,0))</f>
        <v>2</v>
      </c>
      <c r="T305" s="8" t="n">
        <f aca="false">INDEX(Mapping!$C$2:$C$99,MATCH(T$1&amp;"|"&amp;Customers!T305,Mapping!$D$2:$D$99,0))</f>
        <v>3</v>
      </c>
      <c r="U305" s="8" t="n">
        <f aca="false">INDEX(Mapping!$C$2:$C$99,MATCH(U$1&amp;"|"&amp;Customers!U305,Mapping!$D$2:$D$99,0))</f>
        <v>1</v>
      </c>
      <c r="V305" s="8" t="n">
        <f aca="false">INDEX(Mapping!$C$2:$C$99,MATCH(V$1&amp;"|"&amp;Customers!V305,Mapping!$D$2:$D$99,0))</f>
        <v>1</v>
      </c>
      <c r="W305" s="17" t="n">
        <f aca="false">SUMPRODUCT($C305:$V305,Weights!$C$27:$V$27)</f>
        <v>1.34</v>
      </c>
      <c r="X305" s="18" t="n">
        <f aca="false">ROUND($W305,2)</f>
        <v>1.34</v>
      </c>
      <c r="Y305" s="8" t="str">
        <f aca="false">IF($X305&lt;=2,"Low",IF($X305&lt;=3.49,"Medium","High"))</f>
        <v>Low</v>
      </c>
      <c r="Z305" s="8" t="str">
        <f aca="false">IF(OR($F305&gt;=3,$E305=5,$D305=5,$C305=5,$G305=5,$H305=5,$I305=5,$J305=5,Customers!$W305="Yes"),"Yes","No")</f>
        <v>No</v>
      </c>
      <c r="AA305" s="15" t="str">
        <f aca="false">IF($Z305="Yes","High",$Y305)</f>
        <v>Low</v>
      </c>
      <c r="AB305" s="18" t="n">
        <f aca="false">SUMPRODUCT($C305:$G305,Weights!$C$28:$G$28)</f>
        <v>1</v>
      </c>
      <c r="AC305" s="18" t="n">
        <f aca="false">SUMPRODUCT($H305:$J305,Weights!$H$28:$J$28)</f>
        <v>1</v>
      </c>
      <c r="AD305" s="18" t="n">
        <f aca="false">SUMPRODUCT($K305:$N305,Weights!$K$28:$N$28)</f>
        <v>1.6</v>
      </c>
      <c r="AE305" s="18" t="n">
        <f aca="false">SUMPRODUCT($O305:$Q305,Weights!$O$28:$Q$28)</f>
        <v>2.15</v>
      </c>
      <c r="AF305" s="18" t="n">
        <f aca="false">SUMPRODUCT($R305:$V305,Weights!$R$28:$V$28)</f>
        <v>1.7</v>
      </c>
      <c r="AH305" s="18" t="n">
        <f aca="false">SUMPRODUCT($AB305:$AF305,Validation!$D$7:$H$7)</f>
        <v>1.3885714285718</v>
      </c>
      <c r="AI305" s="18" t="n">
        <f aca="false">SUMPRODUCT($AB305:$AF305,Validation!$D$8:$H$8)</f>
        <v>1.2914285714282</v>
      </c>
      <c r="AJ305" s="18" t="n">
        <f aca="false">SUMPRODUCT($AB305:$AF305,Validation!$D$9:$H$9)</f>
        <v>1.38533333333315</v>
      </c>
      <c r="AK305" s="18" t="n">
        <f aca="false">SUMPRODUCT($AB305:$AF305,Validation!$D$10:$H$10)</f>
        <v>1.29466666666685</v>
      </c>
      <c r="AL305" s="18" t="n">
        <f aca="false">SUMPRODUCT($AB305:$AF305,Validation!$D$11:$H$11)</f>
        <v>1.3075</v>
      </c>
      <c r="AM305" s="18" t="n">
        <f aca="false">SUMPRODUCT($AB305:$AF305,Validation!$D$12:$H$12)</f>
        <v>1.3725</v>
      </c>
      <c r="AN305" s="18" t="n">
        <f aca="false">SUMPRODUCT($AB305:$AF305,Validation!$D$13:$H$13)</f>
        <v>1.2500000000001</v>
      </c>
      <c r="AO305" s="18" t="n">
        <f aca="false">SUMPRODUCT($AB305:$AF305,Validation!$D$14:$H$14)</f>
        <v>1.4299999999999</v>
      </c>
      <c r="AP305" s="18" t="n">
        <f aca="false">SUMPRODUCT($AB305:$AF305,Validation!$D$15:$H$15)</f>
        <v>1.2976470588233</v>
      </c>
      <c r="AQ305" s="18" t="n">
        <f aca="false">SUMPRODUCT($AB305:$AF305,Validation!$D$16:$H$16)</f>
        <v>1.3823529411767</v>
      </c>
      <c r="AR305" s="8" t="n">
        <f aca="false">COUNTIF($C305:$V305,"&gt;=4")</f>
        <v>0</v>
      </c>
      <c r="AS305" s="8" t="str">
        <f aca="false">IF($X305&lt;=1.6,"Low",IF($X305&lt;=2.2,"Medium","High"))</f>
        <v>Low</v>
      </c>
      <c r="AT305" s="8" t="str">
        <f aca="false">IF($AR305=0,"Low",IF($AR305&lt;3,"Medium","High"))</f>
        <v>Low</v>
      </c>
      <c r="AU305" s="8" t="str">
        <f aca="false">IF(OR($AS305="High",$AT305="High"),"High",IF(OR($AS305="Medium",$AT305="Medium"),"Medium","Low"))</f>
        <v>Low</v>
      </c>
      <c r="AV305" s="15" t="str">
        <f aca="false">IF($Z305="Yes","High",$AU305)</f>
        <v>Low</v>
      </c>
    </row>
    <row r="306" customFormat="false" ht="15" hidden="false" customHeight="false" outlineLevel="0" collapsed="false">
      <c r="A306" s="7" t="str">
        <f aca="false">Customers!$A306</f>
        <v>NG-10154</v>
      </c>
      <c r="B306" s="7" t="str">
        <f aca="false">Customers!$B306</f>
        <v>Personal</v>
      </c>
      <c r="C306" s="8" t="n">
        <f aca="false">INDEX(Mapping!$C$2:$C$99,MATCH(C$1&amp;"|"&amp;Customers!C306,Mapping!$D$2:$D$99,0))</f>
        <v>1</v>
      </c>
      <c r="D306" s="8" t="n">
        <f aca="false">INDEX(Mapping!$C$2:$C$99,MATCH(D$1&amp;"|"&amp;Customers!D306,Mapping!$D$2:$D$99,0))</f>
        <v>1</v>
      </c>
      <c r="E306" s="8" t="n">
        <f aca="false">INDEX(Mapping!$C$2:$C$99,MATCH(E$1&amp;"|"&amp;Customers!E306,Mapping!$D$2:$D$99,0))</f>
        <v>2</v>
      </c>
      <c r="F306" s="8" t="n">
        <f aca="false">INDEX(Mapping!$C$2:$C$99,MATCH(F$1&amp;"|"&amp;Customers!F306,Mapping!$D$2:$D$99,0))</f>
        <v>1</v>
      </c>
      <c r="G306" s="8" t="n">
        <f aca="false">INDEX(Mapping!$C$2:$C$99,MATCH(G$1&amp;"|"&amp;Customers!G306,Mapping!$D$2:$D$99,0))</f>
        <v>1</v>
      </c>
      <c r="H306" s="8" t="n">
        <f aca="false">INDEX(Mapping!$C$2:$C$99,MATCH(H$1&amp;"|"&amp;Customers!H306,Mapping!$D$2:$D$99,0))</f>
        <v>1</v>
      </c>
      <c r="I306" s="8" t="n">
        <f aca="false">INDEX(Mapping!$C$2:$C$99,MATCH(I$1&amp;"|"&amp;Customers!I306,Mapping!$D$2:$D$99,0))</f>
        <v>1</v>
      </c>
      <c r="J306" s="8" t="n">
        <f aca="false">INDEX(Mapping!$C$2:$C$99,MATCH(J$1&amp;"|"&amp;Customers!J306,Mapping!$D$2:$D$99,0))</f>
        <v>2</v>
      </c>
      <c r="K306" s="8" t="n">
        <f aca="false">INDEX(Mapping!$C$2:$C$99,MATCH(K$1&amp;"|"&amp;Customers!K306,Mapping!$D$2:$D$99,0))</f>
        <v>2</v>
      </c>
      <c r="L306" s="8" t="n">
        <f aca="false">INDEX(Mapping!$C$2:$C$99,MATCH(L$1&amp;"|"&amp;Customers!L306,Mapping!$D$2:$D$99,0))</f>
        <v>3</v>
      </c>
      <c r="M306" s="8" t="n">
        <f aca="false">INDEX(Mapping!$C$2:$C$99,MATCH(M$1&amp;"|"&amp;Customers!M306,Mapping!$D$2:$D$99,0))</f>
        <v>1</v>
      </c>
      <c r="N306" s="8" t="n">
        <f aca="false">INDEX(Mapping!$C$2:$C$99,MATCH(N$1&amp;"|"&amp;Customers!N306,Mapping!$D$2:$D$99,0))</f>
        <v>1</v>
      </c>
      <c r="O306" s="8" t="n">
        <f aca="false">INDEX(Mapping!$C$2:$C$99,MATCH(O$1&amp;"|"&amp;Customers!O306,Mapping!$D$2:$D$99,0))</f>
        <v>3</v>
      </c>
      <c r="P306" s="8" t="n">
        <f aca="false">INDEX(Mapping!$C$2:$C$99,MATCH(P$1&amp;"|"&amp;Customers!P306,Mapping!$D$2:$D$99,0))</f>
        <v>3</v>
      </c>
      <c r="Q306" s="8" t="n">
        <f aca="false">INDEX(Mapping!$C$2:$C$99,MATCH(Q$1&amp;"|"&amp;Customers!Q306,Mapping!$D$2:$D$99,0))</f>
        <v>1</v>
      </c>
      <c r="R306" s="8" t="n">
        <f aca="false">INDEX(Mapping!$C$2:$C$99,MATCH(R$1&amp;"|"&amp;Customers!R306,Mapping!$D$2:$D$99,0))</f>
        <v>1</v>
      </c>
      <c r="S306" s="8" t="n">
        <f aca="false">INDEX(Mapping!$C$2:$C$99,MATCH(S$1&amp;"|"&amp;Customers!S306,Mapping!$D$2:$D$99,0))</f>
        <v>2</v>
      </c>
      <c r="T306" s="8" t="n">
        <f aca="false">INDEX(Mapping!$C$2:$C$99,MATCH(T$1&amp;"|"&amp;Customers!T306,Mapping!$D$2:$D$99,0))</f>
        <v>1</v>
      </c>
      <c r="U306" s="8" t="n">
        <f aca="false">INDEX(Mapping!$C$2:$C$99,MATCH(U$1&amp;"|"&amp;Customers!U306,Mapping!$D$2:$D$99,0))</f>
        <v>1</v>
      </c>
      <c r="V306" s="8" t="n">
        <f aca="false">INDEX(Mapping!$C$2:$C$99,MATCH(V$1&amp;"|"&amp;Customers!V306,Mapping!$D$2:$D$99,0))</f>
        <v>2</v>
      </c>
      <c r="W306" s="17" t="n">
        <f aca="false">SUMPRODUCT($C306:$V306,Weights!$C$27:$V$27)</f>
        <v>1.565</v>
      </c>
      <c r="X306" s="18" t="n">
        <f aca="false">ROUND($W306,2)</f>
        <v>1.57</v>
      </c>
      <c r="Y306" s="8" t="str">
        <f aca="false">IF($X306&lt;=2,"Low",IF($X306&lt;=3.49,"Medium","High"))</f>
        <v>Low</v>
      </c>
      <c r="Z306" s="8" t="str">
        <f aca="false">IF(OR($F306&gt;=3,$E306=5,$D306=5,$C306=5,$G306=5,$H306=5,$I306=5,$J306=5,Customers!$W306="Yes"),"Yes","No")</f>
        <v>No</v>
      </c>
      <c r="AA306" s="15" t="str">
        <f aca="false">IF($Z306="Yes","High",$Y306)</f>
        <v>Low</v>
      </c>
      <c r="AB306" s="18" t="n">
        <f aca="false">SUMPRODUCT($C306:$G306,Weights!$C$28:$G$28)</f>
        <v>1.25</v>
      </c>
      <c r="AC306" s="18" t="n">
        <f aca="false">SUMPRODUCT($H306:$J306,Weights!$H$28:$J$28)</f>
        <v>1.4</v>
      </c>
      <c r="AD306" s="18" t="n">
        <f aca="false">SUMPRODUCT($K306:$N306,Weights!$K$28:$N$28)</f>
        <v>1.85</v>
      </c>
      <c r="AE306" s="18" t="n">
        <f aca="false">SUMPRODUCT($O306:$Q306,Weights!$O$28:$Q$28)</f>
        <v>2.6</v>
      </c>
      <c r="AF306" s="18" t="n">
        <f aca="false">SUMPRODUCT($R306:$V306,Weights!$R$28:$V$28)</f>
        <v>1.4</v>
      </c>
      <c r="AH306" s="18" t="n">
        <f aca="false">SUMPRODUCT($AB306:$AF306,Validation!$D$7:$H$7)</f>
        <v>1.61000000000015</v>
      </c>
      <c r="AI306" s="18" t="n">
        <f aca="false">SUMPRODUCT($AB306:$AF306,Validation!$D$8:$H$8)</f>
        <v>1.51999999999985</v>
      </c>
      <c r="AJ306" s="18" t="n">
        <f aca="false">SUMPRODUCT($AB306:$AF306,Validation!$D$9:$H$9)</f>
        <v>1.58699999999975</v>
      </c>
      <c r="AK306" s="18" t="n">
        <f aca="false">SUMPRODUCT($AB306:$AF306,Validation!$D$10:$H$10)</f>
        <v>1.54300000000025</v>
      </c>
      <c r="AL306" s="18" t="n">
        <f aca="false">SUMPRODUCT($AB306:$AF306,Validation!$D$11:$H$11)</f>
        <v>1.529375</v>
      </c>
      <c r="AM306" s="18" t="n">
        <f aca="false">SUMPRODUCT($AB306:$AF306,Validation!$D$12:$H$12)</f>
        <v>1.600625</v>
      </c>
      <c r="AN306" s="18" t="n">
        <f aca="false">SUMPRODUCT($AB306:$AF306,Validation!$D$13:$H$13)</f>
        <v>1.44999999999995</v>
      </c>
      <c r="AO306" s="18" t="n">
        <f aca="false">SUMPRODUCT($AB306:$AF306,Validation!$D$14:$H$14)</f>
        <v>1.68000000000005</v>
      </c>
      <c r="AP306" s="18" t="n">
        <f aca="false">SUMPRODUCT($AB306:$AF306,Validation!$D$15:$H$15)</f>
        <v>1.5844117647056</v>
      </c>
      <c r="AQ306" s="18" t="n">
        <f aca="false">SUMPRODUCT($AB306:$AF306,Validation!$D$16:$H$16)</f>
        <v>1.5455882352944</v>
      </c>
      <c r="AR306" s="8" t="n">
        <f aca="false">COUNTIF($C306:$V306,"&gt;=4")</f>
        <v>0</v>
      </c>
      <c r="AS306" s="8" t="str">
        <f aca="false">IF($X306&lt;=1.6,"Low",IF($X306&lt;=2.2,"Medium","High"))</f>
        <v>Low</v>
      </c>
      <c r="AT306" s="8" t="str">
        <f aca="false">IF($AR306=0,"Low",IF($AR306&lt;3,"Medium","High"))</f>
        <v>Low</v>
      </c>
      <c r="AU306" s="8" t="str">
        <f aca="false">IF(OR($AS306="High",$AT306="High"),"High",IF(OR($AS306="Medium",$AT306="Medium"),"Medium","Low"))</f>
        <v>Low</v>
      </c>
      <c r="AV306" s="15" t="str">
        <f aca="false">IF($Z306="Yes","High",$AU306)</f>
        <v>Low</v>
      </c>
    </row>
    <row r="307" customFormat="false" ht="15" hidden="false" customHeight="false" outlineLevel="0" collapsed="false">
      <c r="A307" s="7" t="str">
        <f aca="false">Customers!$A307</f>
        <v>NG-10396</v>
      </c>
      <c r="B307" s="7" t="str">
        <f aca="false">Customers!$B307</f>
        <v>Limited company</v>
      </c>
      <c r="C307" s="8" t="n">
        <f aca="false">INDEX(Mapping!$C$2:$C$99,MATCH(C$1&amp;"|"&amp;Customers!C307,Mapping!$D$2:$D$99,0))</f>
        <v>3</v>
      </c>
      <c r="D307" s="8" t="n">
        <f aca="false">INDEX(Mapping!$C$2:$C$99,MATCH(D$1&amp;"|"&amp;Customers!D307,Mapping!$D$2:$D$99,0))</f>
        <v>2</v>
      </c>
      <c r="E307" s="8" t="n">
        <f aca="false">INDEX(Mapping!$C$2:$C$99,MATCH(E$1&amp;"|"&amp;Customers!E307,Mapping!$D$2:$D$99,0))</f>
        <v>5</v>
      </c>
      <c r="F307" s="8" t="n">
        <f aca="false">INDEX(Mapping!$C$2:$C$99,MATCH(F$1&amp;"|"&amp;Customers!F307,Mapping!$D$2:$D$99,0))</f>
        <v>1</v>
      </c>
      <c r="G307" s="8" t="n">
        <f aca="false">INDEX(Mapping!$C$2:$C$99,MATCH(G$1&amp;"|"&amp;Customers!G307,Mapping!$D$2:$D$99,0))</f>
        <v>1</v>
      </c>
      <c r="H307" s="8" t="n">
        <f aca="false">INDEX(Mapping!$C$2:$C$99,MATCH(H$1&amp;"|"&amp;Customers!H307,Mapping!$D$2:$D$99,0))</f>
        <v>1</v>
      </c>
      <c r="I307" s="8" t="n">
        <f aca="false">INDEX(Mapping!$C$2:$C$99,MATCH(I$1&amp;"|"&amp;Customers!I307,Mapping!$D$2:$D$99,0))</f>
        <v>1</v>
      </c>
      <c r="J307" s="8" t="n">
        <f aca="false">INDEX(Mapping!$C$2:$C$99,MATCH(J$1&amp;"|"&amp;Customers!J307,Mapping!$D$2:$D$99,0))</f>
        <v>3</v>
      </c>
      <c r="K307" s="8" t="n">
        <f aca="false">INDEX(Mapping!$C$2:$C$99,MATCH(K$1&amp;"|"&amp;Customers!K307,Mapping!$D$2:$D$99,0))</f>
        <v>4</v>
      </c>
      <c r="L307" s="8" t="n">
        <f aca="false">INDEX(Mapping!$C$2:$C$99,MATCH(L$1&amp;"|"&amp;Customers!L307,Mapping!$D$2:$D$99,0))</f>
        <v>1</v>
      </c>
      <c r="M307" s="8" t="n">
        <f aca="false">INDEX(Mapping!$C$2:$C$99,MATCH(M$1&amp;"|"&amp;Customers!M307,Mapping!$D$2:$D$99,0))</f>
        <v>3</v>
      </c>
      <c r="N307" s="8" t="n">
        <f aca="false">INDEX(Mapping!$C$2:$C$99,MATCH(N$1&amp;"|"&amp;Customers!N307,Mapping!$D$2:$D$99,0))</f>
        <v>1</v>
      </c>
      <c r="O307" s="8" t="n">
        <f aca="false">INDEX(Mapping!$C$2:$C$99,MATCH(O$1&amp;"|"&amp;Customers!O307,Mapping!$D$2:$D$99,0))</f>
        <v>3</v>
      </c>
      <c r="P307" s="8" t="n">
        <f aca="false">INDEX(Mapping!$C$2:$C$99,MATCH(P$1&amp;"|"&amp;Customers!P307,Mapping!$D$2:$D$99,0))</f>
        <v>5</v>
      </c>
      <c r="Q307" s="8" t="n">
        <f aca="false">INDEX(Mapping!$C$2:$C$99,MATCH(Q$1&amp;"|"&amp;Customers!Q307,Mapping!$D$2:$D$99,0))</f>
        <v>1</v>
      </c>
      <c r="R307" s="8" t="n">
        <f aca="false">INDEX(Mapping!$C$2:$C$99,MATCH(R$1&amp;"|"&amp;Customers!R307,Mapping!$D$2:$D$99,0))</f>
        <v>2</v>
      </c>
      <c r="S307" s="8" t="n">
        <f aca="false">INDEX(Mapping!$C$2:$C$99,MATCH(S$1&amp;"|"&amp;Customers!S307,Mapping!$D$2:$D$99,0))</f>
        <v>3</v>
      </c>
      <c r="T307" s="8" t="n">
        <f aca="false">INDEX(Mapping!$C$2:$C$99,MATCH(T$1&amp;"|"&amp;Customers!T307,Mapping!$D$2:$D$99,0))</f>
        <v>1</v>
      </c>
      <c r="U307" s="8" t="n">
        <f aca="false">INDEX(Mapping!$C$2:$C$99,MATCH(U$1&amp;"|"&amp;Customers!U307,Mapping!$D$2:$D$99,0))</f>
        <v>2</v>
      </c>
      <c r="V307" s="8" t="n">
        <f aca="false">INDEX(Mapping!$C$2:$C$99,MATCH(V$1&amp;"|"&amp;Customers!V307,Mapping!$D$2:$D$99,0))</f>
        <v>2</v>
      </c>
      <c r="W307" s="17" t="n">
        <f aca="false">SUMPRODUCT($C307:$V307,Weights!$C$27:$V$27)</f>
        <v>2.385</v>
      </c>
      <c r="X307" s="18" t="n">
        <f aca="false">ROUND($W307,2)</f>
        <v>2.39</v>
      </c>
      <c r="Y307" s="8" t="str">
        <f aca="false">IF($X307&lt;=2,"Low",IF($X307&lt;=3.49,"Medium","High"))</f>
        <v>Medium</v>
      </c>
      <c r="Z307" s="8" t="str">
        <f aca="false">IF(OR($F307&gt;=3,$E307=5,$D307=5,$C307=5,$G307=5,$H307=5,$I307=5,$J307=5,Customers!$W307="Yes"),"Yes","No")</f>
        <v>Yes</v>
      </c>
      <c r="AA307" s="15" t="str">
        <f aca="false">IF($Z307="Yes","High",$Y307)</f>
        <v>High</v>
      </c>
      <c r="AB307" s="18" t="n">
        <f aca="false">SUMPRODUCT($C307:$G307,Weights!$C$28:$G$28)</f>
        <v>2.6</v>
      </c>
      <c r="AC307" s="18" t="n">
        <f aca="false">SUMPRODUCT($H307:$J307,Weights!$H$28:$J$28)</f>
        <v>1.8</v>
      </c>
      <c r="AD307" s="18" t="n">
        <f aca="false">SUMPRODUCT($K307:$N307,Weights!$K$28:$N$28)</f>
        <v>2.55</v>
      </c>
      <c r="AE307" s="18" t="n">
        <f aca="false">SUMPRODUCT($O307:$Q307,Weights!$O$28:$Q$28)</f>
        <v>3.3</v>
      </c>
      <c r="AF307" s="18" t="n">
        <f aca="false">SUMPRODUCT($R307:$V307,Weights!$R$28:$V$28)</f>
        <v>2.1</v>
      </c>
      <c r="AH307" s="18" t="n">
        <f aca="false">SUMPRODUCT($AB307:$AF307,Validation!$D$7:$H$7)</f>
        <v>2.35428571428595</v>
      </c>
      <c r="AI307" s="18" t="n">
        <f aca="false">SUMPRODUCT($AB307:$AF307,Validation!$D$8:$H$8)</f>
        <v>2.41571428571405</v>
      </c>
      <c r="AJ307" s="18" t="n">
        <f aca="false">SUMPRODUCT($AB307:$AF307,Validation!$D$9:$H$9)</f>
        <v>2.46299999999975</v>
      </c>
      <c r="AK307" s="18" t="n">
        <f aca="false">SUMPRODUCT($AB307:$AF307,Validation!$D$10:$H$10)</f>
        <v>2.30700000000025</v>
      </c>
      <c r="AL307" s="18" t="n">
        <f aca="false">SUMPRODUCT($AB307:$AF307,Validation!$D$11:$H$11)</f>
        <v>2.364375</v>
      </c>
      <c r="AM307" s="18" t="n">
        <f aca="false">SUMPRODUCT($AB307:$AF307,Validation!$D$12:$H$12)</f>
        <v>2.405625</v>
      </c>
      <c r="AN307" s="18" t="n">
        <f aca="false">SUMPRODUCT($AB307:$AF307,Validation!$D$13:$H$13)</f>
        <v>2.283333333333</v>
      </c>
      <c r="AO307" s="18" t="n">
        <f aca="false">SUMPRODUCT($AB307:$AF307,Validation!$D$14:$H$14)</f>
        <v>2.486666666667</v>
      </c>
      <c r="AP307" s="18" t="n">
        <f aca="false">SUMPRODUCT($AB307:$AF307,Validation!$D$15:$H$15)</f>
        <v>2.41852941176435</v>
      </c>
      <c r="AQ307" s="18" t="n">
        <f aca="false">SUMPRODUCT($AB307:$AF307,Validation!$D$16:$H$16)</f>
        <v>2.35147058823565</v>
      </c>
      <c r="AR307" s="8" t="n">
        <f aca="false">COUNTIF($C307:$V307,"&gt;=4")</f>
        <v>3</v>
      </c>
      <c r="AS307" s="8" t="str">
        <f aca="false">IF($X307&lt;=1.6,"Low",IF($X307&lt;=2.2,"Medium","High"))</f>
        <v>High</v>
      </c>
      <c r="AT307" s="8" t="str">
        <f aca="false">IF($AR307=0,"Low",IF($AR307&lt;3,"Medium","High"))</f>
        <v>High</v>
      </c>
      <c r="AU307" s="8" t="str">
        <f aca="false">IF(OR($AS307="High",$AT307="High"),"High",IF(OR($AS307="Medium",$AT307="Medium"),"Medium","Low"))</f>
        <v>High</v>
      </c>
      <c r="AV307" s="15" t="str">
        <f aca="false">IF($Z307="Yes","High",$AU307)</f>
        <v>High</v>
      </c>
    </row>
    <row r="308" customFormat="false" ht="15" hidden="false" customHeight="false" outlineLevel="0" collapsed="false">
      <c r="A308" s="7" t="str">
        <f aca="false">Customers!$A308</f>
        <v>NG-10094</v>
      </c>
      <c r="B308" s="7" t="str">
        <f aca="false">Customers!$B308</f>
        <v>Personal</v>
      </c>
      <c r="C308" s="8" t="n">
        <f aca="false">INDEX(Mapping!$C$2:$C$99,MATCH(C$1&amp;"|"&amp;Customers!C308,Mapping!$D$2:$D$99,0))</f>
        <v>1</v>
      </c>
      <c r="D308" s="8" t="n">
        <f aca="false">INDEX(Mapping!$C$2:$C$99,MATCH(D$1&amp;"|"&amp;Customers!D308,Mapping!$D$2:$D$99,0))</f>
        <v>1</v>
      </c>
      <c r="E308" s="8" t="n">
        <f aca="false">INDEX(Mapping!$C$2:$C$99,MATCH(E$1&amp;"|"&amp;Customers!E308,Mapping!$D$2:$D$99,0))</f>
        <v>1</v>
      </c>
      <c r="F308" s="8" t="n">
        <f aca="false">INDEX(Mapping!$C$2:$C$99,MATCH(F$1&amp;"|"&amp;Customers!F308,Mapping!$D$2:$D$99,0))</f>
        <v>1</v>
      </c>
      <c r="G308" s="8" t="n">
        <f aca="false">INDEX(Mapping!$C$2:$C$99,MATCH(G$1&amp;"|"&amp;Customers!G308,Mapping!$D$2:$D$99,0))</f>
        <v>1</v>
      </c>
      <c r="H308" s="8" t="n">
        <f aca="false">INDEX(Mapping!$C$2:$C$99,MATCH(H$1&amp;"|"&amp;Customers!H308,Mapping!$D$2:$D$99,0))</f>
        <v>1</v>
      </c>
      <c r="I308" s="8" t="n">
        <f aca="false">INDEX(Mapping!$C$2:$C$99,MATCH(I$1&amp;"|"&amp;Customers!I308,Mapping!$D$2:$D$99,0))</f>
        <v>1</v>
      </c>
      <c r="J308" s="8" t="n">
        <f aca="false">INDEX(Mapping!$C$2:$C$99,MATCH(J$1&amp;"|"&amp;Customers!J308,Mapping!$D$2:$D$99,0))</f>
        <v>2</v>
      </c>
      <c r="K308" s="8" t="n">
        <f aca="false">INDEX(Mapping!$C$2:$C$99,MATCH(K$1&amp;"|"&amp;Customers!K308,Mapping!$D$2:$D$99,0))</f>
        <v>3</v>
      </c>
      <c r="L308" s="8" t="n">
        <f aca="false">INDEX(Mapping!$C$2:$C$99,MATCH(L$1&amp;"|"&amp;Customers!L308,Mapping!$D$2:$D$99,0))</f>
        <v>2</v>
      </c>
      <c r="M308" s="8" t="n">
        <f aca="false">INDEX(Mapping!$C$2:$C$99,MATCH(M$1&amp;"|"&amp;Customers!M308,Mapping!$D$2:$D$99,0))</f>
        <v>4</v>
      </c>
      <c r="N308" s="8" t="n">
        <f aca="false">INDEX(Mapping!$C$2:$C$99,MATCH(N$1&amp;"|"&amp;Customers!N308,Mapping!$D$2:$D$99,0))</f>
        <v>2</v>
      </c>
      <c r="O308" s="8" t="n">
        <f aca="false">INDEX(Mapping!$C$2:$C$99,MATCH(O$1&amp;"|"&amp;Customers!O308,Mapping!$D$2:$D$99,0))</f>
        <v>3</v>
      </c>
      <c r="P308" s="8" t="n">
        <f aca="false">INDEX(Mapping!$C$2:$C$99,MATCH(P$1&amp;"|"&amp;Customers!P308,Mapping!$D$2:$D$99,0))</f>
        <v>3</v>
      </c>
      <c r="Q308" s="8" t="n">
        <f aca="false">INDEX(Mapping!$C$2:$C$99,MATCH(Q$1&amp;"|"&amp;Customers!Q308,Mapping!$D$2:$D$99,0))</f>
        <v>1</v>
      </c>
      <c r="R308" s="8" t="n">
        <f aca="false">INDEX(Mapping!$C$2:$C$99,MATCH(R$1&amp;"|"&amp;Customers!R308,Mapping!$D$2:$D$99,0))</f>
        <v>1</v>
      </c>
      <c r="S308" s="8" t="n">
        <f aca="false">INDEX(Mapping!$C$2:$C$99,MATCH(S$1&amp;"|"&amp;Customers!S308,Mapping!$D$2:$D$99,0))</f>
        <v>2</v>
      </c>
      <c r="T308" s="8" t="n">
        <f aca="false">INDEX(Mapping!$C$2:$C$99,MATCH(T$1&amp;"|"&amp;Customers!T308,Mapping!$D$2:$D$99,0))</f>
        <v>2</v>
      </c>
      <c r="U308" s="8" t="n">
        <f aca="false">INDEX(Mapping!$C$2:$C$99,MATCH(U$1&amp;"|"&amp;Customers!U308,Mapping!$D$2:$D$99,0))</f>
        <v>2</v>
      </c>
      <c r="V308" s="8" t="n">
        <f aca="false">INDEX(Mapping!$C$2:$C$99,MATCH(V$1&amp;"|"&amp;Customers!V308,Mapping!$D$2:$D$99,0))</f>
        <v>1</v>
      </c>
      <c r="W308" s="17" t="n">
        <f aca="false">SUMPRODUCT($C308:$V308,Weights!$C$27:$V$27)</f>
        <v>1.7275</v>
      </c>
      <c r="X308" s="18" t="n">
        <f aca="false">ROUND($W308,2)</f>
        <v>1.73</v>
      </c>
      <c r="Y308" s="8" t="str">
        <f aca="false">IF($X308&lt;=2,"Low",IF($X308&lt;=3.49,"Medium","High"))</f>
        <v>Low</v>
      </c>
      <c r="Z308" s="8" t="str">
        <f aca="false">IF(OR($F308&gt;=3,$E308=5,$D308=5,$C308=5,$G308=5,$H308=5,$I308=5,$J308=5,Customers!$W308="Yes"),"Yes","No")</f>
        <v>No</v>
      </c>
      <c r="AA308" s="15" t="str">
        <f aca="false">IF($Z308="Yes","High",$Y308)</f>
        <v>Low</v>
      </c>
      <c r="AB308" s="18" t="n">
        <f aca="false">SUMPRODUCT($C308:$G308,Weights!$C$28:$G$28)</f>
        <v>1</v>
      </c>
      <c r="AC308" s="18" t="n">
        <f aca="false">SUMPRODUCT($H308:$J308,Weights!$H$28:$J$28)</f>
        <v>1.4</v>
      </c>
      <c r="AD308" s="18" t="n">
        <f aca="false">SUMPRODUCT($K308:$N308,Weights!$K$28:$N$28)</f>
        <v>2.85</v>
      </c>
      <c r="AE308" s="18" t="n">
        <f aca="false">SUMPRODUCT($O308:$Q308,Weights!$O$28:$Q$28)</f>
        <v>2.6</v>
      </c>
      <c r="AF308" s="18" t="n">
        <f aca="false">SUMPRODUCT($R308:$V308,Weights!$R$28:$V$28)</f>
        <v>1.65</v>
      </c>
      <c r="AH308" s="18" t="n">
        <f aca="false">SUMPRODUCT($AB308:$AF308,Validation!$D$7:$H$7)</f>
        <v>1.8314285714284</v>
      </c>
      <c r="AI308" s="18" t="n">
        <f aca="false">SUMPRODUCT($AB308:$AF308,Validation!$D$8:$H$8)</f>
        <v>1.6235714285716</v>
      </c>
      <c r="AJ308" s="18" t="n">
        <f aca="false">SUMPRODUCT($AB308:$AF308,Validation!$D$9:$H$9)</f>
        <v>1.77116666666675</v>
      </c>
      <c r="AK308" s="18" t="n">
        <f aca="false">SUMPRODUCT($AB308:$AF308,Validation!$D$10:$H$10)</f>
        <v>1.68383333333325</v>
      </c>
      <c r="AL308" s="18" t="n">
        <f aca="false">SUMPRODUCT($AB308:$AF308,Validation!$D$11:$H$11)</f>
        <v>1.5871875</v>
      </c>
      <c r="AM308" s="18" t="n">
        <f aca="false">SUMPRODUCT($AB308:$AF308,Validation!$D$12:$H$12)</f>
        <v>1.8678125</v>
      </c>
      <c r="AN308" s="18" t="n">
        <f aca="false">SUMPRODUCT($AB308:$AF308,Validation!$D$13:$H$13)</f>
        <v>1.63055555555545</v>
      </c>
      <c r="AO308" s="18" t="n">
        <f aca="false">SUMPRODUCT($AB308:$AF308,Validation!$D$14:$H$14)</f>
        <v>1.82444444444455</v>
      </c>
      <c r="AP308" s="18" t="n">
        <f aca="false">SUMPRODUCT($AB308:$AF308,Validation!$D$15:$H$15)</f>
        <v>1.73661764705885</v>
      </c>
      <c r="AQ308" s="18" t="n">
        <f aca="false">SUMPRODUCT($AB308:$AF308,Validation!$D$16:$H$16)</f>
        <v>1.71838235294115</v>
      </c>
      <c r="AR308" s="8" t="n">
        <f aca="false">COUNTIF($C308:$V308,"&gt;=4")</f>
        <v>1</v>
      </c>
      <c r="AS308" s="8" t="str">
        <f aca="false">IF($X308&lt;=1.6,"Low",IF($X308&lt;=2.2,"Medium","High"))</f>
        <v>Medium</v>
      </c>
      <c r="AT308" s="8" t="str">
        <f aca="false">IF($AR308=0,"Low",IF($AR308&lt;3,"Medium","High"))</f>
        <v>Medium</v>
      </c>
      <c r="AU308" s="8" t="str">
        <f aca="false">IF(OR($AS308="High",$AT308="High"),"High",IF(OR($AS308="Medium",$AT308="Medium"),"Medium","Low"))</f>
        <v>Medium</v>
      </c>
      <c r="AV308" s="15" t="str">
        <f aca="false">IF($Z308="Yes","High",$AU308)</f>
        <v>Medium</v>
      </c>
    </row>
    <row r="309" customFormat="false" ht="15" hidden="false" customHeight="false" outlineLevel="0" collapsed="false">
      <c r="A309" s="7" t="str">
        <f aca="false">Customers!$A309</f>
        <v>NG-10355</v>
      </c>
      <c r="B309" s="7" t="str">
        <f aca="false">Customers!$B309</f>
        <v>Sole trader</v>
      </c>
      <c r="C309" s="8" t="n">
        <f aca="false">INDEX(Mapping!$C$2:$C$99,MATCH(C$1&amp;"|"&amp;Customers!C309,Mapping!$D$2:$D$99,0))</f>
        <v>2</v>
      </c>
      <c r="D309" s="8" t="n">
        <f aca="false">INDEX(Mapping!$C$2:$C$99,MATCH(D$1&amp;"|"&amp;Customers!D309,Mapping!$D$2:$D$99,0))</f>
        <v>1</v>
      </c>
      <c r="E309" s="8" t="n">
        <f aca="false">INDEX(Mapping!$C$2:$C$99,MATCH(E$1&amp;"|"&amp;Customers!E309,Mapping!$D$2:$D$99,0))</f>
        <v>1</v>
      </c>
      <c r="F309" s="8" t="n">
        <f aca="false">INDEX(Mapping!$C$2:$C$99,MATCH(F$1&amp;"|"&amp;Customers!F309,Mapping!$D$2:$D$99,0))</f>
        <v>1</v>
      </c>
      <c r="G309" s="8" t="n">
        <f aca="false">INDEX(Mapping!$C$2:$C$99,MATCH(G$1&amp;"|"&amp;Customers!G309,Mapping!$D$2:$D$99,0))</f>
        <v>1</v>
      </c>
      <c r="H309" s="8" t="n">
        <f aca="false">INDEX(Mapping!$C$2:$C$99,MATCH(H$1&amp;"|"&amp;Customers!H309,Mapping!$D$2:$D$99,0))</f>
        <v>1</v>
      </c>
      <c r="I309" s="8" t="n">
        <f aca="false">INDEX(Mapping!$C$2:$C$99,MATCH(I$1&amp;"|"&amp;Customers!I309,Mapping!$D$2:$D$99,0))</f>
        <v>1</v>
      </c>
      <c r="J309" s="8" t="n">
        <f aca="false">INDEX(Mapping!$C$2:$C$99,MATCH(J$1&amp;"|"&amp;Customers!J309,Mapping!$D$2:$D$99,0))</f>
        <v>1</v>
      </c>
      <c r="K309" s="8" t="n">
        <f aca="false">INDEX(Mapping!$C$2:$C$99,MATCH(K$1&amp;"|"&amp;Customers!K309,Mapping!$D$2:$D$99,0))</f>
        <v>4</v>
      </c>
      <c r="L309" s="8" t="n">
        <f aca="false">INDEX(Mapping!$C$2:$C$99,MATCH(L$1&amp;"|"&amp;Customers!L309,Mapping!$D$2:$D$99,0))</f>
        <v>4</v>
      </c>
      <c r="M309" s="8" t="n">
        <f aca="false">INDEX(Mapping!$C$2:$C$99,MATCH(M$1&amp;"|"&amp;Customers!M309,Mapping!$D$2:$D$99,0))</f>
        <v>2</v>
      </c>
      <c r="N309" s="8" t="n">
        <f aca="false">INDEX(Mapping!$C$2:$C$99,MATCH(N$1&amp;"|"&amp;Customers!N309,Mapping!$D$2:$D$99,0))</f>
        <v>3</v>
      </c>
      <c r="O309" s="8" t="n">
        <f aca="false">INDEX(Mapping!$C$2:$C$99,MATCH(O$1&amp;"|"&amp;Customers!O309,Mapping!$D$2:$D$99,0))</f>
        <v>3</v>
      </c>
      <c r="P309" s="8" t="n">
        <f aca="false">INDEX(Mapping!$C$2:$C$99,MATCH(P$1&amp;"|"&amp;Customers!P309,Mapping!$D$2:$D$99,0))</f>
        <v>4</v>
      </c>
      <c r="Q309" s="8" t="n">
        <f aca="false">INDEX(Mapping!$C$2:$C$99,MATCH(Q$1&amp;"|"&amp;Customers!Q309,Mapping!$D$2:$D$99,0))</f>
        <v>1</v>
      </c>
      <c r="R309" s="8" t="n">
        <f aca="false">INDEX(Mapping!$C$2:$C$99,MATCH(R$1&amp;"|"&amp;Customers!R309,Mapping!$D$2:$D$99,0))</f>
        <v>3</v>
      </c>
      <c r="S309" s="8" t="n">
        <f aca="false">INDEX(Mapping!$C$2:$C$99,MATCH(S$1&amp;"|"&amp;Customers!S309,Mapping!$D$2:$D$99,0))</f>
        <v>3</v>
      </c>
      <c r="T309" s="8" t="n">
        <f aca="false">INDEX(Mapping!$C$2:$C$99,MATCH(T$1&amp;"|"&amp;Customers!T309,Mapping!$D$2:$D$99,0))</f>
        <v>1</v>
      </c>
      <c r="U309" s="8" t="n">
        <f aca="false">INDEX(Mapping!$C$2:$C$99,MATCH(U$1&amp;"|"&amp;Customers!U309,Mapping!$D$2:$D$99,0))</f>
        <v>2</v>
      </c>
      <c r="V309" s="8" t="n">
        <f aca="false">INDEX(Mapping!$C$2:$C$99,MATCH(V$1&amp;"|"&amp;Customers!V309,Mapping!$D$2:$D$99,0))</f>
        <v>1</v>
      </c>
      <c r="W309" s="17" t="n">
        <f aca="false">SUMPRODUCT($C309:$V309,Weights!$C$27:$V$27)</f>
        <v>1.9125</v>
      </c>
      <c r="X309" s="18" t="n">
        <f aca="false">ROUND($W309,2)</f>
        <v>1.91</v>
      </c>
      <c r="Y309" s="8" t="str">
        <f aca="false">IF($X309&lt;=2,"Low",IF($X309&lt;=3.49,"Medium","High"))</f>
        <v>Low</v>
      </c>
      <c r="Z309" s="8" t="str">
        <f aca="false">IF(OR($F309&gt;=3,$E309=5,$D309=5,$C309=5,$G309=5,$H309=5,$I309=5,$J309=5,Customers!$W309="Yes"),"Yes","No")</f>
        <v>No</v>
      </c>
      <c r="AA309" s="15" t="str">
        <f aca="false">IF($Z309="Yes","High",$Y309)</f>
        <v>Low</v>
      </c>
      <c r="AB309" s="18" t="n">
        <f aca="false">SUMPRODUCT($C309:$G309,Weights!$C$28:$G$28)</f>
        <v>1.2</v>
      </c>
      <c r="AC309" s="18" t="n">
        <f aca="false">SUMPRODUCT($H309:$J309,Weights!$H$28:$J$28)</f>
        <v>1</v>
      </c>
      <c r="AD309" s="18" t="n">
        <f aca="false">SUMPRODUCT($K309:$N309,Weights!$K$28:$N$28)</f>
        <v>3.35</v>
      </c>
      <c r="AE309" s="18" t="n">
        <f aca="false">SUMPRODUCT($O309:$Q309,Weights!$O$28:$Q$28)</f>
        <v>2.95</v>
      </c>
      <c r="AF309" s="18" t="n">
        <f aca="false">SUMPRODUCT($R309:$V309,Weights!$R$28:$V$28)</f>
        <v>2.25</v>
      </c>
      <c r="AH309" s="18" t="n">
        <f aca="false">SUMPRODUCT($AB309:$AF309,Validation!$D$7:$H$7)</f>
        <v>2.0142857142858</v>
      </c>
      <c r="AI309" s="18" t="n">
        <f aca="false">SUMPRODUCT($AB309:$AF309,Validation!$D$8:$H$8)</f>
        <v>1.8107142857142</v>
      </c>
      <c r="AJ309" s="18" t="n">
        <f aca="false">SUMPRODUCT($AB309:$AF309,Validation!$D$9:$H$9)</f>
        <v>2.0341666666668</v>
      </c>
      <c r="AK309" s="18" t="n">
        <f aca="false">SUMPRODUCT($AB309:$AF309,Validation!$D$10:$H$10)</f>
        <v>1.7908333333332</v>
      </c>
      <c r="AL309" s="18" t="n">
        <f aca="false">SUMPRODUCT($AB309:$AF309,Validation!$D$11:$H$11)</f>
        <v>1.7328125</v>
      </c>
      <c r="AM309" s="18" t="n">
        <f aca="false">SUMPRODUCT($AB309:$AF309,Validation!$D$12:$H$12)</f>
        <v>2.0921875</v>
      </c>
      <c r="AN309" s="18" t="n">
        <f aca="false">SUMPRODUCT($AB309:$AF309,Validation!$D$13:$H$13)</f>
        <v>1.79722222222205</v>
      </c>
      <c r="AO309" s="18" t="n">
        <f aca="false">SUMPRODUCT($AB309:$AF309,Validation!$D$14:$H$14)</f>
        <v>2.02777777777795</v>
      </c>
      <c r="AP309" s="18" t="n">
        <f aca="false">SUMPRODUCT($AB309:$AF309,Validation!$D$15:$H$15)</f>
        <v>1.87279411764705</v>
      </c>
      <c r="AQ309" s="18" t="n">
        <f aca="false">SUMPRODUCT($AB309:$AF309,Validation!$D$16:$H$16)</f>
        <v>1.95220588235295</v>
      </c>
      <c r="AR309" s="8" t="n">
        <f aca="false">COUNTIF($C309:$V309,"&gt;=4")</f>
        <v>3</v>
      </c>
      <c r="AS309" s="8" t="str">
        <f aca="false">IF($X309&lt;=1.6,"Low",IF($X309&lt;=2.2,"Medium","High"))</f>
        <v>Medium</v>
      </c>
      <c r="AT309" s="8" t="str">
        <f aca="false">IF($AR309=0,"Low",IF($AR309&lt;3,"Medium","High"))</f>
        <v>High</v>
      </c>
      <c r="AU309" s="8" t="str">
        <f aca="false">IF(OR($AS309="High",$AT309="High"),"High",IF(OR($AS309="Medium",$AT309="Medium"),"Medium","Low"))</f>
        <v>High</v>
      </c>
      <c r="AV309" s="15" t="str">
        <f aca="false">IF($Z309="Yes","High",$AU309)</f>
        <v>High</v>
      </c>
    </row>
    <row r="310" customFormat="false" ht="15" hidden="false" customHeight="false" outlineLevel="0" collapsed="false">
      <c r="A310" s="7" t="str">
        <f aca="false">Customers!$A310</f>
        <v>NG-10043</v>
      </c>
      <c r="B310" s="7" t="str">
        <f aca="false">Customers!$B310</f>
        <v>Personal</v>
      </c>
      <c r="C310" s="8" t="n">
        <f aca="false">INDEX(Mapping!$C$2:$C$99,MATCH(C$1&amp;"|"&amp;Customers!C310,Mapping!$D$2:$D$99,0))</f>
        <v>1</v>
      </c>
      <c r="D310" s="8" t="n">
        <f aca="false">INDEX(Mapping!$C$2:$C$99,MATCH(D$1&amp;"|"&amp;Customers!D310,Mapping!$D$2:$D$99,0))</f>
        <v>1</v>
      </c>
      <c r="E310" s="8" t="n">
        <f aca="false">INDEX(Mapping!$C$2:$C$99,MATCH(E$1&amp;"|"&amp;Customers!E310,Mapping!$D$2:$D$99,0))</f>
        <v>3</v>
      </c>
      <c r="F310" s="8" t="n">
        <f aca="false">INDEX(Mapping!$C$2:$C$99,MATCH(F$1&amp;"|"&amp;Customers!F310,Mapping!$D$2:$D$99,0))</f>
        <v>1</v>
      </c>
      <c r="G310" s="8" t="n">
        <f aca="false">INDEX(Mapping!$C$2:$C$99,MATCH(G$1&amp;"|"&amp;Customers!G310,Mapping!$D$2:$D$99,0))</f>
        <v>1</v>
      </c>
      <c r="H310" s="8" t="n">
        <f aca="false">INDEX(Mapping!$C$2:$C$99,MATCH(H$1&amp;"|"&amp;Customers!H310,Mapping!$D$2:$D$99,0))</f>
        <v>1</v>
      </c>
      <c r="I310" s="8" t="n">
        <f aca="false">INDEX(Mapping!$C$2:$C$99,MATCH(I$1&amp;"|"&amp;Customers!I310,Mapping!$D$2:$D$99,0))</f>
        <v>1</v>
      </c>
      <c r="J310" s="8" t="n">
        <f aca="false">INDEX(Mapping!$C$2:$C$99,MATCH(J$1&amp;"|"&amp;Customers!J310,Mapping!$D$2:$D$99,0))</f>
        <v>2</v>
      </c>
      <c r="K310" s="8" t="n">
        <f aca="false">INDEX(Mapping!$C$2:$C$99,MATCH(K$1&amp;"|"&amp;Customers!K310,Mapping!$D$2:$D$99,0))</f>
        <v>2</v>
      </c>
      <c r="L310" s="8" t="n">
        <f aca="false">INDEX(Mapping!$C$2:$C$99,MATCH(L$1&amp;"|"&amp;Customers!L310,Mapping!$D$2:$D$99,0))</f>
        <v>2</v>
      </c>
      <c r="M310" s="8" t="n">
        <f aca="false">INDEX(Mapping!$C$2:$C$99,MATCH(M$1&amp;"|"&amp;Customers!M310,Mapping!$D$2:$D$99,0))</f>
        <v>2</v>
      </c>
      <c r="N310" s="8" t="n">
        <f aca="false">INDEX(Mapping!$C$2:$C$99,MATCH(N$1&amp;"|"&amp;Customers!N310,Mapping!$D$2:$D$99,0))</f>
        <v>2</v>
      </c>
      <c r="O310" s="8" t="n">
        <f aca="false">INDEX(Mapping!$C$2:$C$99,MATCH(O$1&amp;"|"&amp;Customers!O310,Mapping!$D$2:$D$99,0))</f>
        <v>4</v>
      </c>
      <c r="P310" s="8" t="n">
        <f aca="false">INDEX(Mapping!$C$2:$C$99,MATCH(P$1&amp;"|"&amp;Customers!P310,Mapping!$D$2:$D$99,0))</f>
        <v>3</v>
      </c>
      <c r="Q310" s="8" t="n">
        <f aca="false">INDEX(Mapping!$C$2:$C$99,MATCH(Q$1&amp;"|"&amp;Customers!Q310,Mapping!$D$2:$D$99,0))</f>
        <v>4</v>
      </c>
      <c r="R310" s="8" t="n">
        <f aca="false">INDEX(Mapping!$C$2:$C$99,MATCH(R$1&amp;"|"&amp;Customers!R310,Mapping!$D$2:$D$99,0))</f>
        <v>4</v>
      </c>
      <c r="S310" s="8" t="n">
        <f aca="false">INDEX(Mapping!$C$2:$C$99,MATCH(S$1&amp;"|"&amp;Customers!S310,Mapping!$D$2:$D$99,0))</f>
        <v>2</v>
      </c>
      <c r="T310" s="8" t="n">
        <f aca="false">INDEX(Mapping!$C$2:$C$99,MATCH(T$1&amp;"|"&amp;Customers!T310,Mapping!$D$2:$D$99,0))</f>
        <v>2</v>
      </c>
      <c r="U310" s="8" t="n">
        <f aca="false">INDEX(Mapping!$C$2:$C$99,MATCH(U$1&amp;"|"&amp;Customers!U310,Mapping!$D$2:$D$99,0))</f>
        <v>1</v>
      </c>
      <c r="V310" s="8" t="n">
        <f aca="false">INDEX(Mapping!$C$2:$C$99,MATCH(V$1&amp;"|"&amp;Customers!V310,Mapping!$D$2:$D$99,0))</f>
        <v>1</v>
      </c>
      <c r="W310" s="17" t="n">
        <f aca="false">SUMPRODUCT($C310:$V310,Weights!$C$27:$V$27)</f>
        <v>1.9025</v>
      </c>
      <c r="X310" s="18" t="n">
        <f aca="false">ROUND($W310,2)</f>
        <v>1.9</v>
      </c>
      <c r="Y310" s="8" t="str">
        <f aca="false">IF($X310&lt;=2,"Low",IF($X310&lt;=3.49,"Medium","High"))</f>
        <v>Low</v>
      </c>
      <c r="Z310" s="8" t="str">
        <f aca="false">IF(OR($F310&gt;=3,$E310=5,$D310=5,$C310=5,$G310=5,$H310=5,$I310=5,$J310=5,Customers!$W310="Yes"),"Yes","No")</f>
        <v>No</v>
      </c>
      <c r="AA310" s="15" t="str">
        <f aca="false">IF($Z310="Yes","High",$Y310)</f>
        <v>Low</v>
      </c>
      <c r="AB310" s="18" t="n">
        <f aca="false">SUMPRODUCT($C310:$G310,Weights!$C$28:$G$28)</f>
        <v>1.5</v>
      </c>
      <c r="AC310" s="18" t="n">
        <f aca="false">SUMPRODUCT($H310:$J310,Weights!$H$28:$J$28)</f>
        <v>1.4</v>
      </c>
      <c r="AD310" s="18" t="n">
        <f aca="false">SUMPRODUCT($K310:$N310,Weights!$K$28:$N$28)</f>
        <v>2</v>
      </c>
      <c r="AE310" s="18" t="n">
        <f aca="false">SUMPRODUCT($O310:$Q310,Weights!$O$28:$Q$28)</f>
        <v>3.65</v>
      </c>
      <c r="AF310" s="18" t="n">
        <f aca="false">SUMPRODUCT($R310:$V310,Weights!$R$28:$V$28)</f>
        <v>2.25</v>
      </c>
      <c r="AH310" s="18" t="n">
        <f aca="false">SUMPRODUCT($AB310:$AF310,Validation!$D$7:$H$7)</f>
        <v>1.96000000000075</v>
      </c>
      <c r="AI310" s="18" t="n">
        <f aca="false">SUMPRODUCT($AB310:$AF310,Validation!$D$8:$H$8)</f>
        <v>1.84499999999925</v>
      </c>
      <c r="AJ310" s="18" t="n">
        <f aca="false">SUMPRODUCT($AB310:$AF310,Validation!$D$9:$H$9)</f>
        <v>1.96949999999945</v>
      </c>
      <c r="AK310" s="18" t="n">
        <f aca="false">SUMPRODUCT($AB310:$AF310,Validation!$D$10:$H$10)</f>
        <v>1.83550000000055</v>
      </c>
      <c r="AL310" s="18" t="n">
        <f aca="false">SUMPRODUCT($AB310:$AF310,Validation!$D$11:$H$11)</f>
        <v>1.8903125</v>
      </c>
      <c r="AM310" s="18" t="n">
        <f aca="false">SUMPRODUCT($AB310:$AF310,Validation!$D$12:$H$12)</f>
        <v>1.9146875</v>
      </c>
      <c r="AN310" s="18" t="n">
        <f aca="false">SUMPRODUCT($AB310:$AF310,Validation!$D$13:$H$13)</f>
        <v>1.70833333333345</v>
      </c>
      <c r="AO310" s="18" t="n">
        <f aca="false">SUMPRODUCT($AB310:$AF310,Validation!$D$14:$H$14)</f>
        <v>2.09666666666655</v>
      </c>
      <c r="AP310" s="18" t="n">
        <f aca="false">SUMPRODUCT($AB310:$AF310,Validation!$D$15:$H$15)</f>
        <v>1.8616176470582</v>
      </c>
      <c r="AQ310" s="18" t="n">
        <f aca="false">SUMPRODUCT($AB310:$AF310,Validation!$D$16:$H$16)</f>
        <v>1.9433823529418</v>
      </c>
      <c r="AR310" s="8" t="n">
        <f aca="false">COUNTIF($C310:$V310,"&gt;=4")</f>
        <v>3</v>
      </c>
      <c r="AS310" s="8" t="str">
        <f aca="false">IF($X310&lt;=1.6,"Low",IF($X310&lt;=2.2,"Medium","High"))</f>
        <v>Medium</v>
      </c>
      <c r="AT310" s="8" t="str">
        <f aca="false">IF($AR310=0,"Low",IF($AR310&lt;3,"Medium","High"))</f>
        <v>High</v>
      </c>
      <c r="AU310" s="8" t="str">
        <f aca="false">IF(OR($AS310="High",$AT310="High"),"High",IF(OR($AS310="Medium",$AT310="Medium"),"Medium","Low"))</f>
        <v>High</v>
      </c>
      <c r="AV310" s="15" t="str">
        <f aca="false">IF($Z310="Yes","High",$AU310)</f>
        <v>High</v>
      </c>
    </row>
    <row r="311" customFormat="false" ht="15" hidden="false" customHeight="false" outlineLevel="0" collapsed="false">
      <c r="A311" s="7" t="str">
        <f aca="false">Customers!$A311</f>
        <v>NG-10232</v>
      </c>
      <c r="B311" s="7" t="str">
        <f aca="false">Customers!$B311</f>
        <v>Personal</v>
      </c>
      <c r="C311" s="8" t="n">
        <f aca="false">INDEX(Mapping!$C$2:$C$99,MATCH(C$1&amp;"|"&amp;Customers!C311,Mapping!$D$2:$D$99,0))</f>
        <v>1</v>
      </c>
      <c r="D311" s="8" t="n">
        <f aca="false">INDEX(Mapping!$C$2:$C$99,MATCH(D$1&amp;"|"&amp;Customers!D311,Mapping!$D$2:$D$99,0))</f>
        <v>1</v>
      </c>
      <c r="E311" s="8" t="n">
        <f aca="false">INDEX(Mapping!$C$2:$C$99,MATCH(E$1&amp;"|"&amp;Customers!E311,Mapping!$D$2:$D$99,0))</f>
        <v>3</v>
      </c>
      <c r="F311" s="8" t="n">
        <f aca="false">INDEX(Mapping!$C$2:$C$99,MATCH(F$1&amp;"|"&amp;Customers!F311,Mapping!$D$2:$D$99,0))</f>
        <v>1</v>
      </c>
      <c r="G311" s="8" t="n">
        <f aca="false">INDEX(Mapping!$C$2:$C$99,MATCH(G$1&amp;"|"&amp;Customers!G311,Mapping!$D$2:$D$99,0))</f>
        <v>1</v>
      </c>
      <c r="H311" s="8" t="n">
        <f aca="false">INDEX(Mapping!$C$2:$C$99,MATCH(H$1&amp;"|"&amp;Customers!H311,Mapping!$D$2:$D$99,0))</f>
        <v>1</v>
      </c>
      <c r="I311" s="8" t="n">
        <f aca="false">INDEX(Mapping!$C$2:$C$99,MATCH(I$1&amp;"|"&amp;Customers!I311,Mapping!$D$2:$D$99,0))</f>
        <v>1</v>
      </c>
      <c r="J311" s="8" t="n">
        <f aca="false">INDEX(Mapping!$C$2:$C$99,MATCH(J$1&amp;"|"&amp;Customers!J311,Mapping!$D$2:$D$99,0))</f>
        <v>2</v>
      </c>
      <c r="K311" s="8" t="n">
        <f aca="false">INDEX(Mapping!$C$2:$C$99,MATCH(K$1&amp;"|"&amp;Customers!K311,Mapping!$D$2:$D$99,0))</f>
        <v>2</v>
      </c>
      <c r="L311" s="8" t="n">
        <f aca="false">INDEX(Mapping!$C$2:$C$99,MATCH(L$1&amp;"|"&amp;Customers!L311,Mapping!$D$2:$D$99,0))</f>
        <v>4</v>
      </c>
      <c r="M311" s="8" t="n">
        <f aca="false">INDEX(Mapping!$C$2:$C$99,MATCH(M$1&amp;"|"&amp;Customers!M311,Mapping!$D$2:$D$99,0))</f>
        <v>3</v>
      </c>
      <c r="N311" s="8" t="n">
        <f aca="false">INDEX(Mapping!$C$2:$C$99,MATCH(N$1&amp;"|"&amp;Customers!N311,Mapping!$D$2:$D$99,0))</f>
        <v>2</v>
      </c>
      <c r="O311" s="8" t="n">
        <f aca="false">INDEX(Mapping!$C$2:$C$99,MATCH(O$1&amp;"|"&amp;Customers!O311,Mapping!$D$2:$D$99,0))</f>
        <v>2</v>
      </c>
      <c r="P311" s="8" t="n">
        <f aca="false">INDEX(Mapping!$C$2:$C$99,MATCH(P$1&amp;"|"&amp;Customers!P311,Mapping!$D$2:$D$99,0))</f>
        <v>3</v>
      </c>
      <c r="Q311" s="8" t="n">
        <f aca="false">INDEX(Mapping!$C$2:$C$99,MATCH(Q$1&amp;"|"&amp;Customers!Q311,Mapping!$D$2:$D$99,0))</f>
        <v>1</v>
      </c>
      <c r="R311" s="8" t="n">
        <f aca="false">INDEX(Mapping!$C$2:$C$99,MATCH(R$1&amp;"|"&amp;Customers!R311,Mapping!$D$2:$D$99,0))</f>
        <v>1</v>
      </c>
      <c r="S311" s="8" t="n">
        <f aca="false">INDEX(Mapping!$C$2:$C$99,MATCH(S$1&amp;"|"&amp;Customers!S311,Mapping!$D$2:$D$99,0))</f>
        <v>1</v>
      </c>
      <c r="T311" s="8" t="n">
        <f aca="false">INDEX(Mapping!$C$2:$C$99,MATCH(T$1&amp;"|"&amp;Customers!T311,Mapping!$D$2:$D$99,0))</f>
        <v>1</v>
      </c>
      <c r="U311" s="8" t="n">
        <f aca="false">INDEX(Mapping!$C$2:$C$99,MATCH(U$1&amp;"|"&amp;Customers!U311,Mapping!$D$2:$D$99,0))</f>
        <v>1</v>
      </c>
      <c r="V311" s="8" t="n">
        <f aca="false">INDEX(Mapping!$C$2:$C$99,MATCH(V$1&amp;"|"&amp;Customers!V311,Mapping!$D$2:$D$99,0))</f>
        <v>1</v>
      </c>
      <c r="W311" s="17" t="n">
        <f aca="false">SUMPRODUCT($C311:$V311,Weights!$C$27:$V$27)</f>
        <v>1.715</v>
      </c>
      <c r="X311" s="18" t="n">
        <f aca="false">ROUND($W311,2)</f>
        <v>1.72</v>
      </c>
      <c r="Y311" s="8" t="str">
        <f aca="false">IF($X311&lt;=2,"Low",IF($X311&lt;=3.49,"Medium","High"))</f>
        <v>Low</v>
      </c>
      <c r="Z311" s="8" t="str">
        <f aca="false">IF(OR($F311&gt;=3,$E311=5,$D311=5,$C311=5,$G311=5,$H311=5,$I311=5,$J311=5,Customers!$W311="Yes"),"Yes","No")</f>
        <v>No</v>
      </c>
      <c r="AA311" s="15" t="str">
        <f aca="false">IF($Z311="Yes","High",$Y311)</f>
        <v>Low</v>
      </c>
      <c r="AB311" s="18" t="n">
        <f aca="false">SUMPRODUCT($C311:$G311,Weights!$C$28:$G$28)</f>
        <v>1.5</v>
      </c>
      <c r="AC311" s="18" t="n">
        <f aca="false">SUMPRODUCT($H311:$J311,Weights!$H$28:$J$28)</f>
        <v>1.4</v>
      </c>
      <c r="AD311" s="18" t="n">
        <f aca="false">SUMPRODUCT($K311:$N311,Weights!$K$28:$N$28)</f>
        <v>2.75</v>
      </c>
      <c r="AE311" s="18" t="n">
        <f aca="false">SUMPRODUCT($O311:$Q311,Weights!$O$28:$Q$28)</f>
        <v>2.15</v>
      </c>
      <c r="AF311" s="18" t="n">
        <f aca="false">SUMPRODUCT($R311:$V311,Weights!$R$28:$V$28)</f>
        <v>1</v>
      </c>
      <c r="AH311" s="18" t="n">
        <f aca="false">SUMPRODUCT($AB311:$AF311,Validation!$D$7:$H$7)</f>
        <v>1.74571428571375</v>
      </c>
      <c r="AI311" s="18" t="n">
        <f aca="false">SUMPRODUCT($AB311:$AF311,Validation!$D$8:$H$8)</f>
        <v>1.68428571428625</v>
      </c>
      <c r="AJ311" s="18" t="n">
        <f aca="false">SUMPRODUCT($AB311:$AF311,Validation!$D$9:$H$9)</f>
        <v>1.7570000000002</v>
      </c>
      <c r="AK311" s="18" t="n">
        <f aca="false">SUMPRODUCT($AB311:$AF311,Validation!$D$10:$H$10)</f>
        <v>1.6729999999998</v>
      </c>
      <c r="AL311" s="18" t="n">
        <f aca="false">SUMPRODUCT($AB311:$AF311,Validation!$D$11:$H$11)</f>
        <v>1.585625</v>
      </c>
      <c r="AM311" s="18" t="n">
        <f aca="false">SUMPRODUCT($AB311:$AF311,Validation!$D$12:$H$12)</f>
        <v>1.844375</v>
      </c>
      <c r="AN311" s="18" t="n">
        <f aca="false">SUMPRODUCT($AB311:$AF311,Validation!$D$13:$H$13)</f>
        <v>1.6666666666662</v>
      </c>
      <c r="AO311" s="18" t="n">
        <f aca="false">SUMPRODUCT($AB311:$AF311,Validation!$D$14:$H$14)</f>
        <v>1.7633333333338</v>
      </c>
      <c r="AP311" s="18" t="n">
        <f aca="false">SUMPRODUCT($AB311:$AF311,Validation!$D$15:$H$15)</f>
        <v>1.79911764705895</v>
      </c>
      <c r="AQ311" s="18" t="n">
        <f aca="false">SUMPRODUCT($AB311:$AF311,Validation!$D$16:$H$16)</f>
        <v>1.63088235294105</v>
      </c>
      <c r="AR311" s="8" t="n">
        <f aca="false">COUNTIF($C311:$V311,"&gt;=4")</f>
        <v>1</v>
      </c>
      <c r="AS311" s="8" t="str">
        <f aca="false">IF($X311&lt;=1.6,"Low",IF($X311&lt;=2.2,"Medium","High"))</f>
        <v>Medium</v>
      </c>
      <c r="AT311" s="8" t="str">
        <f aca="false">IF($AR311=0,"Low",IF($AR311&lt;3,"Medium","High"))</f>
        <v>Medium</v>
      </c>
      <c r="AU311" s="8" t="str">
        <f aca="false">IF(OR($AS311="High",$AT311="High"),"High",IF(OR($AS311="Medium",$AT311="Medium"),"Medium","Low"))</f>
        <v>Medium</v>
      </c>
      <c r="AV311" s="15" t="str">
        <f aca="false">IF($Z311="Yes","High",$AU311)</f>
        <v>Medium</v>
      </c>
    </row>
    <row r="312" customFormat="false" ht="15" hidden="false" customHeight="false" outlineLevel="0" collapsed="false">
      <c r="A312" s="7" t="str">
        <f aca="false">Customers!$A312</f>
        <v>NG-10379</v>
      </c>
      <c r="B312" s="7" t="str">
        <f aca="false">Customers!$B312</f>
        <v>Limited company</v>
      </c>
      <c r="C312" s="8" t="n">
        <f aca="false">INDEX(Mapping!$C$2:$C$99,MATCH(C$1&amp;"|"&amp;Customers!C312,Mapping!$D$2:$D$99,0))</f>
        <v>3</v>
      </c>
      <c r="D312" s="8" t="n">
        <f aca="false">INDEX(Mapping!$C$2:$C$99,MATCH(D$1&amp;"|"&amp;Customers!D312,Mapping!$D$2:$D$99,0))</f>
        <v>3</v>
      </c>
      <c r="E312" s="8" t="n">
        <f aca="false">INDEX(Mapping!$C$2:$C$99,MATCH(E$1&amp;"|"&amp;Customers!E312,Mapping!$D$2:$D$99,0))</f>
        <v>4</v>
      </c>
      <c r="F312" s="8" t="n">
        <f aca="false">INDEX(Mapping!$C$2:$C$99,MATCH(F$1&amp;"|"&amp;Customers!F312,Mapping!$D$2:$D$99,0))</f>
        <v>1</v>
      </c>
      <c r="G312" s="8" t="n">
        <f aca="false">INDEX(Mapping!$C$2:$C$99,MATCH(G$1&amp;"|"&amp;Customers!G312,Mapping!$D$2:$D$99,0))</f>
        <v>5</v>
      </c>
      <c r="H312" s="8" t="n">
        <f aca="false">INDEX(Mapping!$C$2:$C$99,MATCH(H$1&amp;"|"&amp;Customers!H312,Mapping!$D$2:$D$99,0))</f>
        <v>1</v>
      </c>
      <c r="I312" s="8" t="n">
        <f aca="false">INDEX(Mapping!$C$2:$C$99,MATCH(I$1&amp;"|"&amp;Customers!I312,Mapping!$D$2:$D$99,0))</f>
        <v>1</v>
      </c>
      <c r="J312" s="8" t="n">
        <f aca="false">INDEX(Mapping!$C$2:$C$99,MATCH(J$1&amp;"|"&amp;Customers!J312,Mapping!$D$2:$D$99,0))</f>
        <v>2</v>
      </c>
      <c r="K312" s="8" t="n">
        <f aca="false">INDEX(Mapping!$C$2:$C$99,MATCH(K$1&amp;"|"&amp;Customers!K312,Mapping!$D$2:$D$99,0))</f>
        <v>4</v>
      </c>
      <c r="L312" s="8" t="n">
        <f aca="false">INDEX(Mapping!$C$2:$C$99,MATCH(L$1&amp;"|"&amp;Customers!L312,Mapping!$D$2:$D$99,0))</f>
        <v>4</v>
      </c>
      <c r="M312" s="8" t="n">
        <f aca="false">INDEX(Mapping!$C$2:$C$99,MATCH(M$1&amp;"|"&amp;Customers!M312,Mapping!$D$2:$D$99,0))</f>
        <v>1</v>
      </c>
      <c r="N312" s="8" t="n">
        <f aca="false">INDEX(Mapping!$C$2:$C$99,MATCH(N$1&amp;"|"&amp;Customers!N312,Mapping!$D$2:$D$99,0))</f>
        <v>1</v>
      </c>
      <c r="O312" s="8" t="n">
        <f aca="false">INDEX(Mapping!$C$2:$C$99,MATCH(O$1&amp;"|"&amp;Customers!O312,Mapping!$D$2:$D$99,0))</f>
        <v>1</v>
      </c>
      <c r="P312" s="8" t="n">
        <f aca="false">INDEX(Mapping!$C$2:$C$99,MATCH(P$1&amp;"|"&amp;Customers!P312,Mapping!$D$2:$D$99,0))</f>
        <v>3</v>
      </c>
      <c r="Q312" s="8" t="n">
        <f aca="false">INDEX(Mapping!$C$2:$C$99,MATCH(Q$1&amp;"|"&amp;Customers!Q312,Mapping!$D$2:$D$99,0))</f>
        <v>2</v>
      </c>
      <c r="R312" s="8" t="n">
        <f aca="false">INDEX(Mapping!$C$2:$C$99,MATCH(R$1&amp;"|"&amp;Customers!R312,Mapping!$D$2:$D$99,0))</f>
        <v>2</v>
      </c>
      <c r="S312" s="8" t="n">
        <f aca="false">INDEX(Mapping!$C$2:$C$99,MATCH(S$1&amp;"|"&amp;Customers!S312,Mapping!$D$2:$D$99,0))</f>
        <v>4</v>
      </c>
      <c r="T312" s="8" t="n">
        <f aca="false">INDEX(Mapping!$C$2:$C$99,MATCH(T$1&amp;"|"&amp;Customers!T312,Mapping!$D$2:$D$99,0))</f>
        <v>1</v>
      </c>
      <c r="U312" s="8" t="n">
        <f aca="false">INDEX(Mapping!$C$2:$C$99,MATCH(U$1&amp;"|"&amp;Customers!U312,Mapping!$D$2:$D$99,0))</f>
        <v>4</v>
      </c>
      <c r="V312" s="8" t="n">
        <f aca="false">INDEX(Mapping!$C$2:$C$99,MATCH(V$1&amp;"|"&amp;Customers!V312,Mapping!$D$2:$D$99,0))</f>
        <v>1</v>
      </c>
      <c r="W312" s="17" t="n">
        <f aca="false">SUMPRODUCT($C312:$V312,Weights!$C$27:$V$27)</f>
        <v>2.435</v>
      </c>
      <c r="X312" s="18" t="n">
        <f aca="false">ROUND($W312,2)</f>
        <v>2.44</v>
      </c>
      <c r="Y312" s="8" t="str">
        <f aca="false">IF($X312&lt;=2,"Low",IF($X312&lt;=3.49,"Medium","High"))</f>
        <v>Medium</v>
      </c>
      <c r="Z312" s="8" t="str">
        <f aca="false">IF(OR($F312&gt;=3,$E312=5,$D312=5,$C312=5,$G312=5,$H312=5,$I312=5,$J312=5,Customers!$W312="Yes"),"Yes","No")</f>
        <v>Yes</v>
      </c>
      <c r="AA312" s="15" t="str">
        <f aca="false">IF($Z312="Yes","High",$Y312)</f>
        <v>High</v>
      </c>
      <c r="AB312" s="18" t="n">
        <f aca="false">SUMPRODUCT($C312:$G312,Weights!$C$28:$G$28)</f>
        <v>3.15</v>
      </c>
      <c r="AC312" s="18" t="n">
        <f aca="false">SUMPRODUCT($H312:$J312,Weights!$H$28:$J$28)</f>
        <v>1.4</v>
      </c>
      <c r="AD312" s="18" t="n">
        <f aca="false">SUMPRODUCT($K312:$N312,Weights!$K$28:$N$28)</f>
        <v>2.8</v>
      </c>
      <c r="AE312" s="18" t="n">
        <f aca="false">SUMPRODUCT($O312:$Q312,Weights!$O$28:$Q$28)</f>
        <v>1.9</v>
      </c>
      <c r="AF312" s="18" t="n">
        <f aca="false">SUMPRODUCT($R312:$V312,Weights!$R$28:$V$28)</f>
        <v>2.6</v>
      </c>
      <c r="AH312" s="18" t="n">
        <f aca="false">SUMPRODUCT($AB312:$AF312,Validation!$D$7:$H$7)</f>
        <v>2.3328571428572</v>
      </c>
      <c r="AI312" s="18" t="n">
        <f aca="false">SUMPRODUCT($AB312:$AF312,Validation!$D$8:$H$8)</f>
        <v>2.5371428571428</v>
      </c>
      <c r="AJ312" s="18" t="n">
        <f aca="false">SUMPRODUCT($AB312:$AF312,Validation!$D$9:$H$9)</f>
        <v>2.5730000000003</v>
      </c>
      <c r="AK312" s="18" t="n">
        <f aca="false">SUMPRODUCT($AB312:$AF312,Validation!$D$10:$H$10)</f>
        <v>2.2969999999997</v>
      </c>
      <c r="AL312" s="18" t="n">
        <f aca="false">SUMPRODUCT($AB312:$AF312,Validation!$D$11:$H$11)</f>
        <v>2.389375</v>
      </c>
      <c r="AM312" s="18" t="n">
        <f aca="false">SUMPRODUCT($AB312:$AF312,Validation!$D$12:$H$12)</f>
        <v>2.480625</v>
      </c>
      <c r="AN312" s="18" t="n">
        <f aca="false">SUMPRODUCT($AB312:$AF312,Validation!$D$13:$H$13)</f>
        <v>2.49444444444395</v>
      </c>
      <c r="AO312" s="18" t="n">
        <f aca="false">SUMPRODUCT($AB312:$AF312,Validation!$D$14:$H$14)</f>
        <v>2.37555555555605</v>
      </c>
      <c r="AP312" s="18" t="n">
        <f aca="false">SUMPRODUCT($AB312:$AF312,Validation!$D$15:$H$15)</f>
        <v>2.41558823529425</v>
      </c>
      <c r="AQ312" s="18" t="n">
        <f aca="false">SUMPRODUCT($AB312:$AF312,Validation!$D$16:$H$16)</f>
        <v>2.45441176470575</v>
      </c>
      <c r="AR312" s="8" t="n">
        <f aca="false">COUNTIF($C312:$V312,"&gt;=4")</f>
        <v>6</v>
      </c>
      <c r="AS312" s="8" t="str">
        <f aca="false">IF($X312&lt;=1.6,"Low",IF($X312&lt;=2.2,"Medium","High"))</f>
        <v>High</v>
      </c>
      <c r="AT312" s="8" t="str">
        <f aca="false">IF($AR312=0,"Low",IF($AR312&lt;3,"Medium","High"))</f>
        <v>High</v>
      </c>
      <c r="AU312" s="8" t="str">
        <f aca="false">IF(OR($AS312="High",$AT312="High"),"High",IF(OR($AS312="Medium",$AT312="Medium"),"Medium","Low"))</f>
        <v>High</v>
      </c>
      <c r="AV312" s="15" t="str">
        <f aca="false">IF($Z312="Yes","High",$AU312)</f>
        <v>High</v>
      </c>
    </row>
    <row r="313" customFormat="false" ht="15" hidden="false" customHeight="false" outlineLevel="0" collapsed="false">
      <c r="A313" s="7" t="str">
        <f aca="false">Customers!$A313</f>
        <v>NG-10358</v>
      </c>
      <c r="B313" s="7" t="str">
        <f aca="false">Customers!$B313</f>
        <v>Sole trader</v>
      </c>
      <c r="C313" s="8" t="n">
        <f aca="false">INDEX(Mapping!$C$2:$C$99,MATCH(C$1&amp;"|"&amp;Customers!C313,Mapping!$D$2:$D$99,0))</f>
        <v>2</v>
      </c>
      <c r="D313" s="8" t="n">
        <f aca="false">INDEX(Mapping!$C$2:$C$99,MATCH(D$1&amp;"|"&amp;Customers!D313,Mapping!$D$2:$D$99,0))</f>
        <v>1</v>
      </c>
      <c r="E313" s="8" t="n">
        <f aca="false">INDEX(Mapping!$C$2:$C$99,MATCH(E$1&amp;"|"&amp;Customers!E313,Mapping!$D$2:$D$99,0))</f>
        <v>2</v>
      </c>
      <c r="F313" s="8" t="n">
        <f aca="false">INDEX(Mapping!$C$2:$C$99,MATCH(F$1&amp;"|"&amp;Customers!F313,Mapping!$D$2:$D$99,0))</f>
        <v>1</v>
      </c>
      <c r="G313" s="8" t="n">
        <f aca="false">INDEX(Mapping!$C$2:$C$99,MATCH(G$1&amp;"|"&amp;Customers!G313,Mapping!$D$2:$D$99,0))</f>
        <v>1</v>
      </c>
      <c r="H313" s="8" t="n">
        <f aca="false">INDEX(Mapping!$C$2:$C$99,MATCH(H$1&amp;"|"&amp;Customers!H313,Mapping!$D$2:$D$99,0))</f>
        <v>1</v>
      </c>
      <c r="I313" s="8" t="n">
        <f aca="false">INDEX(Mapping!$C$2:$C$99,MATCH(I$1&amp;"|"&amp;Customers!I313,Mapping!$D$2:$D$99,0))</f>
        <v>1</v>
      </c>
      <c r="J313" s="8" t="n">
        <f aca="false">INDEX(Mapping!$C$2:$C$99,MATCH(J$1&amp;"|"&amp;Customers!J313,Mapping!$D$2:$D$99,0))</f>
        <v>1</v>
      </c>
      <c r="K313" s="8" t="n">
        <f aca="false">INDEX(Mapping!$C$2:$C$99,MATCH(K$1&amp;"|"&amp;Customers!K313,Mapping!$D$2:$D$99,0))</f>
        <v>5</v>
      </c>
      <c r="L313" s="8" t="n">
        <f aca="false">INDEX(Mapping!$C$2:$C$99,MATCH(L$1&amp;"|"&amp;Customers!L313,Mapping!$D$2:$D$99,0))</f>
        <v>5</v>
      </c>
      <c r="M313" s="8" t="n">
        <f aca="false">INDEX(Mapping!$C$2:$C$99,MATCH(M$1&amp;"|"&amp;Customers!M313,Mapping!$D$2:$D$99,0))</f>
        <v>1</v>
      </c>
      <c r="N313" s="8" t="n">
        <f aca="false">INDEX(Mapping!$C$2:$C$99,MATCH(N$1&amp;"|"&amp;Customers!N313,Mapping!$D$2:$D$99,0))</f>
        <v>1</v>
      </c>
      <c r="O313" s="8" t="n">
        <f aca="false">INDEX(Mapping!$C$2:$C$99,MATCH(O$1&amp;"|"&amp;Customers!O313,Mapping!$D$2:$D$99,0))</f>
        <v>3</v>
      </c>
      <c r="P313" s="8" t="n">
        <f aca="false">INDEX(Mapping!$C$2:$C$99,MATCH(P$1&amp;"|"&amp;Customers!P313,Mapping!$D$2:$D$99,0))</f>
        <v>3</v>
      </c>
      <c r="Q313" s="8" t="n">
        <f aca="false">INDEX(Mapping!$C$2:$C$99,MATCH(Q$1&amp;"|"&amp;Customers!Q313,Mapping!$D$2:$D$99,0))</f>
        <v>1</v>
      </c>
      <c r="R313" s="8" t="n">
        <f aca="false">INDEX(Mapping!$C$2:$C$99,MATCH(R$1&amp;"|"&amp;Customers!R313,Mapping!$D$2:$D$99,0))</f>
        <v>4</v>
      </c>
      <c r="S313" s="8" t="n">
        <f aca="false">INDEX(Mapping!$C$2:$C$99,MATCH(S$1&amp;"|"&amp;Customers!S313,Mapping!$D$2:$D$99,0))</f>
        <v>4</v>
      </c>
      <c r="T313" s="8" t="n">
        <f aca="false">INDEX(Mapping!$C$2:$C$99,MATCH(T$1&amp;"|"&amp;Customers!T313,Mapping!$D$2:$D$99,0))</f>
        <v>2</v>
      </c>
      <c r="U313" s="8" t="n">
        <f aca="false">INDEX(Mapping!$C$2:$C$99,MATCH(U$1&amp;"|"&amp;Customers!U313,Mapping!$D$2:$D$99,0))</f>
        <v>1</v>
      </c>
      <c r="V313" s="8" t="n">
        <f aca="false">INDEX(Mapping!$C$2:$C$99,MATCH(V$1&amp;"|"&amp;Customers!V313,Mapping!$D$2:$D$99,0))</f>
        <v>3</v>
      </c>
      <c r="W313" s="17" t="n">
        <f aca="false">SUMPRODUCT($C313:$V313,Weights!$C$27:$V$27)</f>
        <v>2.0825</v>
      </c>
      <c r="X313" s="18" t="n">
        <f aca="false">ROUND($W313,2)</f>
        <v>2.08</v>
      </c>
      <c r="Y313" s="8" t="str">
        <f aca="false">IF($X313&lt;=2,"Low",IF($X313&lt;=3.49,"Medium","High"))</f>
        <v>Medium</v>
      </c>
      <c r="Z313" s="8" t="str">
        <f aca="false">IF(OR($F313&gt;=3,$E313=5,$D313=5,$C313=5,$G313=5,$H313=5,$I313=5,$J313=5,Customers!$W313="Yes"),"Yes","No")</f>
        <v>No</v>
      </c>
      <c r="AA313" s="15" t="str">
        <f aca="false">IF($Z313="Yes","High",$Y313)</f>
        <v>Medium</v>
      </c>
      <c r="AB313" s="18" t="n">
        <f aca="false">SUMPRODUCT($C313:$G313,Weights!$C$28:$G$28)</f>
        <v>1.45</v>
      </c>
      <c r="AC313" s="18" t="n">
        <f aca="false">SUMPRODUCT($H313:$J313,Weights!$H$28:$J$28)</f>
        <v>1</v>
      </c>
      <c r="AD313" s="18" t="n">
        <f aca="false">SUMPRODUCT($K313:$N313,Weights!$K$28:$N$28)</f>
        <v>3.4</v>
      </c>
      <c r="AE313" s="18" t="n">
        <f aca="false">SUMPRODUCT($O313:$Q313,Weights!$O$28:$Q$28)</f>
        <v>2.6</v>
      </c>
      <c r="AF313" s="18" t="n">
        <f aca="false">SUMPRODUCT($R313:$V313,Weights!$R$28:$V$28)</f>
        <v>3.05</v>
      </c>
      <c r="AH313" s="18" t="n">
        <f aca="false">SUMPRODUCT($AB313:$AF313,Validation!$D$7:$H$7)</f>
        <v>2.17285714285745</v>
      </c>
      <c r="AI313" s="18" t="n">
        <f aca="false">SUMPRODUCT($AB313:$AF313,Validation!$D$8:$H$8)</f>
        <v>1.99214285714255</v>
      </c>
      <c r="AJ313" s="18" t="n">
        <f aca="false">SUMPRODUCT($AB313:$AF313,Validation!$D$9:$H$9)</f>
        <v>2.2268333333336</v>
      </c>
      <c r="AK313" s="18" t="n">
        <f aca="false">SUMPRODUCT($AB313:$AF313,Validation!$D$10:$H$10)</f>
        <v>1.9381666666664</v>
      </c>
      <c r="AL313" s="18" t="n">
        <f aca="false">SUMPRODUCT($AB313:$AF313,Validation!$D$11:$H$11)</f>
        <v>1.9178125</v>
      </c>
      <c r="AM313" s="18" t="n">
        <f aca="false">SUMPRODUCT($AB313:$AF313,Validation!$D$12:$H$12)</f>
        <v>2.2471875</v>
      </c>
      <c r="AN313" s="18" t="n">
        <f aca="false">SUMPRODUCT($AB313:$AF313,Validation!$D$13:$H$13)</f>
        <v>2.025</v>
      </c>
      <c r="AO313" s="18" t="n">
        <f aca="false">SUMPRODUCT($AB313:$AF313,Validation!$D$14:$H$14)</f>
        <v>2.14</v>
      </c>
      <c r="AP313" s="18" t="n">
        <f aca="false">SUMPRODUCT($AB313:$AF313,Validation!$D$15:$H$15)</f>
        <v>1.96867647058835</v>
      </c>
      <c r="AQ313" s="18" t="n">
        <f aca="false">SUMPRODUCT($AB313:$AF313,Validation!$D$16:$H$16)</f>
        <v>2.19632352941165</v>
      </c>
      <c r="AR313" s="8" t="n">
        <f aca="false">COUNTIF($C313:$V313,"&gt;=4")</f>
        <v>4</v>
      </c>
      <c r="AS313" s="8" t="str">
        <f aca="false">IF($X313&lt;=1.6,"Low",IF($X313&lt;=2.2,"Medium","High"))</f>
        <v>Medium</v>
      </c>
      <c r="AT313" s="8" t="str">
        <f aca="false">IF($AR313=0,"Low",IF($AR313&lt;3,"Medium","High"))</f>
        <v>High</v>
      </c>
      <c r="AU313" s="8" t="str">
        <f aca="false">IF(OR($AS313="High",$AT313="High"),"High",IF(OR($AS313="Medium",$AT313="Medium"),"Medium","Low"))</f>
        <v>High</v>
      </c>
      <c r="AV313" s="15" t="str">
        <f aca="false">IF($Z313="Yes","High",$AU313)</f>
        <v>High</v>
      </c>
    </row>
    <row r="314" customFormat="false" ht="15" hidden="false" customHeight="false" outlineLevel="0" collapsed="false">
      <c r="A314" s="7" t="str">
        <f aca="false">Customers!$A314</f>
        <v>NG-10074</v>
      </c>
      <c r="B314" s="7" t="str">
        <f aca="false">Customers!$B314</f>
        <v>Personal</v>
      </c>
      <c r="C314" s="8" t="n">
        <f aca="false">INDEX(Mapping!$C$2:$C$99,MATCH(C$1&amp;"|"&amp;Customers!C314,Mapping!$D$2:$D$99,0))</f>
        <v>2</v>
      </c>
      <c r="D314" s="8" t="n">
        <f aca="false">INDEX(Mapping!$C$2:$C$99,MATCH(D$1&amp;"|"&amp;Customers!D314,Mapping!$D$2:$D$99,0))</f>
        <v>1</v>
      </c>
      <c r="E314" s="8" t="n">
        <f aca="false">INDEX(Mapping!$C$2:$C$99,MATCH(E$1&amp;"|"&amp;Customers!E314,Mapping!$D$2:$D$99,0))</f>
        <v>1</v>
      </c>
      <c r="F314" s="8" t="n">
        <f aca="false">INDEX(Mapping!$C$2:$C$99,MATCH(F$1&amp;"|"&amp;Customers!F314,Mapping!$D$2:$D$99,0))</f>
        <v>1</v>
      </c>
      <c r="G314" s="8" t="n">
        <f aca="false">INDEX(Mapping!$C$2:$C$99,MATCH(G$1&amp;"|"&amp;Customers!G314,Mapping!$D$2:$D$99,0))</f>
        <v>1</v>
      </c>
      <c r="H314" s="8" t="n">
        <f aca="false">INDEX(Mapping!$C$2:$C$99,MATCH(H$1&amp;"|"&amp;Customers!H314,Mapping!$D$2:$D$99,0))</f>
        <v>1</v>
      </c>
      <c r="I314" s="8" t="n">
        <f aca="false">INDEX(Mapping!$C$2:$C$99,MATCH(I$1&amp;"|"&amp;Customers!I314,Mapping!$D$2:$D$99,0))</f>
        <v>1</v>
      </c>
      <c r="J314" s="8" t="n">
        <f aca="false">INDEX(Mapping!$C$2:$C$99,MATCH(J$1&amp;"|"&amp;Customers!J314,Mapping!$D$2:$D$99,0))</f>
        <v>1</v>
      </c>
      <c r="K314" s="8" t="n">
        <f aca="false">INDEX(Mapping!$C$2:$C$99,MATCH(K$1&amp;"|"&amp;Customers!K314,Mapping!$D$2:$D$99,0))</f>
        <v>3</v>
      </c>
      <c r="L314" s="8" t="n">
        <f aca="false">INDEX(Mapping!$C$2:$C$99,MATCH(L$1&amp;"|"&amp;Customers!L314,Mapping!$D$2:$D$99,0))</f>
        <v>2</v>
      </c>
      <c r="M314" s="8" t="n">
        <f aca="false">INDEX(Mapping!$C$2:$C$99,MATCH(M$1&amp;"|"&amp;Customers!M314,Mapping!$D$2:$D$99,0))</f>
        <v>3</v>
      </c>
      <c r="N314" s="8" t="n">
        <f aca="false">INDEX(Mapping!$C$2:$C$99,MATCH(N$1&amp;"|"&amp;Customers!N314,Mapping!$D$2:$D$99,0))</f>
        <v>3</v>
      </c>
      <c r="O314" s="8" t="n">
        <f aca="false">INDEX(Mapping!$C$2:$C$99,MATCH(O$1&amp;"|"&amp;Customers!O314,Mapping!$D$2:$D$99,0))</f>
        <v>4</v>
      </c>
      <c r="P314" s="8" t="n">
        <f aca="false">INDEX(Mapping!$C$2:$C$99,MATCH(P$1&amp;"|"&amp;Customers!P314,Mapping!$D$2:$D$99,0))</f>
        <v>3</v>
      </c>
      <c r="Q314" s="8" t="n">
        <f aca="false">INDEX(Mapping!$C$2:$C$99,MATCH(Q$1&amp;"|"&amp;Customers!Q314,Mapping!$D$2:$D$99,0))</f>
        <v>1</v>
      </c>
      <c r="R314" s="8" t="n">
        <f aca="false">INDEX(Mapping!$C$2:$C$99,MATCH(R$1&amp;"|"&amp;Customers!R314,Mapping!$D$2:$D$99,0))</f>
        <v>1</v>
      </c>
      <c r="S314" s="8" t="n">
        <f aca="false">INDEX(Mapping!$C$2:$C$99,MATCH(S$1&amp;"|"&amp;Customers!S314,Mapping!$D$2:$D$99,0))</f>
        <v>2</v>
      </c>
      <c r="T314" s="8" t="n">
        <f aca="false">INDEX(Mapping!$C$2:$C$99,MATCH(T$1&amp;"|"&amp;Customers!T314,Mapping!$D$2:$D$99,0))</f>
        <v>1</v>
      </c>
      <c r="U314" s="8" t="n">
        <f aca="false">INDEX(Mapping!$C$2:$C$99,MATCH(U$1&amp;"|"&amp;Customers!U314,Mapping!$D$2:$D$99,0))</f>
        <v>1</v>
      </c>
      <c r="V314" s="8" t="n">
        <f aca="false">INDEX(Mapping!$C$2:$C$99,MATCH(V$1&amp;"|"&amp;Customers!V314,Mapping!$D$2:$D$99,0))</f>
        <v>1</v>
      </c>
      <c r="W314" s="17" t="n">
        <f aca="false">SUMPRODUCT($C314:$V314,Weights!$C$27:$V$27)</f>
        <v>1.66</v>
      </c>
      <c r="X314" s="18" t="n">
        <f aca="false">ROUND($W314,2)</f>
        <v>1.66</v>
      </c>
      <c r="Y314" s="8" t="str">
        <f aca="false">IF($X314&lt;=2,"Low",IF($X314&lt;=3.49,"Medium","High"))</f>
        <v>Low</v>
      </c>
      <c r="Z314" s="8" t="str">
        <f aca="false">IF(OR($F314&gt;=3,$E314=5,$D314=5,$C314=5,$G314=5,$H314=5,$I314=5,$J314=5,Customers!$W314="Yes"),"Yes","No")</f>
        <v>No</v>
      </c>
      <c r="AA314" s="15" t="str">
        <f aca="false">IF($Z314="Yes","High",$Y314)</f>
        <v>Low</v>
      </c>
      <c r="AB314" s="18" t="n">
        <f aca="false">SUMPRODUCT($C314:$G314,Weights!$C$28:$G$28)</f>
        <v>1.2</v>
      </c>
      <c r="AC314" s="18" t="n">
        <f aca="false">SUMPRODUCT($H314:$J314,Weights!$H$28:$J$28)</f>
        <v>1</v>
      </c>
      <c r="AD314" s="18" t="n">
        <f aca="false">SUMPRODUCT($K314:$N314,Weights!$K$28:$N$28)</f>
        <v>2.75</v>
      </c>
      <c r="AE314" s="18" t="n">
        <f aca="false">SUMPRODUCT($O314:$Q314,Weights!$O$28:$Q$28)</f>
        <v>3.05</v>
      </c>
      <c r="AF314" s="18" t="n">
        <f aca="false">SUMPRODUCT($R314:$V314,Weights!$R$28:$V$28)</f>
        <v>1.3</v>
      </c>
      <c r="AH314" s="18" t="n">
        <f aca="false">SUMPRODUCT($AB314:$AF314,Validation!$D$7:$H$7)</f>
        <v>1.72571428571425</v>
      </c>
      <c r="AI314" s="18" t="n">
        <f aca="false">SUMPRODUCT($AB314:$AF314,Validation!$D$8:$H$8)</f>
        <v>1.59428571428575</v>
      </c>
      <c r="AJ314" s="18" t="n">
        <f aca="false">SUMPRODUCT($AB314:$AF314,Validation!$D$9:$H$9)</f>
        <v>1.7479999999999</v>
      </c>
      <c r="AK314" s="18" t="n">
        <f aca="false">SUMPRODUCT($AB314:$AF314,Validation!$D$10:$H$10)</f>
        <v>1.5720000000001</v>
      </c>
      <c r="AL314" s="18" t="n">
        <f aca="false">SUMPRODUCT($AB314:$AF314,Validation!$D$11:$H$11)</f>
        <v>1.52375</v>
      </c>
      <c r="AM314" s="18" t="n">
        <f aca="false">SUMPRODUCT($AB314:$AF314,Validation!$D$12:$H$12)</f>
        <v>1.79625</v>
      </c>
      <c r="AN314" s="18" t="n">
        <f aca="false">SUMPRODUCT($AB314:$AF314,Validation!$D$13:$H$13)</f>
        <v>1.5055555555552</v>
      </c>
      <c r="AO314" s="18" t="n">
        <f aca="false">SUMPRODUCT($AB314:$AF314,Validation!$D$14:$H$14)</f>
        <v>1.8144444444448</v>
      </c>
      <c r="AP314" s="18" t="n">
        <f aca="false">SUMPRODUCT($AB314:$AF314,Validation!$D$15:$H$15)</f>
        <v>1.70235294117625</v>
      </c>
      <c r="AQ314" s="18" t="n">
        <f aca="false">SUMPRODUCT($AB314:$AF314,Validation!$D$16:$H$16)</f>
        <v>1.61764705882375</v>
      </c>
      <c r="AR314" s="8" t="n">
        <f aca="false">COUNTIF($C314:$V314,"&gt;=4")</f>
        <v>1</v>
      </c>
      <c r="AS314" s="8" t="str">
        <f aca="false">IF($X314&lt;=1.6,"Low",IF($X314&lt;=2.2,"Medium","High"))</f>
        <v>Medium</v>
      </c>
      <c r="AT314" s="8" t="str">
        <f aca="false">IF($AR314=0,"Low",IF($AR314&lt;3,"Medium","High"))</f>
        <v>Medium</v>
      </c>
      <c r="AU314" s="8" t="str">
        <f aca="false">IF(OR($AS314="High",$AT314="High"),"High",IF(OR($AS314="Medium",$AT314="Medium"),"Medium","Low"))</f>
        <v>Medium</v>
      </c>
      <c r="AV314" s="15" t="str">
        <f aca="false">IF($Z314="Yes","High",$AU314)</f>
        <v>Medium</v>
      </c>
    </row>
    <row r="315" customFormat="false" ht="15" hidden="false" customHeight="false" outlineLevel="0" collapsed="false">
      <c r="A315" s="7" t="str">
        <f aca="false">Customers!$A315</f>
        <v>NG-10020</v>
      </c>
      <c r="B315" s="7" t="str">
        <f aca="false">Customers!$B315</f>
        <v>Personal</v>
      </c>
      <c r="C315" s="8" t="n">
        <f aca="false">INDEX(Mapping!$C$2:$C$99,MATCH(C$1&amp;"|"&amp;Customers!C315,Mapping!$D$2:$D$99,0))</f>
        <v>1</v>
      </c>
      <c r="D315" s="8" t="n">
        <f aca="false">INDEX(Mapping!$C$2:$C$99,MATCH(D$1&amp;"|"&amp;Customers!D315,Mapping!$D$2:$D$99,0))</f>
        <v>1</v>
      </c>
      <c r="E315" s="8" t="n">
        <f aca="false">INDEX(Mapping!$C$2:$C$99,MATCH(E$1&amp;"|"&amp;Customers!E315,Mapping!$D$2:$D$99,0))</f>
        <v>1</v>
      </c>
      <c r="F315" s="8" t="n">
        <f aca="false">INDEX(Mapping!$C$2:$C$99,MATCH(F$1&amp;"|"&amp;Customers!F315,Mapping!$D$2:$D$99,0))</f>
        <v>1</v>
      </c>
      <c r="G315" s="8" t="n">
        <f aca="false">INDEX(Mapping!$C$2:$C$99,MATCH(G$1&amp;"|"&amp;Customers!G315,Mapping!$D$2:$D$99,0))</f>
        <v>1</v>
      </c>
      <c r="H315" s="8" t="n">
        <f aca="false">INDEX(Mapping!$C$2:$C$99,MATCH(H$1&amp;"|"&amp;Customers!H315,Mapping!$D$2:$D$99,0))</f>
        <v>1</v>
      </c>
      <c r="I315" s="8" t="n">
        <f aca="false">INDEX(Mapping!$C$2:$C$99,MATCH(I$1&amp;"|"&amp;Customers!I315,Mapping!$D$2:$D$99,0))</f>
        <v>1</v>
      </c>
      <c r="J315" s="8" t="n">
        <f aca="false">INDEX(Mapping!$C$2:$C$99,MATCH(J$1&amp;"|"&amp;Customers!J315,Mapping!$D$2:$D$99,0))</f>
        <v>1</v>
      </c>
      <c r="K315" s="8" t="n">
        <f aca="false">INDEX(Mapping!$C$2:$C$99,MATCH(K$1&amp;"|"&amp;Customers!K315,Mapping!$D$2:$D$99,0))</f>
        <v>3</v>
      </c>
      <c r="L315" s="8" t="n">
        <f aca="false">INDEX(Mapping!$C$2:$C$99,MATCH(L$1&amp;"|"&amp;Customers!L315,Mapping!$D$2:$D$99,0))</f>
        <v>2</v>
      </c>
      <c r="M315" s="8" t="n">
        <f aca="false">INDEX(Mapping!$C$2:$C$99,MATCH(M$1&amp;"|"&amp;Customers!M315,Mapping!$D$2:$D$99,0))</f>
        <v>1</v>
      </c>
      <c r="N315" s="8" t="n">
        <f aca="false">INDEX(Mapping!$C$2:$C$99,MATCH(N$1&amp;"|"&amp;Customers!N315,Mapping!$D$2:$D$99,0))</f>
        <v>1</v>
      </c>
      <c r="O315" s="8" t="n">
        <f aca="false">INDEX(Mapping!$C$2:$C$99,MATCH(O$1&amp;"|"&amp;Customers!O315,Mapping!$D$2:$D$99,0))</f>
        <v>3</v>
      </c>
      <c r="P315" s="8" t="n">
        <f aca="false">INDEX(Mapping!$C$2:$C$99,MATCH(P$1&amp;"|"&amp;Customers!P315,Mapping!$D$2:$D$99,0))</f>
        <v>3</v>
      </c>
      <c r="Q315" s="8" t="n">
        <f aca="false">INDEX(Mapping!$C$2:$C$99,MATCH(Q$1&amp;"|"&amp;Customers!Q315,Mapping!$D$2:$D$99,0))</f>
        <v>1</v>
      </c>
      <c r="R315" s="8" t="n">
        <f aca="false">INDEX(Mapping!$C$2:$C$99,MATCH(R$1&amp;"|"&amp;Customers!R315,Mapping!$D$2:$D$99,0))</f>
        <v>2</v>
      </c>
      <c r="S315" s="8" t="n">
        <f aca="false">INDEX(Mapping!$C$2:$C$99,MATCH(S$1&amp;"|"&amp;Customers!S315,Mapping!$D$2:$D$99,0))</f>
        <v>2</v>
      </c>
      <c r="T315" s="8" t="n">
        <f aca="false">INDEX(Mapping!$C$2:$C$99,MATCH(T$1&amp;"|"&amp;Customers!T315,Mapping!$D$2:$D$99,0))</f>
        <v>1</v>
      </c>
      <c r="U315" s="8" t="n">
        <f aca="false">INDEX(Mapping!$C$2:$C$99,MATCH(U$1&amp;"|"&amp;Customers!U315,Mapping!$D$2:$D$99,0))</f>
        <v>1</v>
      </c>
      <c r="V315" s="8" t="n">
        <f aca="false">INDEX(Mapping!$C$2:$C$99,MATCH(V$1&amp;"|"&amp;Customers!V315,Mapping!$D$2:$D$99,0))</f>
        <v>1</v>
      </c>
      <c r="W315" s="17" t="n">
        <f aca="false">SUMPRODUCT($C315:$V315,Weights!$C$27:$V$27)</f>
        <v>1.4325</v>
      </c>
      <c r="X315" s="18" t="n">
        <f aca="false">ROUND($W315,2)</f>
        <v>1.43</v>
      </c>
      <c r="Y315" s="8" t="str">
        <f aca="false">IF($X315&lt;=2,"Low",IF($X315&lt;=3.49,"Medium","High"))</f>
        <v>Low</v>
      </c>
      <c r="Z315" s="8" t="str">
        <f aca="false">IF(OR($F315&gt;=3,$E315=5,$D315=5,$C315=5,$G315=5,$H315=5,$I315=5,$J315=5,Customers!$W315="Yes"),"Yes","No")</f>
        <v>No</v>
      </c>
      <c r="AA315" s="15" t="str">
        <f aca="false">IF($Z315="Yes","High",$Y315)</f>
        <v>Low</v>
      </c>
      <c r="AB315" s="18" t="n">
        <f aca="false">SUMPRODUCT($C315:$G315,Weights!$C$28:$G$28)</f>
        <v>1</v>
      </c>
      <c r="AC315" s="18" t="n">
        <f aca="false">SUMPRODUCT($H315:$J315,Weights!$H$28:$J$28)</f>
        <v>1</v>
      </c>
      <c r="AD315" s="18" t="n">
        <f aca="false">SUMPRODUCT($K315:$N315,Weights!$K$28:$N$28)</f>
        <v>1.95</v>
      </c>
      <c r="AE315" s="18" t="n">
        <f aca="false">SUMPRODUCT($O315:$Q315,Weights!$O$28:$Q$28)</f>
        <v>2.6</v>
      </c>
      <c r="AF315" s="18" t="n">
        <f aca="false">SUMPRODUCT($R315:$V315,Weights!$R$28:$V$28)</f>
        <v>1.55</v>
      </c>
      <c r="AH315" s="18" t="n">
        <f aca="false">SUMPRODUCT($AB315:$AF315,Validation!$D$7:$H$7)</f>
        <v>1.494285714286</v>
      </c>
      <c r="AI315" s="18" t="n">
        <f aca="false">SUMPRODUCT($AB315:$AF315,Validation!$D$8:$H$8)</f>
        <v>1.370714285714</v>
      </c>
      <c r="AJ315" s="18" t="n">
        <f aca="false">SUMPRODUCT($AB315:$AF315,Validation!$D$9:$H$9)</f>
        <v>1.49016666666645</v>
      </c>
      <c r="AK315" s="18" t="n">
        <f aca="false">SUMPRODUCT($AB315:$AF315,Validation!$D$10:$H$10)</f>
        <v>1.37483333333355</v>
      </c>
      <c r="AL315" s="18" t="n">
        <f aca="false">SUMPRODUCT($AB315:$AF315,Validation!$D$11:$H$11)</f>
        <v>1.3678125</v>
      </c>
      <c r="AM315" s="18" t="n">
        <f aca="false">SUMPRODUCT($AB315:$AF315,Validation!$D$12:$H$12)</f>
        <v>1.4971875</v>
      </c>
      <c r="AN315" s="18" t="n">
        <f aca="false">SUMPRODUCT($AB315:$AF315,Validation!$D$13:$H$13)</f>
        <v>1.30277777777775</v>
      </c>
      <c r="AO315" s="18" t="n">
        <f aca="false">SUMPRODUCT($AB315:$AF315,Validation!$D$14:$H$14)</f>
        <v>1.56222222222225</v>
      </c>
      <c r="AP315" s="18" t="n">
        <f aca="false">SUMPRODUCT($AB315:$AF315,Validation!$D$15:$H$15)</f>
        <v>1.41867647058795</v>
      </c>
      <c r="AQ315" s="18" t="n">
        <f aca="false">SUMPRODUCT($AB315:$AF315,Validation!$D$16:$H$16)</f>
        <v>1.44632352941205</v>
      </c>
      <c r="AR315" s="8" t="n">
        <f aca="false">COUNTIF($C315:$V315,"&gt;=4")</f>
        <v>0</v>
      </c>
      <c r="AS315" s="8" t="str">
        <f aca="false">IF($X315&lt;=1.6,"Low",IF($X315&lt;=2.2,"Medium","High"))</f>
        <v>Low</v>
      </c>
      <c r="AT315" s="8" t="str">
        <f aca="false">IF($AR315=0,"Low",IF($AR315&lt;3,"Medium","High"))</f>
        <v>Low</v>
      </c>
      <c r="AU315" s="8" t="str">
        <f aca="false">IF(OR($AS315="High",$AT315="High"),"High",IF(OR($AS315="Medium",$AT315="Medium"),"Medium","Low"))</f>
        <v>Low</v>
      </c>
      <c r="AV315" s="15" t="str">
        <f aca="false">IF($Z315="Yes","High",$AU315)</f>
        <v>Low</v>
      </c>
    </row>
    <row r="316" customFormat="false" ht="15" hidden="false" customHeight="false" outlineLevel="0" collapsed="false">
      <c r="A316" s="7" t="str">
        <f aca="false">Customers!$A316</f>
        <v>NG-10276</v>
      </c>
      <c r="B316" s="7" t="str">
        <f aca="false">Customers!$B316</f>
        <v>Personal</v>
      </c>
      <c r="C316" s="8" t="n">
        <f aca="false">INDEX(Mapping!$C$2:$C$99,MATCH(C$1&amp;"|"&amp;Customers!C316,Mapping!$D$2:$D$99,0))</f>
        <v>2</v>
      </c>
      <c r="D316" s="8" t="n">
        <f aca="false">INDEX(Mapping!$C$2:$C$99,MATCH(D$1&amp;"|"&amp;Customers!D316,Mapping!$D$2:$D$99,0))</f>
        <v>1</v>
      </c>
      <c r="E316" s="8" t="n">
        <f aca="false">INDEX(Mapping!$C$2:$C$99,MATCH(E$1&amp;"|"&amp;Customers!E316,Mapping!$D$2:$D$99,0))</f>
        <v>3</v>
      </c>
      <c r="F316" s="8" t="n">
        <f aca="false">INDEX(Mapping!$C$2:$C$99,MATCH(F$1&amp;"|"&amp;Customers!F316,Mapping!$D$2:$D$99,0))</f>
        <v>1</v>
      </c>
      <c r="G316" s="8" t="n">
        <f aca="false">INDEX(Mapping!$C$2:$C$99,MATCH(G$1&amp;"|"&amp;Customers!G316,Mapping!$D$2:$D$99,0))</f>
        <v>2</v>
      </c>
      <c r="H316" s="8" t="n">
        <f aca="false">INDEX(Mapping!$C$2:$C$99,MATCH(H$1&amp;"|"&amp;Customers!H316,Mapping!$D$2:$D$99,0))</f>
        <v>1</v>
      </c>
      <c r="I316" s="8" t="n">
        <f aca="false">INDEX(Mapping!$C$2:$C$99,MATCH(I$1&amp;"|"&amp;Customers!I316,Mapping!$D$2:$D$99,0))</f>
        <v>1</v>
      </c>
      <c r="J316" s="8" t="n">
        <f aca="false">INDEX(Mapping!$C$2:$C$99,MATCH(J$1&amp;"|"&amp;Customers!J316,Mapping!$D$2:$D$99,0))</f>
        <v>1</v>
      </c>
      <c r="K316" s="8" t="n">
        <f aca="false">INDEX(Mapping!$C$2:$C$99,MATCH(K$1&amp;"|"&amp;Customers!K316,Mapping!$D$2:$D$99,0))</f>
        <v>3</v>
      </c>
      <c r="L316" s="8" t="n">
        <f aca="false">INDEX(Mapping!$C$2:$C$99,MATCH(L$1&amp;"|"&amp;Customers!L316,Mapping!$D$2:$D$99,0))</f>
        <v>2</v>
      </c>
      <c r="M316" s="8" t="n">
        <f aca="false">INDEX(Mapping!$C$2:$C$99,MATCH(M$1&amp;"|"&amp;Customers!M316,Mapping!$D$2:$D$99,0))</f>
        <v>2</v>
      </c>
      <c r="N316" s="8" t="n">
        <f aca="false">INDEX(Mapping!$C$2:$C$99,MATCH(N$1&amp;"|"&amp;Customers!N316,Mapping!$D$2:$D$99,0))</f>
        <v>1</v>
      </c>
      <c r="O316" s="8" t="n">
        <f aca="false">INDEX(Mapping!$C$2:$C$99,MATCH(O$1&amp;"|"&amp;Customers!O316,Mapping!$D$2:$D$99,0))</f>
        <v>3</v>
      </c>
      <c r="P316" s="8" t="n">
        <f aca="false">INDEX(Mapping!$C$2:$C$99,MATCH(P$1&amp;"|"&amp;Customers!P316,Mapping!$D$2:$D$99,0))</f>
        <v>3</v>
      </c>
      <c r="Q316" s="8" t="n">
        <f aca="false">INDEX(Mapping!$C$2:$C$99,MATCH(Q$1&amp;"|"&amp;Customers!Q316,Mapping!$D$2:$D$99,0))</f>
        <v>1</v>
      </c>
      <c r="R316" s="8" t="n">
        <f aca="false">INDEX(Mapping!$C$2:$C$99,MATCH(R$1&amp;"|"&amp;Customers!R316,Mapping!$D$2:$D$99,0))</f>
        <v>1</v>
      </c>
      <c r="S316" s="8" t="n">
        <f aca="false">INDEX(Mapping!$C$2:$C$99,MATCH(S$1&amp;"|"&amp;Customers!S316,Mapping!$D$2:$D$99,0))</f>
        <v>1</v>
      </c>
      <c r="T316" s="8" t="n">
        <f aca="false">INDEX(Mapping!$C$2:$C$99,MATCH(T$1&amp;"|"&amp;Customers!T316,Mapping!$D$2:$D$99,0))</f>
        <v>2</v>
      </c>
      <c r="U316" s="8" t="n">
        <f aca="false">INDEX(Mapping!$C$2:$C$99,MATCH(U$1&amp;"|"&amp;Customers!U316,Mapping!$D$2:$D$99,0))</f>
        <v>3</v>
      </c>
      <c r="V316" s="8" t="n">
        <f aca="false">INDEX(Mapping!$C$2:$C$99,MATCH(V$1&amp;"|"&amp;Customers!V316,Mapping!$D$2:$D$99,0))</f>
        <v>1</v>
      </c>
      <c r="W316" s="17" t="n">
        <f aca="false">SUMPRODUCT($C316:$V316,Weights!$C$27:$V$27)</f>
        <v>1.73</v>
      </c>
      <c r="X316" s="18" t="n">
        <f aca="false">ROUND($W316,2)</f>
        <v>1.73</v>
      </c>
      <c r="Y316" s="8" t="str">
        <f aca="false">IF($X316&lt;=2,"Low",IF($X316&lt;=3.49,"Medium","High"))</f>
        <v>Low</v>
      </c>
      <c r="Z316" s="8" t="str">
        <f aca="false">IF(OR($F316&gt;=3,$E316=5,$D316=5,$C316=5,$G316=5,$H316=5,$I316=5,$J316=5,Customers!$W316="Yes"),"Yes","No")</f>
        <v>No</v>
      </c>
      <c r="AA316" s="15" t="str">
        <f aca="false">IF($Z316="Yes","High",$Y316)</f>
        <v>Low</v>
      </c>
      <c r="AB316" s="18" t="n">
        <f aca="false">SUMPRODUCT($C316:$G316,Weights!$C$28:$G$28)</f>
        <v>1.85</v>
      </c>
      <c r="AC316" s="18" t="n">
        <f aca="false">SUMPRODUCT($H316:$J316,Weights!$H$28:$J$28)</f>
        <v>1</v>
      </c>
      <c r="AD316" s="18" t="n">
        <f aca="false">SUMPRODUCT($K316:$N316,Weights!$K$28:$N$28)</f>
        <v>2.2</v>
      </c>
      <c r="AE316" s="18" t="n">
        <f aca="false">SUMPRODUCT($O316:$Q316,Weights!$O$28:$Q$28)</f>
        <v>2.6</v>
      </c>
      <c r="AF316" s="18" t="n">
        <f aca="false">SUMPRODUCT($R316:$V316,Weights!$R$28:$V$28)</f>
        <v>1.5</v>
      </c>
      <c r="AH316" s="18" t="n">
        <f aca="false">SUMPRODUCT($AB316:$AF316,Validation!$D$7:$H$7)</f>
        <v>1.7128571428573</v>
      </c>
      <c r="AI316" s="18" t="n">
        <f aca="false">SUMPRODUCT($AB316:$AF316,Validation!$D$8:$H$8)</f>
        <v>1.7471428571427</v>
      </c>
      <c r="AJ316" s="18" t="n">
        <f aca="false">SUMPRODUCT($AB316:$AF316,Validation!$D$9:$H$9)</f>
        <v>1.8273333333332</v>
      </c>
      <c r="AK316" s="18" t="n">
        <f aca="false">SUMPRODUCT($AB316:$AF316,Validation!$D$10:$H$10)</f>
        <v>1.6326666666668</v>
      </c>
      <c r="AL316" s="18" t="n">
        <f aca="false">SUMPRODUCT($AB316:$AF316,Validation!$D$11:$H$11)</f>
        <v>1.67125</v>
      </c>
      <c r="AM316" s="18" t="n">
        <f aca="false">SUMPRODUCT($AB316:$AF316,Validation!$D$12:$H$12)</f>
        <v>1.78875</v>
      </c>
      <c r="AN316" s="18" t="n">
        <f aca="false">SUMPRODUCT($AB316:$AF316,Validation!$D$13:$H$13)</f>
        <v>1.63333333333295</v>
      </c>
      <c r="AO316" s="18" t="n">
        <f aca="false">SUMPRODUCT($AB316:$AF316,Validation!$D$14:$H$14)</f>
        <v>1.82666666666705</v>
      </c>
      <c r="AP316" s="18" t="n">
        <f aca="false">SUMPRODUCT($AB316:$AF316,Validation!$D$15:$H$15)</f>
        <v>1.75705882352915</v>
      </c>
      <c r="AQ316" s="18" t="n">
        <f aca="false">SUMPRODUCT($AB316:$AF316,Validation!$D$16:$H$16)</f>
        <v>1.70294117647085</v>
      </c>
      <c r="AR316" s="8" t="n">
        <f aca="false">COUNTIF($C316:$V316,"&gt;=4")</f>
        <v>0</v>
      </c>
      <c r="AS316" s="8" t="str">
        <f aca="false">IF($X316&lt;=1.6,"Low",IF($X316&lt;=2.2,"Medium","High"))</f>
        <v>Medium</v>
      </c>
      <c r="AT316" s="8" t="str">
        <f aca="false">IF($AR316=0,"Low",IF($AR316&lt;3,"Medium","High"))</f>
        <v>Low</v>
      </c>
      <c r="AU316" s="8" t="str">
        <f aca="false">IF(OR($AS316="High",$AT316="High"),"High",IF(OR($AS316="Medium",$AT316="Medium"),"Medium","Low"))</f>
        <v>Medium</v>
      </c>
      <c r="AV316" s="15" t="str">
        <f aca="false">IF($Z316="Yes","High",$AU316)</f>
        <v>Medium</v>
      </c>
    </row>
    <row r="317" customFormat="false" ht="15" hidden="false" customHeight="false" outlineLevel="0" collapsed="false">
      <c r="A317" s="7" t="str">
        <f aca="false">Customers!$A317</f>
        <v>NG-10180</v>
      </c>
      <c r="B317" s="7" t="str">
        <f aca="false">Customers!$B317</f>
        <v>Personal</v>
      </c>
      <c r="C317" s="8" t="n">
        <f aca="false">INDEX(Mapping!$C$2:$C$99,MATCH(C$1&amp;"|"&amp;Customers!C317,Mapping!$D$2:$D$99,0))</f>
        <v>1</v>
      </c>
      <c r="D317" s="8" t="n">
        <f aca="false">INDEX(Mapping!$C$2:$C$99,MATCH(D$1&amp;"|"&amp;Customers!D317,Mapping!$D$2:$D$99,0))</f>
        <v>1</v>
      </c>
      <c r="E317" s="8" t="n">
        <f aca="false">INDEX(Mapping!$C$2:$C$99,MATCH(E$1&amp;"|"&amp;Customers!E317,Mapping!$D$2:$D$99,0))</f>
        <v>1</v>
      </c>
      <c r="F317" s="8" t="n">
        <f aca="false">INDEX(Mapping!$C$2:$C$99,MATCH(F$1&amp;"|"&amp;Customers!F317,Mapping!$D$2:$D$99,0))</f>
        <v>1</v>
      </c>
      <c r="G317" s="8" t="n">
        <f aca="false">INDEX(Mapping!$C$2:$C$99,MATCH(G$1&amp;"|"&amp;Customers!G317,Mapping!$D$2:$D$99,0))</f>
        <v>1</v>
      </c>
      <c r="H317" s="8" t="n">
        <f aca="false">INDEX(Mapping!$C$2:$C$99,MATCH(H$1&amp;"|"&amp;Customers!H317,Mapping!$D$2:$D$99,0))</f>
        <v>1</v>
      </c>
      <c r="I317" s="8" t="n">
        <f aca="false">INDEX(Mapping!$C$2:$C$99,MATCH(I$1&amp;"|"&amp;Customers!I317,Mapping!$D$2:$D$99,0))</f>
        <v>1</v>
      </c>
      <c r="J317" s="8" t="n">
        <f aca="false">INDEX(Mapping!$C$2:$C$99,MATCH(J$1&amp;"|"&amp;Customers!J317,Mapping!$D$2:$D$99,0))</f>
        <v>1</v>
      </c>
      <c r="K317" s="8" t="n">
        <f aca="false">INDEX(Mapping!$C$2:$C$99,MATCH(K$1&amp;"|"&amp;Customers!K317,Mapping!$D$2:$D$99,0))</f>
        <v>2</v>
      </c>
      <c r="L317" s="8" t="n">
        <f aca="false">INDEX(Mapping!$C$2:$C$99,MATCH(L$1&amp;"|"&amp;Customers!L317,Mapping!$D$2:$D$99,0))</f>
        <v>2</v>
      </c>
      <c r="M317" s="8" t="n">
        <f aca="false">INDEX(Mapping!$C$2:$C$99,MATCH(M$1&amp;"|"&amp;Customers!M317,Mapping!$D$2:$D$99,0))</f>
        <v>2</v>
      </c>
      <c r="N317" s="8" t="n">
        <f aca="false">INDEX(Mapping!$C$2:$C$99,MATCH(N$1&amp;"|"&amp;Customers!N317,Mapping!$D$2:$D$99,0))</f>
        <v>1</v>
      </c>
      <c r="O317" s="8" t="n">
        <f aca="false">INDEX(Mapping!$C$2:$C$99,MATCH(O$1&amp;"|"&amp;Customers!O317,Mapping!$D$2:$D$99,0))</f>
        <v>1</v>
      </c>
      <c r="P317" s="8" t="n">
        <f aca="false">INDEX(Mapping!$C$2:$C$99,MATCH(P$1&amp;"|"&amp;Customers!P317,Mapping!$D$2:$D$99,0))</f>
        <v>3</v>
      </c>
      <c r="Q317" s="8" t="n">
        <f aca="false">INDEX(Mapping!$C$2:$C$99,MATCH(Q$1&amp;"|"&amp;Customers!Q317,Mapping!$D$2:$D$99,0))</f>
        <v>3</v>
      </c>
      <c r="R317" s="8" t="n">
        <f aca="false">INDEX(Mapping!$C$2:$C$99,MATCH(R$1&amp;"|"&amp;Customers!R317,Mapping!$D$2:$D$99,0))</f>
        <v>1</v>
      </c>
      <c r="S317" s="8" t="n">
        <f aca="false">INDEX(Mapping!$C$2:$C$99,MATCH(S$1&amp;"|"&amp;Customers!S317,Mapping!$D$2:$D$99,0))</f>
        <v>3</v>
      </c>
      <c r="T317" s="8" t="n">
        <f aca="false">INDEX(Mapping!$C$2:$C$99,MATCH(T$1&amp;"|"&amp;Customers!T317,Mapping!$D$2:$D$99,0))</f>
        <v>1</v>
      </c>
      <c r="U317" s="8" t="n">
        <f aca="false">INDEX(Mapping!$C$2:$C$99,MATCH(U$1&amp;"|"&amp;Customers!U317,Mapping!$D$2:$D$99,0))</f>
        <v>1</v>
      </c>
      <c r="V317" s="8" t="n">
        <f aca="false">INDEX(Mapping!$C$2:$C$99,MATCH(V$1&amp;"|"&amp;Customers!V317,Mapping!$D$2:$D$99,0))</f>
        <v>1</v>
      </c>
      <c r="W317" s="17" t="n">
        <f aca="false">SUMPRODUCT($C317:$V317,Weights!$C$27:$V$27)</f>
        <v>1.37</v>
      </c>
      <c r="X317" s="18" t="n">
        <f aca="false">ROUND($W317,2)</f>
        <v>1.37</v>
      </c>
      <c r="Y317" s="8" t="str">
        <f aca="false">IF($X317&lt;=2,"Low",IF($X317&lt;=3.49,"Medium","High"))</f>
        <v>Low</v>
      </c>
      <c r="Z317" s="8" t="str">
        <f aca="false">IF(OR($F317&gt;=3,$E317=5,$D317=5,$C317=5,$G317=5,$H317=5,$I317=5,$J317=5,Customers!$W317="Yes"),"Yes","No")</f>
        <v>No</v>
      </c>
      <c r="AA317" s="15" t="str">
        <f aca="false">IF($Z317="Yes","High",$Y317)</f>
        <v>Low</v>
      </c>
      <c r="AB317" s="18" t="n">
        <f aca="false">SUMPRODUCT($C317:$G317,Weights!$C$28:$G$28)</f>
        <v>1</v>
      </c>
      <c r="AC317" s="18" t="n">
        <f aca="false">SUMPRODUCT($H317:$J317,Weights!$H$28:$J$28)</f>
        <v>1</v>
      </c>
      <c r="AD317" s="18" t="n">
        <f aca="false">SUMPRODUCT($K317:$N317,Weights!$K$28:$N$28)</f>
        <v>1.85</v>
      </c>
      <c r="AE317" s="18" t="n">
        <f aca="false">SUMPRODUCT($O317:$Q317,Weights!$O$28:$Q$28)</f>
        <v>2.1</v>
      </c>
      <c r="AF317" s="18" t="n">
        <f aca="false">SUMPRODUCT($R317:$V317,Weights!$R$28:$V$28)</f>
        <v>1.6</v>
      </c>
      <c r="AH317" s="18" t="n">
        <f aca="false">SUMPRODUCT($AB317:$AF317,Validation!$D$7:$H$7)</f>
        <v>1.42285714285735</v>
      </c>
      <c r="AI317" s="18" t="n">
        <f aca="false">SUMPRODUCT($AB317:$AF317,Validation!$D$8:$H$8)</f>
        <v>1.31714285714265</v>
      </c>
      <c r="AJ317" s="18" t="n">
        <f aca="false">SUMPRODUCT($AB317:$AF317,Validation!$D$9:$H$9)</f>
        <v>1.41933333333325</v>
      </c>
      <c r="AK317" s="18" t="n">
        <f aca="false">SUMPRODUCT($AB317:$AF317,Validation!$D$10:$H$10)</f>
        <v>1.32066666666675</v>
      </c>
      <c r="AL317" s="18" t="n">
        <f aca="false">SUMPRODUCT($AB317:$AF317,Validation!$D$11:$H$11)</f>
        <v>1.31</v>
      </c>
      <c r="AM317" s="18" t="n">
        <f aca="false">SUMPRODUCT($AB317:$AF317,Validation!$D$12:$H$12)</f>
        <v>1.43</v>
      </c>
      <c r="AN317" s="18" t="n">
        <f aca="false">SUMPRODUCT($AB317:$AF317,Validation!$D$13:$H$13)</f>
        <v>1.2888888888889</v>
      </c>
      <c r="AO317" s="18" t="n">
        <f aca="false">SUMPRODUCT($AB317:$AF317,Validation!$D$14:$H$14)</f>
        <v>1.4511111111111</v>
      </c>
      <c r="AP317" s="18" t="n">
        <f aca="false">SUMPRODUCT($AB317:$AF317,Validation!$D$15:$H$15)</f>
        <v>1.34294117647045</v>
      </c>
      <c r="AQ317" s="18" t="n">
        <f aca="false">SUMPRODUCT($AB317:$AF317,Validation!$D$16:$H$16)</f>
        <v>1.39705882352955</v>
      </c>
      <c r="AR317" s="8" t="n">
        <f aca="false">COUNTIF($C317:$V317,"&gt;=4")</f>
        <v>0</v>
      </c>
      <c r="AS317" s="8" t="str">
        <f aca="false">IF($X317&lt;=1.6,"Low",IF($X317&lt;=2.2,"Medium","High"))</f>
        <v>Low</v>
      </c>
      <c r="AT317" s="8" t="str">
        <f aca="false">IF($AR317=0,"Low",IF($AR317&lt;3,"Medium","High"))</f>
        <v>Low</v>
      </c>
      <c r="AU317" s="8" t="str">
        <f aca="false">IF(OR($AS317="High",$AT317="High"),"High",IF(OR($AS317="Medium",$AT317="Medium"),"Medium","Low"))</f>
        <v>Low</v>
      </c>
      <c r="AV317" s="15" t="str">
        <f aca="false">IF($Z317="Yes","High",$AU317)</f>
        <v>Low</v>
      </c>
    </row>
    <row r="318" customFormat="false" ht="15" hidden="false" customHeight="false" outlineLevel="0" collapsed="false">
      <c r="A318" s="7" t="str">
        <f aca="false">Customers!$A318</f>
        <v>NG-10028</v>
      </c>
      <c r="B318" s="7" t="str">
        <f aca="false">Customers!$B318</f>
        <v>Personal</v>
      </c>
      <c r="C318" s="8" t="n">
        <f aca="false">INDEX(Mapping!$C$2:$C$99,MATCH(C$1&amp;"|"&amp;Customers!C318,Mapping!$D$2:$D$99,0))</f>
        <v>1</v>
      </c>
      <c r="D318" s="8" t="n">
        <f aca="false">INDEX(Mapping!$C$2:$C$99,MATCH(D$1&amp;"|"&amp;Customers!D318,Mapping!$D$2:$D$99,0))</f>
        <v>1</v>
      </c>
      <c r="E318" s="8" t="n">
        <f aca="false">INDEX(Mapping!$C$2:$C$99,MATCH(E$1&amp;"|"&amp;Customers!E318,Mapping!$D$2:$D$99,0))</f>
        <v>1</v>
      </c>
      <c r="F318" s="8" t="n">
        <f aca="false">INDEX(Mapping!$C$2:$C$99,MATCH(F$1&amp;"|"&amp;Customers!F318,Mapping!$D$2:$D$99,0))</f>
        <v>1</v>
      </c>
      <c r="G318" s="8" t="n">
        <f aca="false">INDEX(Mapping!$C$2:$C$99,MATCH(G$1&amp;"|"&amp;Customers!G318,Mapping!$D$2:$D$99,0))</f>
        <v>1</v>
      </c>
      <c r="H318" s="8" t="n">
        <f aca="false">INDEX(Mapping!$C$2:$C$99,MATCH(H$1&amp;"|"&amp;Customers!H318,Mapping!$D$2:$D$99,0))</f>
        <v>1</v>
      </c>
      <c r="I318" s="8" t="n">
        <f aca="false">INDEX(Mapping!$C$2:$C$99,MATCH(I$1&amp;"|"&amp;Customers!I318,Mapping!$D$2:$D$99,0))</f>
        <v>1</v>
      </c>
      <c r="J318" s="8" t="n">
        <f aca="false">INDEX(Mapping!$C$2:$C$99,MATCH(J$1&amp;"|"&amp;Customers!J318,Mapping!$D$2:$D$99,0))</f>
        <v>1</v>
      </c>
      <c r="K318" s="8" t="n">
        <f aca="false">INDEX(Mapping!$C$2:$C$99,MATCH(K$1&amp;"|"&amp;Customers!K318,Mapping!$D$2:$D$99,0))</f>
        <v>1</v>
      </c>
      <c r="L318" s="8" t="n">
        <f aca="false">INDEX(Mapping!$C$2:$C$99,MATCH(L$1&amp;"|"&amp;Customers!L318,Mapping!$D$2:$D$99,0))</f>
        <v>3</v>
      </c>
      <c r="M318" s="8" t="n">
        <f aca="false">INDEX(Mapping!$C$2:$C$99,MATCH(M$1&amp;"|"&amp;Customers!M318,Mapping!$D$2:$D$99,0))</f>
        <v>1</v>
      </c>
      <c r="N318" s="8" t="n">
        <f aca="false">INDEX(Mapping!$C$2:$C$99,MATCH(N$1&amp;"|"&amp;Customers!N318,Mapping!$D$2:$D$99,0))</f>
        <v>2</v>
      </c>
      <c r="O318" s="8" t="n">
        <f aca="false">INDEX(Mapping!$C$2:$C$99,MATCH(O$1&amp;"|"&amp;Customers!O318,Mapping!$D$2:$D$99,0))</f>
        <v>3</v>
      </c>
      <c r="P318" s="8" t="n">
        <f aca="false">INDEX(Mapping!$C$2:$C$99,MATCH(P$1&amp;"|"&amp;Customers!P318,Mapping!$D$2:$D$99,0))</f>
        <v>4</v>
      </c>
      <c r="Q318" s="8" t="n">
        <f aca="false">INDEX(Mapping!$C$2:$C$99,MATCH(Q$1&amp;"|"&amp;Customers!Q318,Mapping!$D$2:$D$99,0))</f>
        <v>1</v>
      </c>
      <c r="R318" s="8" t="n">
        <f aca="false">INDEX(Mapping!$C$2:$C$99,MATCH(R$1&amp;"|"&amp;Customers!R318,Mapping!$D$2:$D$99,0))</f>
        <v>1</v>
      </c>
      <c r="S318" s="8" t="n">
        <f aca="false">INDEX(Mapping!$C$2:$C$99,MATCH(S$1&amp;"|"&amp;Customers!S318,Mapping!$D$2:$D$99,0))</f>
        <v>2</v>
      </c>
      <c r="T318" s="8" t="n">
        <f aca="false">INDEX(Mapping!$C$2:$C$99,MATCH(T$1&amp;"|"&amp;Customers!T318,Mapping!$D$2:$D$99,0))</f>
        <v>1</v>
      </c>
      <c r="U318" s="8" t="n">
        <f aca="false">INDEX(Mapping!$C$2:$C$99,MATCH(U$1&amp;"|"&amp;Customers!U318,Mapping!$D$2:$D$99,0))</f>
        <v>2</v>
      </c>
      <c r="V318" s="8" t="n">
        <f aca="false">INDEX(Mapping!$C$2:$C$99,MATCH(V$1&amp;"|"&amp;Customers!V318,Mapping!$D$2:$D$99,0))</f>
        <v>1</v>
      </c>
      <c r="W318" s="17" t="n">
        <f aca="false">SUMPRODUCT($C318:$V318,Weights!$C$27:$V$27)</f>
        <v>1.3925</v>
      </c>
      <c r="X318" s="18" t="n">
        <f aca="false">ROUND($W318,2)</f>
        <v>1.39</v>
      </c>
      <c r="Y318" s="8" t="str">
        <f aca="false">IF($X318&lt;=2,"Low",IF($X318&lt;=3.49,"Medium","High"))</f>
        <v>Low</v>
      </c>
      <c r="Z318" s="8" t="str">
        <f aca="false">IF(OR($F318&gt;=3,$E318=5,$D318=5,$C318=5,$G318=5,$H318=5,$I318=5,$J318=5,Customers!$W318="Yes"),"Yes","No")</f>
        <v>No</v>
      </c>
      <c r="AA318" s="15" t="str">
        <f aca="false">IF($Z318="Yes","High",$Y318)</f>
        <v>Low</v>
      </c>
      <c r="AB318" s="18" t="n">
        <f aca="false">SUMPRODUCT($C318:$G318,Weights!$C$28:$G$28)</f>
        <v>1</v>
      </c>
      <c r="AC318" s="18" t="n">
        <f aca="false">SUMPRODUCT($H318:$J318,Weights!$H$28:$J$28)</f>
        <v>1</v>
      </c>
      <c r="AD318" s="18" t="n">
        <f aca="false">SUMPRODUCT($K318:$N318,Weights!$K$28:$N$28)</f>
        <v>1.65</v>
      </c>
      <c r="AE318" s="18" t="n">
        <f aca="false">SUMPRODUCT($O318:$Q318,Weights!$O$28:$Q$28)</f>
        <v>2.95</v>
      </c>
      <c r="AF318" s="18" t="n">
        <f aca="false">SUMPRODUCT($R318:$V318,Weights!$R$28:$V$28)</f>
        <v>1.45</v>
      </c>
      <c r="AH318" s="18" t="n">
        <f aca="false">SUMPRODUCT($AB318:$AF318,Validation!$D$7:$H$7)</f>
        <v>1.4485714285719</v>
      </c>
      <c r="AI318" s="18" t="n">
        <f aca="false">SUMPRODUCT($AB318:$AF318,Validation!$D$8:$H$8)</f>
        <v>1.3364285714281</v>
      </c>
      <c r="AJ318" s="18" t="n">
        <f aca="false">SUMPRODUCT($AB318:$AF318,Validation!$D$9:$H$9)</f>
        <v>1.4448333333329</v>
      </c>
      <c r="AK318" s="18" t="n">
        <f aca="false">SUMPRODUCT($AB318:$AF318,Validation!$D$10:$H$10)</f>
        <v>1.3401666666671</v>
      </c>
      <c r="AL318" s="18" t="n">
        <f aca="false">SUMPRODUCT($AB318:$AF318,Validation!$D$11:$H$11)</f>
        <v>1.3603125</v>
      </c>
      <c r="AM318" s="18" t="n">
        <f aca="false">SUMPRODUCT($AB318:$AF318,Validation!$D$12:$H$12)</f>
        <v>1.4246875</v>
      </c>
      <c r="AN318" s="18" t="n">
        <f aca="false">SUMPRODUCT($AB318:$AF318,Validation!$D$13:$H$13)</f>
        <v>1.21944444444445</v>
      </c>
      <c r="AO318" s="18" t="n">
        <f aca="false">SUMPRODUCT($AB318:$AF318,Validation!$D$14:$H$14)</f>
        <v>1.56555555555555</v>
      </c>
      <c r="AP318" s="18" t="n">
        <f aca="false">SUMPRODUCT($AB318:$AF318,Validation!$D$15:$H$15)</f>
        <v>1.38573529411715</v>
      </c>
      <c r="AQ318" s="18" t="n">
        <f aca="false">SUMPRODUCT($AB318:$AF318,Validation!$D$16:$H$16)</f>
        <v>1.39926470588285</v>
      </c>
      <c r="AR318" s="8" t="n">
        <f aca="false">COUNTIF($C318:$V318,"&gt;=4")</f>
        <v>1</v>
      </c>
      <c r="AS318" s="8" t="str">
        <f aca="false">IF($X318&lt;=1.6,"Low",IF($X318&lt;=2.2,"Medium","High"))</f>
        <v>Low</v>
      </c>
      <c r="AT318" s="8" t="str">
        <f aca="false">IF($AR318=0,"Low",IF($AR318&lt;3,"Medium","High"))</f>
        <v>Medium</v>
      </c>
      <c r="AU318" s="8" t="str">
        <f aca="false">IF(OR($AS318="High",$AT318="High"),"High",IF(OR($AS318="Medium",$AT318="Medium"),"Medium","Low"))</f>
        <v>Medium</v>
      </c>
      <c r="AV318" s="15" t="str">
        <f aca="false">IF($Z318="Yes","High",$AU318)</f>
        <v>Medium</v>
      </c>
    </row>
    <row r="319" customFormat="false" ht="15" hidden="false" customHeight="false" outlineLevel="0" collapsed="false">
      <c r="A319" s="7" t="str">
        <f aca="false">Customers!$A319</f>
        <v>NG-10045</v>
      </c>
      <c r="B319" s="7" t="str">
        <f aca="false">Customers!$B319</f>
        <v>Personal</v>
      </c>
      <c r="C319" s="8" t="n">
        <f aca="false">INDEX(Mapping!$C$2:$C$99,MATCH(C$1&amp;"|"&amp;Customers!C319,Mapping!$D$2:$D$99,0))</f>
        <v>1</v>
      </c>
      <c r="D319" s="8" t="n">
        <f aca="false">INDEX(Mapping!$C$2:$C$99,MATCH(D$1&amp;"|"&amp;Customers!D319,Mapping!$D$2:$D$99,0))</f>
        <v>1</v>
      </c>
      <c r="E319" s="8" t="n">
        <f aca="false">INDEX(Mapping!$C$2:$C$99,MATCH(E$1&amp;"|"&amp;Customers!E319,Mapping!$D$2:$D$99,0))</f>
        <v>1</v>
      </c>
      <c r="F319" s="8" t="n">
        <f aca="false">INDEX(Mapping!$C$2:$C$99,MATCH(F$1&amp;"|"&amp;Customers!F319,Mapping!$D$2:$D$99,0))</f>
        <v>1</v>
      </c>
      <c r="G319" s="8" t="n">
        <f aca="false">INDEX(Mapping!$C$2:$C$99,MATCH(G$1&amp;"|"&amp;Customers!G319,Mapping!$D$2:$D$99,0))</f>
        <v>1</v>
      </c>
      <c r="H319" s="8" t="n">
        <f aca="false">INDEX(Mapping!$C$2:$C$99,MATCH(H$1&amp;"|"&amp;Customers!H319,Mapping!$D$2:$D$99,0))</f>
        <v>1</v>
      </c>
      <c r="I319" s="8" t="n">
        <f aca="false">INDEX(Mapping!$C$2:$C$99,MATCH(I$1&amp;"|"&amp;Customers!I319,Mapping!$D$2:$D$99,0))</f>
        <v>1</v>
      </c>
      <c r="J319" s="8" t="n">
        <f aca="false">INDEX(Mapping!$C$2:$C$99,MATCH(J$1&amp;"|"&amp;Customers!J319,Mapping!$D$2:$D$99,0))</f>
        <v>1</v>
      </c>
      <c r="K319" s="8" t="n">
        <f aca="false">INDEX(Mapping!$C$2:$C$99,MATCH(K$1&amp;"|"&amp;Customers!K319,Mapping!$D$2:$D$99,0))</f>
        <v>2</v>
      </c>
      <c r="L319" s="8" t="n">
        <f aca="false">INDEX(Mapping!$C$2:$C$99,MATCH(L$1&amp;"|"&amp;Customers!L319,Mapping!$D$2:$D$99,0))</f>
        <v>4</v>
      </c>
      <c r="M319" s="8" t="n">
        <f aca="false">INDEX(Mapping!$C$2:$C$99,MATCH(M$1&amp;"|"&amp;Customers!M319,Mapping!$D$2:$D$99,0))</f>
        <v>1</v>
      </c>
      <c r="N319" s="8" t="n">
        <f aca="false">INDEX(Mapping!$C$2:$C$99,MATCH(N$1&amp;"|"&amp;Customers!N319,Mapping!$D$2:$D$99,0))</f>
        <v>2</v>
      </c>
      <c r="O319" s="8" t="n">
        <f aca="false">INDEX(Mapping!$C$2:$C$99,MATCH(O$1&amp;"|"&amp;Customers!O319,Mapping!$D$2:$D$99,0))</f>
        <v>1</v>
      </c>
      <c r="P319" s="8" t="n">
        <f aca="false">INDEX(Mapping!$C$2:$C$99,MATCH(P$1&amp;"|"&amp;Customers!P319,Mapping!$D$2:$D$99,0))</f>
        <v>1</v>
      </c>
      <c r="Q319" s="8" t="n">
        <f aca="false">INDEX(Mapping!$C$2:$C$99,MATCH(Q$1&amp;"|"&amp;Customers!Q319,Mapping!$D$2:$D$99,0))</f>
        <v>1</v>
      </c>
      <c r="R319" s="8" t="n">
        <f aca="false">INDEX(Mapping!$C$2:$C$99,MATCH(R$1&amp;"|"&amp;Customers!R319,Mapping!$D$2:$D$99,0))</f>
        <v>1</v>
      </c>
      <c r="S319" s="8" t="n">
        <f aca="false">INDEX(Mapping!$C$2:$C$99,MATCH(S$1&amp;"|"&amp;Customers!S319,Mapping!$D$2:$D$99,0))</f>
        <v>2</v>
      </c>
      <c r="T319" s="8" t="n">
        <f aca="false">INDEX(Mapping!$C$2:$C$99,MATCH(T$1&amp;"|"&amp;Customers!T319,Mapping!$D$2:$D$99,0))</f>
        <v>1</v>
      </c>
      <c r="U319" s="8" t="n">
        <f aca="false">INDEX(Mapping!$C$2:$C$99,MATCH(U$1&amp;"|"&amp;Customers!U319,Mapping!$D$2:$D$99,0))</f>
        <v>1</v>
      </c>
      <c r="V319" s="8" t="n">
        <f aca="false">INDEX(Mapping!$C$2:$C$99,MATCH(V$1&amp;"|"&amp;Customers!V319,Mapping!$D$2:$D$99,0))</f>
        <v>1</v>
      </c>
      <c r="W319" s="17" t="n">
        <f aca="false">SUMPRODUCT($C319:$V319,Weights!$C$27:$V$27)</f>
        <v>1.295</v>
      </c>
      <c r="X319" s="18" t="n">
        <f aca="false">ROUND($W319,2)</f>
        <v>1.3</v>
      </c>
      <c r="Y319" s="8" t="str">
        <f aca="false">IF($X319&lt;=2,"Low",IF($X319&lt;=3.49,"Medium","High"))</f>
        <v>Low</v>
      </c>
      <c r="Z319" s="8" t="str">
        <f aca="false">IF(OR($F319&gt;=3,$E319=5,$D319=5,$C319=5,$G319=5,$H319=5,$I319=5,$J319=5,Customers!$W319="Yes"),"Yes","No")</f>
        <v>No</v>
      </c>
      <c r="AA319" s="15" t="str">
        <f aca="false">IF($Z319="Yes","High",$Y319)</f>
        <v>Low</v>
      </c>
      <c r="AB319" s="18" t="n">
        <f aca="false">SUMPRODUCT($C319:$G319,Weights!$C$28:$G$28)</f>
        <v>1</v>
      </c>
      <c r="AC319" s="18" t="n">
        <f aca="false">SUMPRODUCT($H319:$J319,Weights!$H$28:$J$28)</f>
        <v>1</v>
      </c>
      <c r="AD319" s="18" t="n">
        <f aca="false">SUMPRODUCT($K319:$N319,Weights!$K$28:$N$28)</f>
        <v>2.25</v>
      </c>
      <c r="AE319" s="18" t="n">
        <f aca="false">SUMPRODUCT($O319:$Q319,Weights!$O$28:$Q$28)</f>
        <v>1</v>
      </c>
      <c r="AF319" s="18" t="n">
        <f aca="false">SUMPRODUCT($R319:$V319,Weights!$R$28:$V$28)</f>
        <v>1.3</v>
      </c>
      <c r="AH319" s="18" t="n">
        <f aca="false">SUMPRODUCT($AB319:$AF319,Validation!$D$7:$H$7)</f>
        <v>1.33714285714245</v>
      </c>
      <c r="AI319" s="18" t="n">
        <f aca="false">SUMPRODUCT($AB319:$AF319,Validation!$D$8:$H$8)</f>
        <v>1.25285714285755</v>
      </c>
      <c r="AJ319" s="18" t="n">
        <f aca="false">SUMPRODUCT($AB319:$AF319,Validation!$D$9:$H$9)</f>
        <v>1.33433333333375</v>
      </c>
      <c r="AK319" s="18" t="n">
        <f aca="false">SUMPRODUCT($AB319:$AF319,Validation!$D$10:$H$10)</f>
        <v>1.25566666666625</v>
      </c>
      <c r="AL319" s="18" t="n">
        <f aca="false">SUMPRODUCT($AB319:$AF319,Validation!$D$11:$H$11)</f>
        <v>1.175625</v>
      </c>
      <c r="AM319" s="18" t="n">
        <f aca="false">SUMPRODUCT($AB319:$AF319,Validation!$D$12:$H$12)</f>
        <v>1.414375</v>
      </c>
      <c r="AN319" s="18" t="n">
        <f aca="false">SUMPRODUCT($AB319:$AF319,Validation!$D$13:$H$13)</f>
        <v>1.3277777777776</v>
      </c>
      <c r="AO319" s="18" t="n">
        <f aca="false">SUMPRODUCT($AB319:$AF319,Validation!$D$14:$H$14)</f>
        <v>1.2622222222224</v>
      </c>
      <c r="AP319" s="18" t="n">
        <f aca="false">SUMPRODUCT($AB319:$AF319,Validation!$D$15:$H$15)</f>
        <v>1.29441176470625</v>
      </c>
      <c r="AQ319" s="18" t="n">
        <f aca="false">SUMPRODUCT($AB319:$AF319,Validation!$D$16:$H$16)</f>
        <v>1.29558823529375</v>
      </c>
      <c r="AR319" s="8" t="n">
        <f aca="false">COUNTIF($C319:$V319,"&gt;=4")</f>
        <v>1</v>
      </c>
      <c r="AS319" s="8" t="str">
        <f aca="false">IF($X319&lt;=1.6,"Low",IF($X319&lt;=2.2,"Medium","High"))</f>
        <v>Low</v>
      </c>
      <c r="AT319" s="8" t="str">
        <f aca="false">IF($AR319=0,"Low",IF($AR319&lt;3,"Medium","High"))</f>
        <v>Medium</v>
      </c>
      <c r="AU319" s="8" t="str">
        <f aca="false">IF(OR($AS319="High",$AT319="High"),"High",IF(OR($AS319="Medium",$AT319="Medium"),"Medium","Low"))</f>
        <v>Medium</v>
      </c>
      <c r="AV319" s="15" t="str">
        <f aca="false">IF($Z319="Yes","High",$AU319)</f>
        <v>Medium</v>
      </c>
    </row>
    <row r="320" customFormat="false" ht="15" hidden="false" customHeight="false" outlineLevel="0" collapsed="false">
      <c r="A320" s="7" t="str">
        <f aca="false">Customers!$A320</f>
        <v>NG-10314</v>
      </c>
      <c r="B320" s="7" t="str">
        <f aca="false">Customers!$B320</f>
        <v>Sole trader</v>
      </c>
      <c r="C320" s="8" t="n">
        <f aca="false">INDEX(Mapping!$C$2:$C$99,MATCH(C$1&amp;"|"&amp;Customers!C320,Mapping!$D$2:$D$99,0))</f>
        <v>2</v>
      </c>
      <c r="D320" s="8" t="n">
        <f aca="false">INDEX(Mapping!$C$2:$C$99,MATCH(D$1&amp;"|"&amp;Customers!D320,Mapping!$D$2:$D$99,0))</f>
        <v>1</v>
      </c>
      <c r="E320" s="8" t="n">
        <f aca="false">INDEX(Mapping!$C$2:$C$99,MATCH(E$1&amp;"|"&amp;Customers!E320,Mapping!$D$2:$D$99,0))</f>
        <v>2</v>
      </c>
      <c r="F320" s="8" t="n">
        <f aca="false">INDEX(Mapping!$C$2:$C$99,MATCH(F$1&amp;"|"&amp;Customers!F320,Mapping!$D$2:$D$99,0))</f>
        <v>1</v>
      </c>
      <c r="G320" s="8" t="n">
        <f aca="false">INDEX(Mapping!$C$2:$C$99,MATCH(G$1&amp;"|"&amp;Customers!G320,Mapping!$D$2:$D$99,0))</f>
        <v>1</v>
      </c>
      <c r="H320" s="8" t="n">
        <f aca="false">INDEX(Mapping!$C$2:$C$99,MATCH(H$1&amp;"|"&amp;Customers!H320,Mapping!$D$2:$D$99,0))</f>
        <v>1</v>
      </c>
      <c r="I320" s="8" t="n">
        <f aca="false">INDEX(Mapping!$C$2:$C$99,MATCH(I$1&amp;"|"&amp;Customers!I320,Mapping!$D$2:$D$99,0))</f>
        <v>1</v>
      </c>
      <c r="J320" s="8" t="n">
        <f aca="false">INDEX(Mapping!$C$2:$C$99,MATCH(J$1&amp;"|"&amp;Customers!J320,Mapping!$D$2:$D$99,0))</f>
        <v>2</v>
      </c>
      <c r="K320" s="8" t="n">
        <f aca="false">INDEX(Mapping!$C$2:$C$99,MATCH(K$1&amp;"|"&amp;Customers!K320,Mapping!$D$2:$D$99,0))</f>
        <v>5</v>
      </c>
      <c r="L320" s="8" t="n">
        <f aca="false">INDEX(Mapping!$C$2:$C$99,MATCH(L$1&amp;"|"&amp;Customers!L320,Mapping!$D$2:$D$99,0))</f>
        <v>4</v>
      </c>
      <c r="M320" s="8" t="n">
        <f aca="false">INDEX(Mapping!$C$2:$C$99,MATCH(M$1&amp;"|"&amp;Customers!M320,Mapping!$D$2:$D$99,0))</f>
        <v>4</v>
      </c>
      <c r="N320" s="8" t="n">
        <f aca="false">INDEX(Mapping!$C$2:$C$99,MATCH(N$1&amp;"|"&amp;Customers!N320,Mapping!$D$2:$D$99,0))</f>
        <v>1</v>
      </c>
      <c r="O320" s="8" t="n">
        <f aca="false">INDEX(Mapping!$C$2:$C$99,MATCH(O$1&amp;"|"&amp;Customers!O320,Mapping!$D$2:$D$99,0))</f>
        <v>3</v>
      </c>
      <c r="P320" s="8" t="n">
        <f aca="false">INDEX(Mapping!$C$2:$C$99,MATCH(P$1&amp;"|"&amp;Customers!P320,Mapping!$D$2:$D$99,0))</f>
        <v>4</v>
      </c>
      <c r="Q320" s="8" t="n">
        <f aca="false">INDEX(Mapping!$C$2:$C$99,MATCH(Q$1&amp;"|"&amp;Customers!Q320,Mapping!$D$2:$D$99,0))</f>
        <v>1</v>
      </c>
      <c r="R320" s="8" t="n">
        <f aca="false">INDEX(Mapping!$C$2:$C$99,MATCH(R$1&amp;"|"&amp;Customers!R320,Mapping!$D$2:$D$99,0))</f>
        <v>2</v>
      </c>
      <c r="S320" s="8" t="n">
        <f aca="false">INDEX(Mapping!$C$2:$C$99,MATCH(S$1&amp;"|"&amp;Customers!S320,Mapping!$D$2:$D$99,0))</f>
        <v>3</v>
      </c>
      <c r="T320" s="8" t="n">
        <f aca="false">INDEX(Mapping!$C$2:$C$99,MATCH(T$1&amp;"|"&amp;Customers!T320,Mapping!$D$2:$D$99,0))</f>
        <v>3</v>
      </c>
      <c r="U320" s="8" t="n">
        <f aca="false">INDEX(Mapping!$C$2:$C$99,MATCH(U$1&amp;"|"&amp;Customers!U320,Mapping!$D$2:$D$99,0))</f>
        <v>3</v>
      </c>
      <c r="V320" s="8" t="n">
        <f aca="false">INDEX(Mapping!$C$2:$C$99,MATCH(V$1&amp;"|"&amp;Customers!V320,Mapping!$D$2:$D$99,0))</f>
        <v>2</v>
      </c>
      <c r="W320" s="17" t="n">
        <f aca="false">SUMPRODUCT($C320:$V320,Weights!$C$27:$V$27)</f>
        <v>2.2575</v>
      </c>
      <c r="X320" s="18" t="n">
        <f aca="false">ROUND($W320,2)</f>
        <v>2.26</v>
      </c>
      <c r="Y320" s="8" t="str">
        <f aca="false">IF($X320&lt;=2,"Low",IF($X320&lt;=3.49,"Medium","High"))</f>
        <v>Medium</v>
      </c>
      <c r="Z320" s="8" t="str">
        <f aca="false">IF(OR($F320&gt;=3,$E320=5,$D320=5,$C320=5,$G320=5,$H320=5,$I320=5,$J320=5,Customers!$W320="Yes"),"Yes","No")</f>
        <v>No</v>
      </c>
      <c r="AA320" s="15" t="str">
        <f aca="false">IF($Z320="Yes","High",$Y320)</f>
        <v>Medium</v>
      </c>
      <c r="AB320" s="18" t="n">
        <f aca="false">SUMPRODUCT($C320:$G320,Weights!$C$28:$G$28)</f>
        <v>1.45</v>
      </c>
      <c r="AC320" s="18" t="n">
        <f aca="false">SUMPRODUCT($H320:$J320,Weights!$H$28:$J$28)</f>
        <v>1.4</v>
      </c>
      <c r="AD320" s="18" t="n">
        <f aca="false">SUMPRODUCT($K320:$N320,Weights!$K$28:$N$28)</f>
        <v>3.9</v>
      </c>
      <c r="AE320" s="18" t="n">
        <f aca="false">SUMPRODUCT($O320:$Q320,Weights!$O$28:$Q$28)</f>
        <v>2.95</v>
      </c>
      <c r="AF320" s="18" t="n">
        <f aca="false">SUMPRODUCT($R320:$V320,Weights!$R$28:$V$28)</f>
        <v>2.65</v>
      </c>
      <c r="AH320" s="18" t="n">
        <f aca="false">SUMPRODUCT($AB320:$AF320,Validation!$D$7:$H$7)</f>
        <v>2.37285714285705</v>
      </c>
      <c r="AI320" s="18" t="n">
        <f aca="false">SUMPRODUCT($AB320:$AF320,Validation!$D$8:$H$8)</f>
        <v>2.14214285714295</v>
      </c>
      <c r="AJ320" s="18" t="n">
        <f aca="false">SUMPRODUCT($AB320:$AF320,Validation!$D$9:$H$9)</f>
        <v>2.37183333333365</v>
      </c>
      <c r="AK320" s="18" t="n">
        <f aca="false">SUMPRODUCT($AB320:$AF320,Validation!$D$10:$H$10)</f>
        <v>2.14316666666635</v>
      </c>
      <c r="AL320" s="18" t="n">
        <f aca="false">SUMPRODUCT($AB320:$AF320,Validation!$D$11:$H$11)</f>
        <v>2.0521875</v>
      </c>
      <c r="AM320" s="18" t="n">
        <f aca="false">SUMPRODUCT($AB320:$AF320,Validation!$D$12:$H$12)</f>
        <v>2.4628125</v>
      </c>
      <c r="AN320" s="18" t="n">
        <f aca="false">SUMPRODUCT($AB320:$AF320,Validation!$D$13:$H$13)</f>
        <v>2.1805555555554</v>
      </c>
      <c r="AO320" s="18" t="n">
        <f aca="false">SUMPRODUCT($AB320:$AF320,Validation!$D$14:$H$14)</f>
        <v>2.3344444444446</v>
      </c>
      <c r="AP320" s="18" t="n">
        <f aca="false">SUMPRODUCT($AB320:$AF320,Validation!$D$15:$H$15)</f>
        <v>2.21132352941195</v>
      </c>
      <c r="AQ320" s="18" t="n">
        <f aca="false">SUMPRODUCT($AB320:$AF320,Validation!$D$16:$H$16)</f>
        <v>2.30367647058805</v>
      </c>
      <c r="AR320" s="8" t="n">
        <f aca="false">COUNTIF($C320:$V320,"&gt;=4")</f>
        <v>4</v>
      </c>
      <c r="AS320" s="8" t="str">
        <f aca="false">IF($X320&lt;=1.6,"Low",IF($X320&lt;=2.2,"Medium","High"))</f>
        <v>High</v>
      </c>
      <c r="AT320" s="8" t="str">
        <f aca="false">IF($AR320=0,"Low",IF($AR320&lt;3,"Medium","High"))</f>
        <v>High</v>
      </c>
      <c r="AU320" s="8" t="str">
        <f aca="false">IF(OR($AS320="High",$AT320="High"),"High",IF(OR($AS320="Medium",$AT320="Medium"),"Medium","Low"))</f>
        <v>High</v>
      </c>
      <c r="AV320" s="15" t="str">
        <f aca="false">IF($Z320="Yes","High",$AU320)</f>
        <v>High</v>
      </c>
    </row>
    <row r="321" customFormat="false" ht="15" hidden="false" customHeight="false" outlineLevel="0" collapsed="false">
      <c r="A321" s="7" t="str">
        <f aca="false">Customers!$A321</f>
        <v>NG-10077</v>
      </c>
      <c r="B321" s="7" t="str">
        <f aca="false">Customers!$B321</f>
        <v>Personal</v>
      </c>
      <c r="C321" s="8" t="n">
        <f aca="false">INDEX(Mapping!$C$2:$C$99,MATCH(C$1&amp;"|"&amp;Customers!C321,Mapping!$D$2:$D$99,0))</f>
        <v>1</v>
      </c>
      <c r="D321" s="8" t="n">
        <f aca="false">INDEX(Mapping!$C$2:$C$99,MATCH(D$1&amp;"|"&amp;Customers!D321,Mapping!$D$2:$D$99,0))</f>
        <v>1</v>
      </c>
      <c r="E321" s="8" t="n">
        <f aca="false">INDEX(Mapping!$C$2:$C$99,MATCH(E$1&amp;"|"&amp;Customers!E321,Mapping!$D$2:$D$99,0))</f>
        <v>1</v>
      </c>
      <c r="F321" s="8" t="n">
        <f aca="false">INDEX(Mapping!$C$2:$C$99,MATCH(F$1&amp;"|"&amp;Customers!F321,Mapping!$D$2:$D$99,0))</f>
        <v>1</v>
      </c>
      <c r="G321" s="8" t="n">
        <f aca="false">INDEX(Mapping!$C$2:$C$99,MATCH(G$1&amp;"|"&amp;Customers!G321,Mapping!$D$2:$D$99,0))</f>
        <v>1</v>
      </c>
      <c r="H321" s="8" t="n">
        <f aca="false">INDEX(Mapping!$C$2:$C$99,MATCH(H$1&amp;"|"&amp;Customers!H321,Mapping!$D$2:$D$99,0))</f>
        <v>1</v>
      </c>
      <c r="I321" s="8" t="n">
        <f aca="false">INDEX(Mapping!$C$2:$C$99,MATCH(I$1&amp;"|"&amp;Customers!I321,Mapping!$D$2:$D$99,0))</f>
        <v>1</v>
      </c>
      <c r="J321" s="8" t="n">
        <f aca="false">INDEX(Mapping!$C$2:$C$99,MATCH(J$1&amp;"|"&amp;Customers!J321,Mapping!$D$2:$D$99,0))</f>
        <v>2</v>
      </c>
      <c r="K321" s="8" t="n">
        <f aca="false">INDEX(Mapping!$C$2:$C$99,MATCH(K$1&amp;"|"&amp;Customers!K321,Mapping!$D$2:$D$99,0))</f>
        <v>2</v>
      </c>
      <c r="L321" s="8" t="n">
        <f aca="false">INDEX(Mapping!$C$2:$C$99,MATCH(L$1&amp;"|"&amp;Customers!L321,Mapping!$D$2:$D$99,0))</f>
        <v>2</v>
      </c>
      <c r="M321" s="8" t="n">
        <f aca="false">INDEX(Mapping!$C$2:$C$99,MATCH(M$1&amp;"|"&amp;Customers!M321,Mapping!$D$2:$D$99,0))</f>
        <v>3</v>
      </c>
      <c r="N321" s="8" t="n">
        <f aca="false">INDEX(Mapping!$C$2:$C$99,MATCH(N$1&amp;"|"&amp;Customers!N321,Mapping!$D$2:$D$99,0))</f>
        <v>1</v>
      </c>
      <c r="O321" s="8" t="n">
        <f aca="false">INDEX(Mapping!$C$2:$C$99,MATCH(O$1&amp;"|"&amp;Customers!O321,Mapping!$D$2:$D$99,0))</f>
        <v>2</v>
      </c>
      <c r="P321" s="8" t="n">
        <f aca="false">INDEX(Mapping!$C$2:$C$99,MATCH(P$1&amp;"|"&amp;Customers!P321,Mapping!$D$2:$D$99,0))</f>
        <v>3</v>
      </c>
      <c r="Q321" s="8" t="n">
        <f aca="false">INDEX(Mapping!$C$2:$C$99,MATCH(Q$1&amp;"|"&amp;Customers!Q321,Mapping!$D$2:$D$99,0))</f>
        <v>2</v>
      </c>
      <c r="R321" s="8" t="n">
        <f aca="false">INDEX(Mapping!$C$2:$C$99,MATCH(R$1&amp;"|"&amp;Customers!R321,Mapping!$D$2:$D$99,0))</f>
        <v>4</v>
      </c>
      <c r="S321" s="8" t="n">
        <f aca="false">INDEX(Mapping!$C$2:$C$99,MATCH(S$1&amp;"|"&amp;Customers!S321,Mapping!$D$2:$D$99,0))</f>
        <v>2</v>
      </c>
      <c r="T321" s="8" t="n">
        <f aca="false">INDEX(Mapping!$C$2:$C$99,MATCH(T$1&amp;"|"&amp;Customers!T321,Mapping!$D$2:$D$99,0))</f>
        <v>4</v>
      </c>
      <c r="U321" s="8" t="n">
        <f aca="false">INDEX(Mapping!$C$2:$C$99,MATCH(U$1&amp;"|"&amp;Customers!U321,Mapping!$D$2:$D$99,0))</f>
        <v>1</v>
      </c>
      <c r="V321" s="8" t="n">
        <f aca="false">INDEX(Mapping!$C$2:$C$99,MATCH(V$1&amp;"|"&amp;Customers!V321,Mapping!$D$2:$D$99,0))</f>
        <v>1</v>
      </c>
      <c r="W321" s="17" t="n">
        <f aca="false">SUMPRODUCT($C321:$V321,Weights!$C$27:$V$27)</f>
        <v>1.7025</v>
      </c>
      <c r="X321" s="18" t="n">
        <f aca="false">ROUND($W321,2)</f>
        <v>1.7</v>
      </c>
      <c r="Y321" s="8" t="str">
        <f aca="false">IF($X321&lt;=2,"Low",IF($X321&lt;=3.49,"Medium","High"))</f>
        <v>Low</v>
      </c>
      <c r="Z321" s="8" t="str">
        <f aca="false">IF(OR($F321&gt;=3,$E321=5,$D321=5,$C321=5,$G321=5,$H321=5,$I321=5,$J321=5,Customers!$W321="Yes"),"Yes","No")</f>
        <v>No</v>
      </c>
      <c r="AA321" s="15" t="str">
        <f aca="false">IF($Z321="Yes","High",$Y321)</f>
        <v>Low</v>
      </c>
      <c r="AB321" s="18" t="n">
        <f aca="false">SUMPRODUCT($C321:$G321,Weights!$C$28:$G$28)</f>
        <v>1</v>
      </c>
      <c r="AC321" s="18" t="n">
        <f aca="false">SUMPRODUCT($H321:$J321,Weights!$H$28:$J$28)</f>
        <v>1.4</v>
      </c>
      <c r="AD321" s="18" t="n">
        <f aca="false">SUMPRODUCT($K321:$N321,Weights!$K$28:$N$28)</f>
        <v>2.1</v>
      </c>
      <c r="AE321" s="18" t="n">
        <f aca="false">SUMPRODUCT($O321:$Q321,Weights!$O$28:$Q$28)</f>
        <v>2.35</v>
      </c>
      <c r="AF321" s="18" t="n">
        <f aca="false">SUMPRODUCT($R321:$V321,Weights!$R$28:$V$28)</f>
        <v>2.65</v>
      </c>
      <c r="AH321" s="18" t="n">
        <f aca="false">SUMPRODUCT($AB321:$AF321,Validation!$D$7:$H$7)</f>
        <v>1.80285714285765</v>
      </c>
      <c r="AI321" s="18" t="n">
        <f aca="false">SUMPRODUCT($AB321:$AF321,Validation!$D$8:$H$8)</f>
        <v>1.60214285714235</v>
      </c>
      <c r="AJ321" s="18" t="n">
        <f aca="false">SUMPRODUCT($AB321:$AF321,Validation!$D$9:$H$9)</f>
        <v>1.74283333333325</v>
      </c>
      <c r="AK321" s="18" t="n">
        <f aca="false">SUMPRODUCT($AB321:$AF321,Validation!$D$10:$H$10)</f>
        <v>1.66216666666675</v>
      </c>
      <c r="AL321" s="18" t="n">
        <f aca="false">SUMPRODUCT($AB321:$AF321,Validation!$D$11:$H$11)</f>
        <v>1.6528125</v>
      </c>
      <c r="AM321" s="18" t="n">
        <f aca="false">SUMPRODUCT($AB321:$AF321,Validation!$D$12:$H$12)</f>
        <v>1.7521875</v>
      </c>
      <c r="AN321" s="18" t="n">
        <f aca="false">SUMPRODUCT($AB321:$AF321,Validation!$D$13:$H$13)</f>
        <v>1.63055555555595</v>
      </c>
      <c r="AO321" s="18" t="n">
        <f aca="false">SUMPRODUCT($AB321:$AF321,Validation!$D$14:$H$14)</f>
        <v>1.77444444444405</v>
      </c>
      <c r="AP321" s="18" t="n">
        <f aca="false">SUMPRODUCT($AB321:$AF321,Validation!$D$15:$H$15)</f>
        <v>1.5910294117646</v>
      </c>
      <c r="AQ321" s="18" t="n">
        <f aca="false">SUMPRODUCT($AB321:$AF321,Validation!$D$16:$H$16)</f>
        <v>1.8139705882354</v>
      </c>
      <c r="AR321" s="8" t="n">
        <f aca="false">COUNTIF($C321:$V321,"&gt;=4")</f>
        <v>2</v>
      </c>
      <c r="AS321" s="8" t="str">
        <f aca="false">IF($X321&lt;=1.6,"Low",IF($X321&lt;=2.2,"Medium","High"))</f>
        <v>Medium</v>
      </c>
      <c r="AT321" s="8" t="str">
        <f aca="false">IF($AR321=0,"Low",IF($AR321&lt;3,"Medium","High"))</f>
        <v>Medium</v>
      </c>
      <c r="AU321" s="8" t="str">
        <f aca="false">IF(OR($AS321="High",$AT321="High"),"High",IF(OR($AS321="Medium",$AT321="Medium"),"Medium","Low"))</f>
        <v>Medium</v>
      </c>
      <c r="AV321" s="15" t="str">
        <f aca="false">IF($Z321="Yes","High",$AU321)</f>
        <v>Medium</v>
      </c>
    </row>
    <row r="322" customFormat="false" ht="15" hidden="false" customHeight="false" outlineLevel="0" collapsed="false">
      <c r="A322" s="7" t="str">
        <f aca="false">Customers!$A322</f>
        <v>NG-10306</v>
      </c>
      <c r="B322" s="7" t="str">
        <f aca="false">Customers!$B322</f>
        <v>Sole trader</v>
      </c>
      <c r="C322" s="8" t="n">
        <f aca="false">INDEX(Mapping!$C$2:$C$99,MATCH(C$1&amp;"|"&amp;Customers!C322,Mapping!$D$2:$D$99,0))</f>
        <v>2</v>
      </c>
      <c r="D322" s="8" t="n">
        <f aca="false">INDEX(Mapping!$C$2:$C$99,MATCH(D$1&amp;"|"&amp;Customers!D322,Mapping!$D$2:$D$99,0))</f>
        <v>1</v>
      </c>
      <c r="E322" s="8" t="n">
        <f aca="false">INDEX(Mapping!$C$2:$C$99,MATCH(E$1&amp;"|"&amp;Customers!E322,Mapping!$D$2:$D$99,0))</f>
        <v>3</v>
      </c>
      <c r="F322" s="8" t="n">
        <f aca="false">INDEX(Mapping!$C$2:$C$99,MATCH(F$1&amp;"|"&amp;Customers!F322,Mapping!$D$2:$D$99,0))</f>
        <v>1</v>
      </c>
      <c r="G322" s="8" t="n">
        <f aca="false">INDEX(Mapping!$C$2:$C$99,MATCH(G$1&amp;"|"&amp;Customers!G322,Mapping!$D$2:$D$99,0))</f>
        <v>1</v>
      </c>
      <c r="H322" s="8" t="n">
        <f aca="false">INDEX(Mapping!$C$2:$C$99,MATCH(H$1&amp;"|"&amp;Customers!H322,Mapping!$D$2:$D$99,0))</f>
        <v>1</v>
      </c>
      <c r="I322" s="8" t="n">
        <f aca="false">INDEX(Mapping!$C$2:$C$99,MATCH(I$1&amp;"|"&amp;Customers!I322,Mapping!$D$2:$D$99,0))</f>
        <v>1</v>
      </c>
      <c r="J322" s="8" t="n">
        <f aca="false">INDEX(Mapping!$C$2:$C$99,MATCH(J$1&amp;"|"&amp;Customers!J322,Mapping!$D$2:$D$99,0))</f>
        <v>1</v>
      </c>
      <c r="K322" s="8" t="n">
        <f aca="false">INDEX(Mapping!$C$2:$C$99,MATCH(K$1&amp;"|"&amp;Customers!K322,Mapping!$D$2:$D$99,0))</f>
        <v>4</v>
      </c>
      <c r="L322" s="8" t="n">
        <f aca="false">INDEX(Mapping!$C$2:$C$99,MATCH(L$1&amp;"|"&amp;Customers!L322,Mapping!$D$2:$D$99,0))</f>
        <v>5</v>
      </c>
      <c r="M322" s="8" t="n">
        <f aca="false">INDEX(Mapping!$C$2:$C$99,MATCH(M$1&amp;"|"&amp;Customers!M322,Mapping!$D$2:$D$99,0))</f>
        <v>1</v>
      </c>
      <c r="N322" s="8" t="n">
        <f aca="false">INDEX(Mapping!$C$2:$C$99,MATCH(N$1&amp;"|"&amp;Customers!N322,Mapping!$D$2:$D$99,0))</f>
        <v>2</v>
      </c>
      <c r="O322" s="8" t="n">
        <f aca="false">INDEX(Mapping!$C$2:$C$99,MATCH(O$1&amp;"|"&amp;Customers!O322,Mapping!$D$2:$D$99,0))</f>
        <v>4</v>
      </c>
      <c r="P322" s="8" t="n">
        <f aca="false">INDEX(Mapping!$C$2:$C$99,MATCH(P$1&amp;"|"&amp;Customers!P322,Mapping!$D$2:$D$99,0))</f>
        <v>3</v>
      </c>
      <c r="Q322" s="8" t="n">
        <f aca="false">INDEX(Mapping!$C$2:$C$99,MATCH(Q$1&amp;"|"&amp;Customers!Q322,Mapping!$D$2:$D$99,0))</f>
        <v>1</v>
      </c>
      <c r="R322" s="8" t="n">
        <f aca="false">INDEX(Mapping!$C$2:$C$99,MATCH(R$1&amp;"|"&amp;Customers!R322,Mapping!$D$2:$D$99,0))</f>
        <v>4</v>
      </c>
      <c r="S322" s="8" t="n">
        <f aca="false">INDEX(Mapping!$C$2:$C$99,MATCH(S$1&amp;"|"&amp;Customers!S322,Mapping!$D$2:$D$99,0))</f>
        <v>3</v>
      </c>
      <c r="T322" s="8" t="n">
        <f aca="false">INDEX(Mapping!$C$2:$C$99,MATCH(T$1&amp;"|"&amp;Customers!T322,Mapping!$D$2:$D$99,0))</f>
        <v>1</v>
      </c>
      <c r="U322" s="8" t="n">
        <f aca="false">INDEX(Mapping!$C$2:$C$99,MATCH(U$1&amp;"|"&amp;Customers!U322,Mapping!$D$2:$D$99,0))</f>
        <v>1</v>
      </c>
      <c r="V322" s="8" t="n">
        <f aca="false">INDEX(Mapping!$C$2:$C$99,MATCH(V$1&amp;"|"&amp;Customers!V322,Mapping!$D$2:$D$99,0))</f>
        <v>1</v>
      </c>
      <c r="W322" s="17" t="n">
        <f aca="false">SUMPRODUCT($C322:$V322,Weights!$C$27:$V$27)</f>
        <v>2.0575</v>
      </c>
      <c r="X322" s="18" t="n">
        <f aca="false">ROUND($W322,2)</f>
        <v>2.06</v>
      </c>
      <c r="Y322" s="8" t="str">
        <f aca="false">IF($X322&lt;=2,"Low",IF($X322&lt;=3.49,"Medium","High"))</f>
        <v>Medium</v>
      </c>
      <c r="Z322" s="8" t="str">
        <f aca="false">IF(OR($F322&gt;=3,$E322=5,$D322=5,$C322=5,$G322=5,$H322=5,$I322=5,$J322=5,Customers!$W322="Yes"),"Yes","No")</f>
        <v>No</v>
      </c>
      <c r="AA322" s="15" t="str">
        <f aca="false">IF($Z322="Yes","High",$Y322)</f>
        <v>Medium</v>
      </c>
      <c r="AB322" s="18" t="n">
        <f aca="false">SUMPRODUCT($C322:$G322,Weights!$C$28:$G$28)</f>
        <v>1.7</v>
      </c>
      <c r="AC322" s="18" t="n">
        <f aca="false">SUMPRODUCT($H322:$J322,Weights!$H$28:$J$28)</f>
        <v>1</v>
      </c>
      <c r="AD322" s="18" t="n">
        <f aca="false">SUMPRODUCT($K322:$N322,Weights!$K$28:$N$28)</f>
        <v>3.2</v>
      </c>
      <c r="AE322" s="18" t="n">
        <f aca="false">SUMPRODUCT($O322:$Q322,Weights!$O$28:$Q$28)</f>
        <v>3.05</v>
      </c>
      <c r="AF322" s="18" t="n">
        <f aca="false">SUMPRODUCT($R322:$V322,Weights!$R$28:$V$28)</f>
        <v>2.35</v>
      </c>
      <c r="AH322" s="18" t="n">
        <f aca="false">SUMPRODUCT($AB322:$AF322,Validation!$D$7:$H$7)</f>
        <v>2.10857142857165</v>
      </c>
      <c r="AI322" s="18" t="n">
        <f aca="false">SUMPRODUCT($AB322:$AF322,Validation!$D$8:$H$8)</f>
        <v>2.00642857142835</v>
      </c>
      <c r="AJ322" s="18" t="n">
        <f aca="false">SUMPRODUCT($AB322:$AF322,Validation!$D$9:$H$9)</f>
        <v>2.19850000000005</v>
      </c>
      <c r="AK322" s="18" t="n">
        <f aca="false">SUMPRODUCT($AB322:$AF322,Validation!$D$10:$H$10)</f>
        <v>1.91649999999995</v>
      </c>
      <c r="AL322" s="18" t="n">
        <f aca="false">SUMPRODUCT($AB322:$AF322,Validation!$D$11:$H$11)</f>
        <v>1.9146875</v>
      </c>
      <c r="AM322" s="18" t="n">
        <f aca="false">SUMPRODUCT($AB322:$AF322,Validation!$D$12:$H$12)</f>
        <v>2.2003125</v>
      </c>
      <c r="AN322" s="18" t="n">
        <f aca="false">SUMPRODUCT($AB322:$AF322,Validation!$D$13:$H$13)</f>
        <v>1.94722222222195</v>
      </c>
      <c r="AO322" s="18" t="n">
        <f aca="false">SUMPRODUCT($AB322:$AF322,Validation!$D$14:$H$14)</f>
        <v>2.16777777777805</v>
      </c>
      <c r="AP322" s="18" t="n">
        <f aca="false">SUMPRODUCT($AB322:$AF322,Validation!$D$15:$H$15)</f>
        <v>2.023088235294</v>
      </c>
      <c r="AQ322" s="18" t="n">
        <f aca="false">SUMPRODUCT($AB322:$AF322,Validation!$D$16:$H$16)</f>
        <v>2.091911764706</v>
      </c>
      <c r="AR322" s="8" t="n">
        <f aca="false">COUNTIF($C322:$V322,"&gt;=4")</f>
        <v>4</v>
      </c>
      <c r="AS322" s="8" t="str">
        <f aca="false">IF($X322&lt;=1.6,"Low",IF($X322&lt;=2.2,"Medium","High"))</f>
        <v>Medium</v>
      </c>
      <c r="AT322" s="8" t="str">
        <f aca="false">IF($AR322=0,"Low",IF($AR322&lt;3,"Medium","High"))</f>
        <v>High</v>
      </c>
      <c r="AU322" s="8" t="str">
        <f aca="false">IF(OR($AS322="High",$AT322="High"),"High",IF(OR($AS322="Medium",$AT322="Medium"),"Medium","Low"))</f>
        <v>High</v>
      </c>
      <c r="AV322" s="15" t="str">
        <f aca="false">IF($Z322="Yes","High",$AU322)</f>
        <v>High</v>
      </c>
    </row>
    <row r="323" customFormat="false" ht="15" hidden="false" customHeight="false" outlineLevel="0" collapsed="false">
      <c r="A323" s="7" t="str">
        <f aca="false">Customers!$A323</f>
        <v>NG-10097</v>
      </c>
      <c r="B323" s="7" t="str">
        <f aca="false">Customers!$B323</f>
        <v>Personal</v>
      </c>
      <c r="C323" s="8" t="n">
        <f aca="false">INDEX(Mapping!$C$2:$C$99,MATCH(C$1&amp;"|"&amp;Customers!C323,Mapping!$D$2:$D$99,0))</f>
        <v>1</v>
      </c>
      <c r="D323" s="8" t="n">
        <f aca="false">INDEX(Mapping!$C$2:$C$99,MATCH(D$1&amp;"|"&amp;Customers!D323,Mapping!$D$2:$D$99,0))</f>
        <v>1</v>
      </c>
      <c r="E323" s="8" t="n">
        <f aca="false">INDEX(Mapping!$C$2:$C$99,MATCH(E$1&amp;"|"&amp;Customers!E323,Mapping!$D$2:$D$99,0))</f>
        <v>2</v>
      </c>
      <c r="F323" s="8" t="n">
        <f aca="false">INDEX(Mapping!$C$2:$C$99,MATCH(F$1&amp;"|"&amp;Customers!F323,Mapping!$D$2:$D$99,0))</f>
        <v>1</v>
      </c>
      <c r="G323" s="8" t="n">
        <f aca="false">INDEX(Mapping!$C$2:$C$99,MATCH(G$1&amp;"|"&amp;Customers!G323,Mapping!$D$2:$D$99,0))</f>
        <v>1</v>
      </c>
      <c r="H323" s="8" t="n">
        <f aca="false">INDEX(Mapping!$C$2:$C$99,MATCH(H$1&amp;"|"&amp;Customers!H323,Mapping!$D$2:$D$99,0))</f>
        <v>1</v>
      </c>
      <c r="I323" s="8" t="n">
        <f aca="false">INDEX(Mapping!$C$2:$C$99,MATCH(I$1&amp;"|"&amp;Customers!I323,Mapping!$D$2:$D$99,0))</f>
        <v>2</v>
      </c>
      <c r="J323" s="8" t="n">
        <f aca="false">INDEX(Mapping!$C$2:$C$99,MATCH(J$1&amp;"|"&amp;Customers!J323,Mapping!$D$2:$D$99,0))</f>
        <v>1</v>
      </c>
      <c r="K323" s="8" t="n">
        <f aca="false">INDEX(Mapping!$C$2:$C$99,MATCH(K$1&amp;"|"&amp;Customers!K323,Mapping!$D$2:$D$99,0))</f>
        <v>3</v>
      </c>
      <c r="L323" s="8" t="n">
        <f aca="false">INDEX(Mapping!$C$2:$C$99,MATCH(L$1&amp;"|"&amp;Customers!L323,Mapping!$D$2:$D$99,0))</f>
        <v>3</v>
      </c>
      <c r="M323" s="8" t="n">
        <f aca="false">INDEX(Mapping!$C$2:$C$99,MATCH(M$1&amp;"|"&amp;Customers!M323,Mapping!$D$2:$D$99,0))</f>
        <v>2</v>
      </c>
      <c r="N323" s="8" t="n">
        <f aca="false">INDEX(Mapping!$C$2:$C$99,MATCH(N$1&amp;"|"&amp;Customers!N323,Mapping!$D$2:$D$99,0))</f>
        <v>2</v>
      </c>
      <c r="O323" s="8" t="n">
        <f aca="false">INDEX(Mapping!$C$2:$C$99,MATCH(O$1&amp;"|"&amp;Customers!O323,Mapping!$D$2:$D$99,0))</f>
        <v>4</v>
      </c>
      <c r="P323" s="8" t="n">
        <f aca="false">INDEX(Mapping!$C$2:$C$99,MATCH(P$1&amp;"|"&amp;Customers!P323,Mapping!$D$2:$D$99,0))</f>
        <v>1</v>
      </c>
      <c r="Q323" s="8" t="n">
        <f aca="false">INDEX(Mapping!$C$2:$C$99,MATCH(Q$1&amp;"|"&amp;Customers!Q323,Mapping!$D$2:$D$99,0))</f>
        <v>2</v>
      </c>
      <c r="R323" s="8" t="n">
        <f aca="false">INDEX(Mapping!$C$2:$C$99,MATCH(R$1&amp;"|"&amp;Customers!R323,Mapping!$D$2:$D$99,0))</f>
        <v>2</v>
      </c>
      <c r="S323" s="8" t="n">
        <f aca="false">INDEX(Mapping!$C$2:$C$99,MATCH(S$1&amp;"|"&amp;Customers!S323,Mapping!$D$2:$D$99,0))</f>
        <v>1</v>
      </c>
      <c r="T323" s="8" t="n">
        <f aca="false">INDEX(Mapping!$C$2:$C$99,MATCH(T$1&amp;"|"&amp;Customers!T323,Mapping!$D$2:$D$99,0))</f>
        <v>2</v>
      </c>
      <c r="U323" s="8" t="n">
        <f aca="false">INDEX(Mapping!$C$2:$C$99,MATCH(U$1&amp;"|"&amp;Customers!U323,Mapping!$D$2:$D$99,0))</f>
        <v>2</v>
      </c>
      <c r="V323" s="8" t="n">
        <f aca="false">INDEX(Mapping!$C$2:$C$99,MATCH(V$1&amp;"|"&amp;Customers!V323,Mapping!$D$2:$D$99,0))</f>
        <v>1</v>
      </c>
      <c r="W323" s="17" t="n">
        <f aca="false">SUMPRODUCT($C323:$V323,Weights!$C$27:$V$27)</f>
        <v>1.69</v>
      </c>
      <c r="X323" s="18" t="n">
        <f aca="false">ROUND($W323,2)</f>
        <v>1.69</v>
      </c>
      <c r="Y323" s="8" t="str">
        <f aca="false">IF($X323&lt;=2,"Low",IF($X323&lt;=3.49,"Medium","High"))</f>
        <v>Low</v>
      </c>
      <c r="Z323" s="8" t="str">
        <f aca="false">IF(OR($F323&gt;=3,$E323=5,$D323=5,$C323=5,$G323=5,$H323=5,$I323=5,$J323=5,Customers!$W323="Yes"),"Yes","No")</f>
        <v>No</v>
      </c>
      <c r="AA323" s="15" t="str">
        <f aca="false">IF($Z323="Yes","High",$Y323)</f>
        <v>Low</v>
      </c>
      <c r="AB323" s="18" t="n">
        <f aca="false">SUMPRODUCT($C323:$G323,Weights!$C$28:$G$28)</f>
        <v>1.25</v>
      </c>
      <c r="AC323" s="18" t="n">
        <f aca="false">SUMPRODUCT($H323:$J323,Weights!$H$28:$J$28)</f>
        <v>1.2</v>
      </c>
      <c r="AD323" s="18" t="n">
        <f aca="false">SUMPRODUCT($K323:$N323,Weights!$K$28:$N$28)</f>
        <v>2.6</v>
      </c>
      <c r="AE323" s="18" t="n">
        <f aca="false">SUMPRODUCT($O323:$Q323,Weights!$O$28:$Q$28)</f>
        <v>2.55</v>
      </c>
      <c r="AF323" s="18" t="n">
        <f aca="false">SUMPRODUCT($R323:$V323,Weights!$R$28:$V$28)</f>
        <v>1.6</v>
      </c>
      <c r="AH323" s="18" t="n">
        <f aca="false">SUMPRODUCT($AB323:$AF323,Validation!$D$7:$H$7)</f>
        <v>1.7528571428571</v>
      </c>
      <c r="AI323" s="18" t="n">
        <f aca="false">SUMPRODUCT($AB323:$AF323,Validation!$D$8:$H$8)</f>
        <v>1.6271428571429</v>
      </c>
      <c r="AJ323" s="18" t="n">
        <f aca="false">SUMPRODUCT($AB323:$AF323,Validation!$D$9:$H$9)</f>
        <v>1.75533333333335</v>
      </c>
      <c r="AK323" s="18" t="n">
        <f aca="false">SUMPRODUCT($AB323:$AF323,Validation!$D$10:$H$10)</f>
        <v>1.62466666666665</v>
      </c>
      <c r="AL323" s="18" t="n">
        <f aca="false">SUMPRODUCT($AB323:$AF323,Validation!$D$11:$H$11)</f>
        <v>1.57625</v>
      </c>
      <c r="AM323" s="18" t="n">
        <f aca="false">SUMPRODUCT($AB323:$AF323,Validation!$D$12:$H$12)</f>
        <v>1.80375</v>
      </c>
      <c r="AN323" s="18" t="n">
        <f aca="false">SUMPRODUCT($AB323:$AF323,Validation!$D$13:$H$13)</f>
        <v>1.59444444444425</v>
      </c>
      <c r="AO323" s="18" t="n">
        <f aca="false">SUMPRODUCT($AB323:$AF323,Validation!$D$14:$H$14)</f>
        <v>1.78555555555575</v>
      </c>
      <c r="AP323" s="18" t="n">
        <f aca="false">SUMPRODUCT($AB323:$AF323,Validation!$D$15:$H$15)</f>
        <v>1.70058823529405</v>
      </c>
      <c r="AQ323" s="18" t="n">
        <f aca="false">SUMPRODUCT($AB323:$AF323,Validation!$D$16:$H$16)</f>
        <v>1.67941176470595</v>
      </c>
      <c r="AR323" s="8" t="n">
        <f aca="false">COUNTIF($C323:$V323,"&gt;=4")</f>
        <v>1</v>
      </c>
      <c r="AS323" s="8" t="str">
        <f aca="false">IF($X323&lt;=1.6,"Low",IF($X323&lt;=2.2,"Medium","High"))</f>
        <v>Medium</v>
      </c>
      <c r="AT323" s="8" t="str">
        <f aca="false">IF($AR323=0,"Low",IF($AR323&lt;3,"Medium","High"))</f>
        <v>Medium</v>
      </c>
      <c r="AU323" s="8" t="str">
        <f aca="false">IF(OR($AS323="High",$AT323="High"),"High",IF(OR($AS323="Medium",$AT323="Medium"),"Medium","Low"))</f>
        <v>Medium</v>
      </c>
      <c r="AV323" s="15" t="str">
        <f aca="false">IF($Z323="Yes","High",$AU323)</f>
        <v>Medium</v>
      </c>
    </row>
    <row r="324" customFormat="false" ht="15" hidden="false" customHeight="false" outlineLevel="0" collapsed="false">
      <c r="A324" s="7" t="str">
        <f aca="false">Customers!$A324</f>
        <v>NG-10312</v>
      </c>
      <c r="B324" s="7" t="str">
        <f aca="false">Customers!$B324</f>
        <v>Sole trader</v>
      </c>
      <c r="C324" s="8" t="n">
        <f aca="false">INDEX(Mapping!$C$2:$C$99,MATCH(C$1&amp;"|"&amp;Customers!C324,Mapping!$D$2:$D$99,0))</f>
        <v>2</v>
      </c>
      <c r="D324" s="8" t="n">
        <f aca="false">INDEX(Mapping!$C$2:$C$99,MATCH(D$1&amp;"|"&amp;Customers!D324,Mapping!$D$2:$D$99,0))</f>
        <v>1</v>
      </c>
      <c r="E324" s="8" t="n">
        <f aca="false">INDEX(Mapping!$C$2:$C$99,MATCH(E$1&amp;"|"&amp;Customers!E324,Mapping!$D$2:$D$99,0))</f>
        <v>5</v>
      </c>
      <c r="F324" s="8" t="n">
        <f aca="false">INDEX(Mapping!$C$2:$C$99,MATCH(F$1&amp;"|"&amp;Customers!F324,Mapping!$D$2:$D$99,0))</f>
        <v>1</v>
      </c>
      <c r="G324" s="8" t="n">
        <f aca="false">INDEX(Mapping!$C$2:$C$99,MATCH(G$1&amp;"|"&amp;Customers!G324,Mapping!$D$2:$D$99,0))</f>
        <v>4</v>
      </c>
      <c r="H324" s="8" t="n">
        <f aca="false">INDEX(Mapping!$C$2:$C$99,MATCH(H$1&amp;"|"&amp;Customers!H324,Mapping!$D$2:$D$99,0))</f>
        <v>1</v>
      </c>
      <c r="I324" s="8" t="n">
        <f aca="false">INDEX(Mapping!$C$2:$C$99,MATCH(I$1&amp;"|"&amp;Customers!I324,Mapping!$D$2:$D$99,0))</f>
        <v>1</v>
      </c>
      <c r="J324" s="8" t="n">
        <f aca="false">INDEX(Mapping!$C$2:$C$99,MATCH(J$1&amp;"|"&amp;Customers!J324,Mapping!$D$2:$D$99,0))</f>
        <v>1</v>
      </c>
      <c r="K324" s="8" t="n">
        <f aca="false">INDEX(Mapping!$C$2:$C$99,MATCH(K$1&amp;"|"&amp;Customers!K324,Mapping!$D$2:$D$99,0))</f>
        <v>4</v>
      </c>
      <c r="L324" s="8" t="n">
        <f aca="false">INDEX(Mapping!$C$2:$C$99,MATCH(L$1&amp;"|"&amp;Customers!L324,Mapping!$D$2:$D$99,0))</f>
        <v>3</v>
      </c>
      <c r="M324" s="8" t="n">
        <f aca="false">INDEX(Mapping!$C$2:$C$99,MATCH(M$1&amp;"|"&amp;Customers!M324,Mapping!$D$2:$D$99,0))</f>
        <v>1</v>
      </c>
      <c r="N324" s="8" t="n">
        <f aca="false">INDEX(Mapping!$C$2:$C$99,MATCH(N$1&amp;"|"&amp;Customers!N324,Mapping!$D$2:$D$99,0))</f>
        <v>1</v>
      </c>
      <c r="O324" s="8" t="n">
        <f aca="false">INDEX(Mapping!$C$2:$C$99,MATCH(O$1&amp;"|"&amp;Customers!O324,Mapping!$D$2:$D$99,0))</f>
        <v>1</v>
      </c>
      <c r="P324" s="8" t="n">
        <f aca="false">INDEX(Mapping!$C$2:$C$99,MATCH(P$1&amp;"|"&amp;Customers!P324,Mapping!$D$2:$D$99,0))</f>
        <v>3</v>
      </c>
      <c r="Q324" s="8" t="n">
        <f aca="false">INDEX(Mapping!$C$2:$C$99,MATCH(Q$1&amp;"|"&amp;Customers!Q324,Mapping!$D$2:$D$99,0))</f>
        <v>1</v>
      </c>
      <c r="R324" s="8" t="n">
        <f aca="false">INDEX(Mapping!$C$2:$C$99,MATCH(R$1&amp;"|"&amp;Customers!R324,Mapping!$D$2:$D$99,0))</f>
        <v>2</v>
      </c>
      <c r="S324" s="8" t="n">
        <f aca="false">INDEX(Mapping!$C$2:$C$99,MATCH(S$1&amp;"|"&amp;Customers!S324,Mapping!$D$2:$D$99,0))</f>
        <v>4</v>
      </c>
      <c r="T324" s="8" t="n">
        <f aca="false">INDEX(Mapping!$C$2:$C$99,MATCH(T$1&amp;"|"&amp;Customers!T324,Mapping!$D$2:$D$99,0))</f>
        <v>1</v>
      </c>
      <c r="U324" s="8" t="n">
        <f aca="false">INDEX(Mapping!$C$2:$C$99,MATCH(U$1&amp;"|"&amp;Customers!U324,Mapping!$D$2:$D$99,0))</f>
        <v>5</v>
      </c>
      <c r="V324" s="8" t="n">
        <f aca="false">INDEX(Mapping!$C$2:$C$99,MATCH(V$1&amp;"|"&amp;Customers!V324,Mapping!$D$2:$D$99,0))</f>
        <v>4</v>
      </c>
      <c r="W324" s="17" t="n">
        <f aca="false">SUMPRODUCT($C324:$V324,Weights!$C$27:$V$27)</f>
        <v>2.1825</v>
      </c>
      <c r="X324" s="18" t="n">
        <f aca="false">ROUND($W324,2)</f>
        <v>2.18</v>
      </c>
      <c r="Y324" s="8" t="str">
        <f aca="false">IF($X324&lt;=2,"Low",IF($X324&lt;=3.49,"Medium","High"))</f>
        <v>Medium</v>
      </c>
      <c r="Z324" s="8" t="str">
        <f aca="false">IF(OR($F324&gt;=3,$E324=5,$D324=5,$C324=5,$G324=5,$H324=5,$I324=5,$J324=5,Customers!$W324="Yes"),"Yes","No")</f>
        <v>Yes</v>
      </c>
      <c r="AA324" s="15" t="str">
        <f aca="false">IF($Z324="Yes","High",$Y324)</f>
        <v>High</v>
      </c>
      <c r="AB324" s="18" t="n">
        <f aca="false">SUMPRODUCT($C324:$G324,Weights!$C$28:$G$28)</f>
        <v>2.65</v>
      </c>
      <c r="AC324" s="18" t="n">
        <f aca="false">SUMPRODUCT($H324:$J324,Weights!$H$28:$J$28)</f>
        <v>1</v>
      </c>
      <c r="AD324" s="18" t="n">
        <f aca="false">SUMPRODUCT($K324:$N324,Weights!$K$28:$N$28)</f>
        <v>2.55</v>
      </c>
      <c r="AE324" s="18" t="n">
        <f aca="false">SUMPRODUCT($O324:$Q324,Weights!$O$28:$Q$28)</f>
        <v>1.7</v>
      </c>
      <c r="AF324" s="18" t="n">
        <f aca="false">SUMPRODUCT($R324:$V324,Weights!$R$28:$V$28)</f>
        <v>3.05</v>
      </c>
      <c r="AH324" s="18" t="n">
        <f aca="false">SUMPRODUCT($AB324:$AF324,Validation!$D$7:$H$7)</f>
        <v>2.1157142857147</v>
      </c>
      <c r="AI324" s="18" t="n">
        <f aca="false">SUMPRODUCT($AB324:$AF324,Validation!$D$8:$H$8)</f>
        <v>2.2492857142853</v>
      </c>
      <c r="AJ324" s="18" t="n">
        <f aca="false">SUMPRODUCT($AB324:$AF324,Validation!$D$9:$H$9)</f>
        <v>2.34016666666695</v>
      </c>
      <c r="AK324" s="18" t="n">
        <f aca="false">SUMPRODUCT($AB324:$AF324,Validation!$D$10:$H$10)</f>
        <v>2.02483333333305</v>
      </c>
      <c r="AL324" s="18" t="n">
        <f aca="false">SUMPRODUCT($AB324:$AF324,Validation!$D$11:$H$11)</f>
        <v>2.1365625</v>
      </c>
      <c r="AM324" s="18" t="n">
        <f aca="false">SUMPRODUCT($AB324:$AF324,Validation!$D$12:$H$12)</f>
        <v>2.2284375</v>
      </c>
      <c r="AN324" s="18" t="n">
        <f aca="false">SUMPRODUCT($AB324:$AF324,Validation!$D$13:$H$13)</f>
        <v>2.2361111111109</v>
      </c>
      <c r="AO324" s="18" t="n">
        <f aca="false">SUMPRODUCT($AB324:$AF324,Validation!$D$14:$H$14)</f>
        <v>2.1288888888891</v>
      </c>
      <c r="AP324" s="18" t="n">
        <f aca="false">SUMPRODUCT($AB324:$AF324,Validation!$D$15:$H$15)</f>
        <v>2.0804411764707</v>
      </c>
      <c r="AQ324" s="18" t="n">
        <f aca="false">SUMPRODUCT($AB324:$AF324,Validation!$D$16:$H$16)</f>
        <v>2.2845588235293</v>
      </c>
      <c r="AR324" s="8" t="n">
        <f aca="false">COUNTIF($C324:$V324,"&gt;=4")</f>
        <v>6</v>
      </c>
      <c r="AS324" s="8" t="str">
        <f aca="false">IF($X324&lt;=1.6,"Low",IF($X324&lt;=2.2,"Medium","High"))</f>
        <v>Medium</v>
      </c>
      <c r="AT324" s="8" t="str">
        <f aca="false">IF($AR324=0,"Low",IF($AR324&lt;3,"Medium","High"))</f>
        <v>High</v>
      </c>
      <c r="AU324" s="8" t="str">
        <f aca="false">IF(OR($AS324="High",$AT324="High"),"High",IF(OR($AS324="Medium",$AT324="Medium"),"Medium","Low"))</f>
        <v>High</v>
      </c>
      <c r="AV324" s="15" t="str">
        <f aca="false">IF($Z324="Yes","High",$AU324)</f>
        <v>High</v>
      </c>
    </row>
    <row r="325" customFormat="false" ht="15" hidden="false" customHeight="false" outlineLevel="0" collapsed="false">
      <c r="A325" s="7" t="str">
        <f aca="false">Customers!$A325</f>
        <v>NG-10248</v>
      </c>
      <c r="B325" s="7" t="str">
        <f aca="false">Customers!$B325</f>
        <v>Personal</v>
      </c>
      <c r="C325" s="8" t="n">
        <f aca="false">INDEX(Mapping!$C$2:$C$99,MATCH(C$1&amp;"|"&amp;Customers!C325,Mapping!$D$2:$D$99,0))</f>
        <v>1</v>
      </c>
      <c r="D325" s="8" t="n">
        <f aca="false">INDEX(Mapping!$C$2:$C$99,MATCH(D$1&amp;"|"&amp;Customers!D325,Mapping!$D$2:$D$99,0))</f>
        <v>1</v>
      </c>
      <c r="E325" s="8" t="n">
        <f aca="false">INDEX(Mapping!$C$2:$C$99,MATCH(E$1&amp;"|"&amp;Customers!E325,Mapping!$D$2:$D$99,0))</f>
        <v>1</v>
      </c>
      <c r="F325" s="8" t="n">
        <f aca="false">INDEX(Mapping!$C$2:$C$99,MATCH(F$1&amp;"|"&amp;Customers!F325,Mapping!$D$2:$D$99,0))</f>
        <v>1</v>
      </c>
      <c r="G325" s="8" t="n">
        <f aca="false">INDEX(Mapping!$C$2:$C$99,MATCH(G$1&amp;"|"&amp;Customers!G325,Mapping!$D$2:$D$99,0))</f>
        <v>1</v>
      </c>
      <c r="H325" s="8" t="n">
        <f aca="false">INDEX(Mapping!$C$2:$C$99,MATCH(H$1&amp;"|"&amp;Customers!H325,Mapping!$D$2:$D$99,0))</f>
        <v>1</v>
      </c>
      <c r="I325" s="8" t="n">
        <f aca="false">INDEX(Mapping!$C$2:$C$99,MATCH(I$1&amp;"|"&amp;Customers!I325,Mapping!$D$2:$D$99,0))</f>
        <v>1</v>
      </c>
      <c r="J325" s="8" t="n">
        <f aca="false">INDEX(Mapping!$C$2:$C$99,MATCH(J$1&amp;"|"&amp;Customers!J325,Mapping!$D$2:$D$99,0))</f>
        <v>1</v>
      </c>
      <c r="K325" s="8" t="n">
        <f aca="false">INDEX(Mapping!$C$2:$C$99,MATCH(K$1&amp;"|"&amp;Customers!K325,Mapping!$D$2:$D$99,0))</f>
        <v>1</v>
      </c>
      <c r="L325" s="8" t="n">
        <f aca="false">INDEX(Mapping!$C$2:$C$99,MATCH(L$1&amp;"|"&amp;Customers!L325,Mapping!$D$2:$D$99,0))</f>
        <v>2</v>
      </c>
      <c r="M325" s="8" t="n">
        <f aca="false">INDEX(Mapping!$C$2:$C$99,MATCH(M$1&amp;"|"&amp;Customers!M325,Mapping!$D$2:$D$99,0))</f>
        <v>1</v>
      </c>
      <c r="N325" s="8" t="n">
        <f aca="false">INDEX(Mapping!$C$2:$C$99,MATCH(N$1&amp;"|"&amp;Customers!N325,Mapping!$D$2:$D$99,0))</f>
        <v>1</v>
      </c>
      <c r="O325" s="8" t="n">
        <f aca="false">INDEX(Mapping!$C$2:$C$99,MATCH(O$1&amp;"|"&amp;Customers!O325,Mapping!$D$2:$D$99,0))</f>
        <v>3</v>
      </c>
      <c r="P325" s="8" t="n">
        <f aca="false">INDEX(Mapping!$C$2:$C$99,MATCH(P$1&amp;"|"&amp;Customers!P325,Mapping!$D$2:$D$99,0))</f>
        <v>1</v>
      </c>
      <c r="Q325" s="8" t="n">
        <f aca="false">INDEX(Mapping!$C$2:$C$99,MATCH(Q$1&amp;"|"&amp;Customers!Q325,Mapping!$D$2:$D$99,0))</f>
        <v>1</v>
      </c>
      <c r="R325" s="8" t="n">
        <f aca="false">INDEX(Mapping!$C$2:$C$99,MATCH(R$1&amp;"|"&amp;Customers!R325,Mapping!$D$2:$D$99,0))</f>
        <v>1</v>
      </c>
      <c r="S325" s="8" t="n">
        <f aca="false">INDEX(Mapping!$C$2:$C$99,MATCH(S$1&amp;"|"&amp;Customers!S325,Mapping!$D$2:$D$99,0))</f>
        <v>2</v>
      </c>
      <c r="T325" s="8" t="n">
        <f aca="false">INDEX(Mapping!$C$2:$C$99,MATCH(T$1&amp;"|"&amp;Customers!T325,Mapping!$D$2:$D$99,0))</f>
        <v>1</v>
      </c>
      <c r="U325" s="8" t="n">
        <f aca="false">INDEX(Mapping!$C$2:$C$99,MATCH(U$1&amp;"|"&amp;Customers!U325,Mapping!$D$2:$D$99,0))</f>
        <v>1</v>
      </c>
      <c r="V325" s="8" t="n">
        <f aca="false">INDEX(Mapping!$C$2:$C$99,MATCH(V$1&amp;"|"&amp;Customers!V325,Mapping!$D$2:$D$99,0))</f>
        <v>1</v>
      </c>
      <c r="W325" s="17" t="n">
        <f aca="false">SUMPRODUCT($C325:$V325,Weights!$C$27:$V$27)</f>
        <v>1.185</v>
      </c>
      <c r="X325" s="18" t="n">
        <f aca="false">ROUND($W325,2)</f>
        <v>1.19</v>
      </c>
      <c r="Y325" s="8" t="str">
        <f aca="false">IF($X325&lt;=2,"Low",IF($X325&lt;=3.49,"Medium","High"))</f>
        <v>Low</v>
      </c>
      <c r="Z325" s="8" t="str">
        <f aca="false">IF(OR($F325&gt;=3,$E325=5,$D325=5,$C325=5,$G325=5,$H325=5,$I325=5,$J325=5,Customers!$W325="Yes"),"Yes","No")</f>
        <v>No</v>
      </c>
      <c r="AA325" s="15" t="str">
        <f aca="false">IF($Z325="Yes","High",$Y325)</f>
        <v>Low</v>
      </c>
      <c r="AB325" s="18" t="n">
        <f aca="false">SUMPRODUCT($C325:$G325,Weights!$C$28:$G$28)</f>
        <v>1</v>
      </c>
      <c r="AC325" s="18" t="n">
        <f aca="false">SUMPRODUCT($H325:$J325,Weights!$H$28:$J$28)</f>
        <v>1</v>
      </c>
      <c r="AD325" s="18" t="n">
        <f aca="false">SUMPRODUCT($K325:$N325,Weights!$K$28:$N$28)</f>
        <v>1.25</v>
      </c>
      <c r="AE325" s="18" t="n">
        <f aca="false">SUMPRODUCT($O325:$Q325,Weights!$O$28:$Q$28)</f>
        <v>1.9</v>
      </c>
      <c r="AF325" s="18" t="n">
        <f aca="false">SUMPRODUCT($R325:$V325,Weights!$R$28:$V$28)</f>
        <v>1.3</v>
      </c>
      <c r="AH325" s="18" t="n">
        <f aca="false">SUMPRODUCT($AB325:$AF325,Validation!$D$7:$H$7)</f>
        <v>1.21142857142885</v>
      </c>
      <c r="AI325" s="18" t="n">
        <f aca="false">SUMPRODUCT($AB325:$AF325,Validation!$D$8:$H$8)</f>
        <v>1.15857142857115</v>
      </c>
      <c r="AJ325" s="18" t="n">
        <f aca="false">SUMPRODUCT($AB325:$AF325,Validation!$D$9:$H$9)</f>
        <v>1.20966666666645</v>
      </c>
      <c r="AK325" s="18" t="n">
        <f aca="false">SUMPRODUCT($AB325:$AF325,Validation!$D$10:$H$10)</f>
        <v>1.16033333333355</v>
      </c>
      <c r="AL325" s="18" t="n">
        <f aca="false">SUMPRODUCT($AB325:$AF325,Validation!$D$11:$H$11)</f>
        <v>1.176875</v>
      </c>
      <c r="AM325" s="18" t="n">
        <f aca="false">SUMPRODUCT($AB325:$AF325,Validation!$D$12:$H$12)</f>
        <v>1.193125</v>
      </c>
      <c r="AN325" s="18" t="n">
        <f aca="false">SUMPRODUCT($AB325:$AF325,Validation!$D$13:$H$13)</f>
        <v>1.1055555555556</v>
      </c>
      <c r="AO325" s="18" t="n">
        <f aca="false">SUMPRODUCT($AB325:$AF325,Validation!$D$14:$H$14)</f>
        <v>1.2644444444444</v>
      </c>
      <c r="AP325" s="18" t="n">
        <f aca="false">SUMPRODUCT($AB325:$AF325,Validation!$D$15:$H$15)</f>
        <v>1.17147058823505</v>
      </c>
      <c r="AQ325" s="18" t="n">
        <f aca="false">SUMPRODUCT($AB325:$AF325,Validation!$D$16:$H$16)</f>
        <v>1.19852941176495</v>
      </c>
      <c r="AR325" s="8" t="n">
        <f aca="false">COUNTIF($C325:$V325,"&gt;=4")</f>
        <v>0</v>
      </c>
      <c r="AS325" s="8" t="str">
        <f aca="false">IF($X325&lt;=1.6,"Low",IF($X325&lt;=2.2,"Medium","High"))</f>
        <v>Low</v>
      </c>
      <c r="AT325" s="8" t="str">
        <f aca="false">IF($AR325=0,"Low",IF($AR325&lt;3,"Medium","High"))</f>
        <v>Low</v>
      </c>
      <c r="AU325" s="8" t="str">
        <f aca="false">IF(OR($AS325="High",$AT325="High"),"High",IF(OR($AS325="Medium",$AT325="Medium"),"Medium","Low"))</f>
        <v>Low</v>
      </c>
      <c r="AV325" s="15" t="str">
        <f aca="false">IF($Z325="Yes","High",$AU325)</f>
        <v>Low</v>
      </c>
    </row>
    <row r="326" customFormat="false" ht="15" hidden="false" customHeight="false" outlineLevel="0" collapsed="false">
      <c r="A326" s="7" t="str">
        <f aca="false">Customers!$A326</f>
        <v>NG-10192</v>
      </c>
      <c r="B326" s="7" t="str">
        <f aca="false">Customers!$B326</f>
        <v>Personal</v>
      </c>
      <c r="C326" s="8" t="n">
        <f aca="false">INDEX(Mapping!$C$2:$C$99,MATCH(C$1&amp;"|"&amp;Customers!C326,Mapping!$D$2:$D$99,0))</f>
        <v>2</v>
      </c>
      <c r="D326" s="8" t="n">
        <f aca="false">INDEX(Mapping!$C$2:$C$99,MATCH(D$1&amp;"|"&amp;Customers!D326,Mapping!$D$2:$D$99,0))</f>
        <v>1</v>
      </c>
      <c r="E326" s="8" t="n">
        <f aca="false">INDEX(Mapping!$C$2:$C$99,MATCH(E$1&amp;"|"&amp;Customers!E326,Mapping!$D$2:$D$99,0))</f>
        <v>3</v>
      </c>
      <c r="F326" s="8" t="n">
        <f aca="false">INDEX(Mapping!$C$2:$C$99,MATCH(F$1&amp;"|"&amp;Customers!F326,Mapping!$D$2:$D$99,0))</f>
        <v>1</v>
      </c>
      <c r="G326" s="8" t="n">
        <f aca="false">INDEX(Mapping!$C$2:$C$99,MATCH(G$1&amp;"|"&amp;Customers!G326,Mapping!$D$2:$D$99,0))</f>
        <v>1</v>
      </c>
      <c r="H326" s="8" t="n">
        <f aca="false">INDEX(Mapping!$C$2:$C$99,MATCH(H$1&amp;"|"&amp;Customers!H326,Mapping!$D$2:$D$99,0))</f>
        <v>1</v>
      </c>
      <c r="I326" s="8" t="n">
        <f aca="false">INDEX(Mapping!$C$2:$C$99,MATCH(I$1&amp;"|"&amp;Customers!I326,Mapping!$D$2:$D$99,0))</f>
        <v>1</v>
      </c>
      <c r="J326" s="8" t="n">
        <f aca="false">INDEX(Mapping!$C$2:$C$99,MATCH(J$1&amp;"|"&amp;Customers!J326,Mapping!$D$2:$D$99,0))</f>
        <v>3</v>
      </c>
      <c r="K326" s="8" t="n">
        <f aca="false">INDEX(Mapping!$C$2:$C$99,MATCH(K$1&amp;"|"&amp;Customers!K326,Mapping!$D$2:$D$99,0))</f>
        <v>3</v>
      </c>
      <c r="L326" s="8" t="n">
        <f aca="false">INDEX(Mapping!$C$2:$C$99,MATCH(L$1&amp;"|"&amp;Customers!L326,Mapping!$D$2:$D$99,0))</f>
        <v>3</v>
      </c>
      <c r="M326" s="8" t="n">
        <f aca="false">INDEX(Mapping!$C$2:$C$99,MATCH(M$1&amp;"|"&amp;Customers!M326,Mapping!$D$2:$D$99,0))</f>
        <v>1</v>
      </c>
      <c r="N326" s="8" t="n">
        <f aca="false">INDEX(Mapping!$C$2:$C$99,MATCH(N$1&amp;"|"&amp;Customers!N326,Mapping!$D$2:$D$99,0))</f>
        <v>1</v>
      </c>
      <c r="O326" s="8" t="n">
        <f aca="false">INDEX(Mapping!$C$2:$C$99,MATCH(O$1&amp;"|"&amp;Customers!O326,Mapping!$D$2:$D$99,0))</f>
        <v>3</v>
      </c>
      <c r="P326" s="8" t="n">
        <f aca="false">INDEX(Mapping!$C$2:$C$99,MATCH(P$1&amp;"|"&amp;Customers!P326,Mapping!$D$2:$D$99,0))</f>
        <v>4</v>
      </c>
      <c r="Q326" s="8" t="n">
        <f aca="false">INDEX(Mapping!$C$2:$C$99,MATCH(Q$1&amp;"|"&amp;Customers!Q326,Mapping!$D$2:$D$99,0))</f>
        <v>1</v>
      </c>
      <c r="R326" s="8" t="n">
        <f aca="false">INDEX(Mapping!$C$2:$C$99,MATCH(R$1&amp;"|"&amp;Customers!R326,Mapping!$D$2:$D$99,0))</f>
        <v>1</v>
      </c>
      <c r="S326" s="8" t="n">
        <f aca="false">INDEX(Mapping!$C$2:$C$99,MATCH(S$1&amp;"|"&amp;Customers!S326,Mapping!$D$2:$D$99,0))</f>
        <v>1</v>
      </c>
      <c r="T326" s="8" t="n">
        <f aca="false">INDEX(Mapping!$C$2:$C$99,MATCH(T$1&amp;"|"&amp;Customers!T326,Mapping!$D$2:$D$99,0))</f>
        <v>2</v>
      </c>
      <c r="U326" s="8" t="n">
        <f aca="false">INDEX(Mapping!$C$2:$C$99,MATCH(U$1&amp;"|"&amp;Customers!U326,Mapping!$D$2:$D$99,0))</f>
        <v>1</v>
      </c>
      <c r="V326" s="8" t="n">
        <f aca="false">INDEX(Mapping!$C$2:$C$99,MATCH(V$1&amp;"|"&amp;Customers!V326,Mapping!$D$2:$D$99,0))</f>
        <v>1</v>
      </c>
      <c r="W326" s="17" t="n">
        <f aca="false">SUMPRODUCT($C326:$V326,Weights!$C$27:$V$27)</f>
        <v>1.875</v>
      </c>
      <c r="X326" s="18" t="n">
        <f aca="false">ROUND($W326,2)</f>
        <v>1.88</v>
      </c>
      <c r="Y326" s="8" t="str">
        <f aca="false">IF($X326&lt;=2,"Low",IF($X326&lt;=3.49,"Medium","High"))</f>
        <v>Low</v>
      </c>
      <c r="Z326" s="8" t="str">
        <f aca="false">IF(OR($F326&gt;=3,$E326=5,$D326=5,$C326=5,$G326=5,$H326=5,$I326=5,$J326=5,Customers!$W326="Yes"),"Yes","No")</f>
        <v>No</v>
      </c>
      <c r="AA326" s="15" t="str">
        <f aca="false">IF($Z326="Yes","High",$Y326)</f>
        <v>Low</v>
      </c>
      <c r="AB326" s="18" t="n">
        <f aca="false">SUMPRODUCT($C326:$G326,Weights!$C$28:$G$28)</f>
        <v>1.7</v>
      </c>
      <c r="AC326" s="18" t="n">
        <f aca="false">SUMPRODUCT($H326:$J326,Weights!$H$28:$J$28)</f>
        <v>1.8</v>
      </c>
      <c r="AD326" s="18" t="n">
        <f aca="false">SUMPRODUCT($K326:$N326,Weights!$K$28:$N$28)</f>
        <v>2.2</v>
      </c>
      <c r="AE326" s="18" t="n">
        <f aca="false">SUMPRODUCT($O326:$Q326,Weights!$O$28:$Q$28)</f>
        <v>2.95</v>
      </c>
      <c r="AF326" s="18" t="n">
        <f aca="false">SUMPRODUCT($R326:$V326,Weights!$R$28:$V$28)</f>
        <v>1.2</v>
      </c>
      <c r="AH326" s="18" t="n">
        <f aca="false">SUMPRODUCT($AB326:$AF326,Validation!$D$7:$H$7)</f>
        <v>1.8999999999999</v>
      </c>
      <c r="AI326" s="18" t="n">
        <f aca="false">SUMPRODUCT($AB326:$AF326,Validation!$D$8:$H$8)</f>
        <v>1.8500000000001</v>
      </c>
      <c r="AJ326" s="18" t="n">
        <f aca="false">SUMPRODUCT($AB326:$AF326,Validation!$D$9:$H$9)</f>
        <v>1.88499999999975</v>
      </c>
      <c r="AK326" s="18" t="n">
        <f aca="false">SUMPRODUCT($AB326:$AF326,Validation!$D$10:$H$10)</f>
        <v>1.86500000000025</v>
      </c>
      <c r="AL326" s="18" t="n">
        <f aca="false">SUMPRODUCT($AB326:$AF326,Validation!$D$11:$H$11)</f>
        <v>1.834375</v>
      </c>
      <c r="AM326" s="18" t="n">
        <f aca="false">SUMPRODUCT($AB326:$AF326,Validation!$D$12:$H$12)</f>
        <v>1.915625</v>
      </c>
      <c r="AN326" s="18" t="n">
        <f aca="false">SUMPRODUCT($AB326:$AF326,Validation!$D$13:$H$13)</f>
        <v>1.7555555555553</v>
      </c>
      <c r="AO326" s="18" t="n">
        <f aca="false">SUMPRODUCT($AB326:$AF326,Validation!$D$14:$H$14)</f>
        <v>1.9944444444447</v>
      </c>
      <c r="AP326" s="18" t="n">
        <f aca="false">SUMPRODUCT($AB326:$AF326,Validation!$D$15:$H$15)</f>
        <v>1.9544117647056</v>
      </c>
      <c r="AQ326" s="18" t="n">
        <f aca="false">SUMPRODUCT($AB326:$AF326,Validation!$D$16:$H$16)</f>
        <v>1.7955882352944</v>
      </c>
      <c r="AR326" s="8" t="n">
        <f aca="false">COUNTIF($C326:$V326,"&gt;=4")</f>
        <v>1</v>
      </c>
      <c r="AS326" s="8" t="str">
        <f aca="false">IF($X326&lt;=1.6,"Low",IF($X326&lt;=2.2,"Medium","High"))</f>
        <v>Medium</v>
      </c>
      <c r="AT326" s="8" t="str">
        <f aca="false">IF($AR326=0,"Low",IF($AR326&lt;3,"Medium","High"))</f>
        <v>Medium</v>
      </c>
      <c r="AU326" s="8" t="str">
        <f aca="false">IF(OR($AS326="High",$AT326="High"),"High",IF(OR($AS326="Medium",$AT326="Medium"),"Medium","Low"))</f>
        <v>Medium</v>
      </c>
      <c r="AV326" s="15" t="str">
        <f aca="false">IF($Z326="Yes","High",$AU326)</f>
        <v>Medium</v>
      </c>
    </row>
    <row r="327" customFormat="false" ht="15" hidden="false" customHeight="false" outlineLevel="0" collapsed="false">
      <c r="A327" s="7" t="str">
        <f aca="false">Customers!$A327</f>
        <v>NG-10238</v>
      </c>
      <c r="B327" s="7" t="str">
        <f aca="false">Customers!$B327</f>
        <v>Personal</v>
      </c>
      <c r="C327" s="8" t="n">
        <f aca="false">INDEX(Mapping!$C$2:$C$99,MATCH(C$1&amp;"|"&amp;Customers!C327,Mapping!$D$2:$D$99,0))</f>
        <v>2</v>
      </c>
      <c r="D327" s="8" t="n">
        <f aca="false">INDEX(Mapping!$C$2:$C$99,MATCH(D$1&amp;"|"&amp;Customers!D327,Mapping!$D$2:$D$99,0))</f>
        <v>1</v>
      </c>
      <c r="E327" s="8" t="n">
        <f aca="false">INDEX(Mapping!$C$2:$C$99,MATCH(E$1&amp;"|"&amp;Customers!E327,Mapping!$D$2:$D$99,0))</f>
        <v>3</v>
      </c>
      <c r="F327" s="8" t="n">
        <f aca="false">INDEX(Mapping!$C$2:$C$99,MATCH(F$1&amp;"|"&amp;Customers!F327,Mapping!$D$2:$D$99,0))</f>
        <v>1</v>
      </c>
      <c r="G327" s="8" t="n">
        <f aca="false">INDEX(Mapping!$C$2:$C$99,MATCH(G$1&amp;"|"&amp;Customers!G327,Mapping!$D$2:$D$99,0))</f>
        <v>1</v>
      </c>
      <c r="H327" s="8" t="n">
        <f aca="false">INDEX(Mapping!$C$2:$C$99,MATCH(H$1&amp;"|"&amp;Customers!H327,Mapping!$D$2:$D$99,0))</f>
        <v>1</v>
      </c>
      <c r="I327" s="8" t="n">
        <f aca="false">INDEX(Mapping!$C$2:$C$99,MATCH(I$1&amp;"|"&amp;Customers!I327,Mapping!$D$2:$D$99,0))</f>
        <v>1</v>
      </c>
      <c r="J327" s="8" t="n">
        <f aca="false">INDEX(Mapping!$C$2:$C$99,MATCH(J$1&amp;"|"&amp;Customers!J327,Mapping!$D$2:$D$99,0))</f>
        <v>1</v>
      </c>
      <c r="K327" s="8" t="n">
        <f aca="false">INDEX(Mapping!$C$2:$C$99,MATCH(K$1&amp;"|"&amp;Customers!K327,Mapping!$D$2:$D$99,0))</f>
        <v>3</v>
      </c>
      <c r="L327" s="8" t="n">
        <f aca="false">INDEX(Mapping!$C$2:$C$99,MATCH(L$1&amp;"|"&amp;Customers!L327,Mapping!$D$2:$D$99,0))</f>
        <v>3</v>
      </c>
      <c r="M327" s="8" t="n">
        <f aca="false">INDEX(Mapping!$C$2:$C$99,MATCH(M$1&amp;"|"&amp;Customers!M327,Mapping!$D$2:$D$99,0))</f>
        <v>2</v>
      </c>
      <c r="N327" s="8" t="n">
        <f aca="false">INDEX(Mapping!$C$2:$C$99,MATCH(N$1&amp;"|"&amp;Customers!N327,Mapping!$D$2:$D$99,0))</f>
        <v>1</v>
      </c>
      <c r="O327" s="8" t="n">
        <f aca="false">INDEX(Mapping!$C$2:$C$99,MATCH(O$1&amp;"|"&amp;Customers!O327,Mapping!$D$2:$D$99,0))</f>
        <v>3</v>
      </c>
      <c r="P327" s="8" t="n">
        <f aca="false">INDEX(Mapping!$C$2:$C$99,MATCH(P$1&amp;"|"&amp;Customers!P327,Mapping!$D$2:$D$99,0))</f>
        <v>1</v>
      </c>
      <c r="Q327" s="8" t="n">
        <f aca="false">INDEX(Mapping!$C$2:$C$99,MATCH(Q$1&amp;"|"&amp;Customers!Q327,Mapping!$D$2:$D$99,0))</f>
        <v>1</v>
      </c>
      <c r="R327" s="8" t="n">
        <f aca="false">INDEX(Mapping!$C$2:$C$99,MATCH(R$1&amp;"|"&amp;Customers!R327,Mapping!$D$2:$D$99,0))</f>
        <v>1</v>
      </c>
      <c r="S327" s="8" t="n">
        <f aca="false">INDEX(Mapping!$C$2:$C$99,MATCH(S$1&amp;"|"&amp;Customers!S327,Mapping!$D$2:$D$99,0))</f>
        <v>1</v>
      </c>
      <c r="T327" s="8" t="n">
        <f aca="false">INDEX(Mapping!$C$2:$C$99,MATCH(T$1&amp;"|"&amp;Customers!T327,Mapping!$D$2:$D$99,0))</f>
        <v>2</v>
      </c>
      <c r="U327" s="8" t="n">
        <f aca="false">INDEX(Mapping!$C$2:$C$99,MATCH(U$1&amp;"|"&amp;Customers!U327,Mapping!$D$2:$D$99,0))</f>
        <v>2</v>
      </c>
      <c r="V327" s="8" t="n">
        <f aca="false">INDEX(Mapping!$C$2:$C$99,MATCH(V$1&amp;"|"&amp;Customers!V327,Mapping!$D$2:$D$99,0))</f>
        <v>1</v>
      </c>
      <c r="W327" s="17" t="n">
        <f aca="false">SUMPRODUCT($C327:$V327,Weights!$C$27:$V$27)</f>
        <v>1.6425</v>
      </c>
      <c r="X327" s="18" t="n">
        <f aca="false">ROUND($W327,2)</f>
        <v>1.64</v>
      </c>
      <c r="Y327" s="8" t="str">
        <f aca="false">IF($X327&lt;=2,"Low",IF($X327&lt;=3.49,"Medium","High"))</f>
        <v>Low</v>
      </c>
      <c r="Z327" s="8" t="str">
        <f aca="false">IF(OR($F327&gt;=3,$E327=5,$D327=5,$C327=5,$G327=5,$H327=5,$I327=5,$J327=5,Customers!$W327="Yes"),"Yes","No")</f>
        <v>No</v>
      </c>
      <c r="AA327" s="15" t="str">
        <f aca="false">IF($Z327="Yes","High",$Y327)</f>
        <v>Low</v>
      </c>
      <c r="AB327" s="18" t="n">
        <f aca="false">SUMPRODUCT($C327:$G327,Weights!$C$28:$G$28)</f>
        <v>1.7</v>
      </c>
      <c r="AC327" s="18" t="n">
        <f aca="false">SUMPRODUCT($H327:$J327,Weights!$H$28:$J$28)</f>
        <v>1</v>
      </c>
      <c r="AD327" s="18" t="n">
        <f aca="false">SUMPRODUCT($K327:$N327,Weights!$K$28:$N$28)</f>
        <v>2.45</v>
      </c>
      <c r="AE327" s="18" t="n">
        <f aca="false">SUMPRODUCT($O327:$Q327,Weights!$O$28:$Q$28)</f>
        <v>1.9</v>
      </c>
      <c r="AF327" s="18" t="n">
        <f aca="false">SUMPRODUCT($R327:$V327,Weights!$R$28:$V$28)</f>
        <v>1.35</v>
      </c>
      <c r="AH327" s="18" t="n">
        <f aca="false">SUMPRODUCT($AB327:$AF327,Validation!$D$7:$H$7)</f>
        <v>1.6342857142855</v>
      </c>
      <c r="AI327" s="18" t="n">
        <f aca="false">SUMPRODUCT($AB327:$AF327,Validation!$D$8:$H$8)</f>
        <v>1.6507142857145</v>
      </c>
      <c r="AJ327" s="18" t="n">
        <f aca="false">SUMPRODUCT($AB327:$AF327,Validation!$D$9:$H$9)</f>
        <v>1.72816666666685</v>
      </c>
      <c r="AK327" s="18" t="n">
        <f aca="false">SUMPRODUCT($AB327:$AF327,Validation!$D$10:$H$10)</f>
        <v>1.55683333333315</v>
      </c>
      <c r="AL327" s="18" t="n">
        <f aca="false">SUMPRODUCT($AB327:$AF327,Validation!$D$11:$H$11)</f>
        <v>1.5415625</v>
      </c>
      <c r="AM327" s="18" t="n">
        <f aca="false">SUMPRODUCT($AB327:$AF327,Validation!$D$12:$H$12)</f>
        <v>1.7434375</v>
      </c>
      <c r="AN327" s="18" t="n">
        <f aca="false">SUMPRODUCT($AB327:$AF327,Validation!$D$13:$H$13)</f>
        <v>1.61388888888845</v>
      </c>
      <c r="AO327" s="18" t="n">
        <f aca="false">SUMPRODUCT($AB327:$AF327,Validation!$D$14:$H$14)</f>
        <v>1.67111111111155</v>
      </c>
      <c r="AP327" s="18" t="n">
        <f aca="false">SUMPRODUCT($AB327:$AF327,Validation!$D$15:$H$15)</f>
        <v>1.67691176470595</v>
      </c>
      <c r="AQ327" s="18" t="n">
        <f aca="false">SUMPRODUCT($AB327:$AF327,Validation!$D$16:$H$16)</f>
        <v>1.60808823529405</v>
      </c>
      <c r="AR327" s="8" t="n">
        <f aca="false">COUNTIF($C327:$V327,"&gt;=4")</f>
        <v>0</v>
      </c>
      <c r="AS327" s="8" t="str">
        <f aca="false">IF($X327&lt;=1.6,"Low",IF($X327&lt;=2.2,"Medium","High"))</f>
        <v>Medium</v>
      </c>
      <c r="AT327" s="8" t="str">
        <f aca="false">IF($AR327=0,"Low",IF($AR327&lt;3,"Medium","High"))</f>
        <v>Low</v>
      </c>
      <c r="AU327" s="8" t="str">
        <f aca="false">IF(OR($AS327="High",$AT327="High"),"High",IF(OR($AS327="Medium",$AT327="Medium"),"Medium","Low"))</f>
        <v>Medium</v>
      </c>
      <c r="AV327" s="15" t="str">
        <f aca="false">IF($Z327="Yes","High",$AU327)</f>
        <v>Medium</v>
      </c>
    </row>
    <row r="328" customFormat="false" ht="15" hidden="false" customHeight="false" outlineLevel="0" collapsed="false">
      <c r="A328" s="7" t="str">
        <f aca="false">Customers!$A328</f>
        <v>NG-10309</v>
      </c>
      <c r="B328" s="7" t="str">
        <f aca="false">Customers!$B328</f>
        <v>Sole trader</v>
      </c>
      <c r="C328" s="8" t="n">
        <f aca="false">INDEX(Mapping!$C$2:$C$99,MATCH(C$1&amp;"|"&amp;Customers!C328,Mapping!$D$2:$D$99,0))</f>
        <v>2</v>
      </c>
      <c r="D328" s="8" t="n">
        <f aca="false">INDEX(Mapping!$C$2:$C$99,MATCH(D$1&amp;"|"&amp;Customers!D328,Mapping!$D$2:$D$99,0))</f>
        <v>1</v>
      </c>
      <c r="E328" s="8" t="n">
        <f aca="false">INDEX(Mapping!$C$2:$C$99,MATCH(E$1&amp;"|"&amp;Customers!E328,Mapping!$D$2:$D$99,0))</f>
        <v>3</v>
      </c>
      <c r="F328" s="8" t="n">
        <f aca="false">INDEX(Mapping!$C$2:$C$99,MATCH(F$1&amp;"|"&amp;Customers!F328,Mapping!$D$2:$D$99,0))</f>
        <v>1</v>
      </c>
      <c r="G328" s="8" t="n">
        <f aca="false">INDEX(Mapping!$C$2:$C$99,MATCH(G$1&amp;"|"&amp;Customers!G328,Mapping!$D$2:$D$99,0))</f>
        <v>1</v>
      </c>
      <c r="H328" s="8" t="n">
        <f aca="false">INDEX(Mapping!$C$2:$C$99,MATCH(H$1&amp;"|"&amp;Customers!H328,Mapping!$D$2:$D$99,0))</f>
        <v>1</v>
      </c>
      <c r="I328" s="8" t="n">
        <f aca="false">INDEX(Mapping!$C$2:$C$99,MATCH(I$1&amp;"|"&amp;Customers!I328,Mapping!$D$2:$D$99,0))</f>
        <v>1</v>
      </c>
      <c r="J328" s="8" t="n">
        <f aca="false">INDEX(Mapping!$C$2:$C$99,MATCH(J$1&amp;"|"&amp;Customers!J328,Mapping!$D$2:$D$99,0))</f>
        <v>4</v>
      </c>
      <c r="K328" s="8" t="n">
        <f aca="false">INDEX(Mapping!$C$2:$C$99,MATCH(K$1&amp;"|"&amp;Customers!K328,Mapping!$D$2:$D$99,0))</f>
        <v>4</v>
      </c>
      <c r="L328" s="8" t="n">
        <f aca="false">INDEX(Mapping!$C$2:$C$99,MATCH(L$1&amp;"|"&amp;Customers!L328,Mapping!$D$2:$D$99,0))</f>
        <v>2</v>
      </c>
      <c r="M328" s="8" t="n">
        <f aca="false">INDEX(Mapping!$C$2:$C$99,MATCH(M$1&amp;"|"&amp;Customers!M328,Mapping!$D$2:$D$99,0))</f>
        <v>3</v>
      </c>
      <c r="N328" s="8" t="n">
        <f aca="false">INDEX(Mapping!$C$2:$C$99,MATCH(N$1&amp;"|"&amp;Customers!N328,Mapping!$D$2:$D$99,0))</f>
        <v>1</v>
      </c>
      <c r="O328" s="8" t="n">
        <f aca="false">INDEX(Mapping!$C$2:$C$99,MATCH(O$1&amp;"|"&amp;Customers!O328,Mapping!$D$2:$D$99,0))</f>
        <v>3</v>
      </c>
      <c r="P328" s="8" t="n">
        <f aca="false">INDEX(Mapping!$C$2:$C$99,MATCH(P$1&amp;"|"&amp;Customers!P328,Mapping!$D$2:$D$99,0))</f>
        <v>3</v>
      </c>
      <c r="Q328" s="8" t="n">
        <f aca="false">INDEX(Mapping!$C$2:$C$99,MATCH(Q$1&amp;"|"&amp;Customers!Q328,Mapping!$D$2:$D$99,0))</f>
        <v>1</v>
      </c>
      <c r="R328" s="8" t="n">
        <f aca="false">INDEX(Mapping!$C$2:$C$99,MATCH(R$1&amp;"|"&amp;Customers!R328,Mapping!$D$2:$D$99,0))</f>
        <v>3</v>
      </c>
      <c r="S328" s="8" t="n">
        <f aca="false">INDEX(Mapping!$C$2:$C$99,MATCH(S$1&amp;"|"&amp;Customers!S328,Mapping!$D$2:$D$99,0))</f>
        <v>2</v>
      </c>
      <c r="T328" s="8" t="n">
        <f aca="false">INDEX(Mapping!$C$2:$C$99,MATCH(T$1&amp;"|"&amp;Customers!T328,Mapping!$D$2:$D$99,0))</f>
        <v>1</v>
      </c>
      <c r="U328" s="8" t="n">
        <f aca="false">INDEX(Mapping!$C$2:$C$99,MATCH(U$1&amp;"|"&amp;Customers!U328,Mapping!$D$2:$D$99,0))</f>
        <v>3</v>
      </c>
      <c r="V328" s="8" t="n">
        <f aca="false">INDEX(Mapping!$C$2:$C$99,MATCH(V$1&amp;"|"&amp;Customers!V328,Mapping!$D$2:$D$99,0))</f>
        <v>1</v>
      </c>
      <c r="W328" s="17" t="n">
        <f aca="false">SUMPRODUCT($C328:$V328,Weights!$C$27:$V$27)</f>
        <v>2.195</v>
      </c>
      <c r="X328" s="18" t="n">
        <f aca="false">ROUND($W328,2)</f>
        <v>2.2</v>
      </c>
      <c r="Y328" s="8" t="str">
        <f aca="false">IF($X328&lt;=2,"Low",IF($X328&lt;=3.49,"Medium","High"))</f>
        <v>Medium</v>
      </c>
      <c r="Z328" s="8" t="str">
        <f aca="false">IF(OR($F328&gt;=3,$E328=5,$D328=5,$C328=5,$G328=5,$H328=5,$I328=5,$J328=5,Customers!$W328="Yes"),"Yes","No")</f>
        <v>No</v>
      </c>
      <c r="AA328" s="15" t="str">
        <f aca="false">IF($Z328="Yes","High",$Y328)</f>
        <v>Medium</v>
      </c>
      <c r="AB328" s="18" t="n">
        <f aca="false">SUMPRODUCT($C328:$G328,Weights!$C$28:$G$28)</f>
        <v>1.7</v>
      </c>
      <c r="AC328" s="18" t="n">
        <f aca="false">SUMPRODUCT($H328:$J328,Weights!$H$28:$J$28)</f>
        <v>2.2</v>
      </c>
      <c r="AD328" s="18" t="n">
        <f aca="false">SUMPRODUCT($K328:$N328,Weights!$K$28:$N$28)</f>
        <v>2.8</v>
      </c>
      <c r="AE328" s="18" t="n">
        <f aca="false">SUMPRODUCT($O328:$Q328,Weights!$O$28:$Q$28)</f>
        <v>2.6</v>
      </c>
      <c r="AF328" s="18" t="n">
        <f aca="false">SUMPRODUCT($R328:$V328,Weights!$R$28:$V$28)</f>
        <v>2.1</v>
      </c>
      <c r="AH328" s="18" t="n">
        <f aca="false">SUMPRODUCT($AB328:$AF328,Validation!$D$7:$H$7)</f>
        <v>2.2657142857141</v>
      </c>
      <c r="AI328" s="18" t="n">
        <f aca="false">SUMPRODUCT($AB328:$AF328,Validation!$D$8:$H$8)</f>
        <v>2.1242857142859</v>
      </c>
      <c r="AJ328" s="18" t="n">
        <f aca="false">SUMPRODUCT($AB328:$AF328,Validation!$D$9:$H$9)</f>
        <v>2.1943333333334</v>
      </c>
      <c r="AK328" s="18" t="n">
        <f aca="false">SUMPRODUCT($AB328:$AF328,Validation!$D$10:$H$10)</f>
        <v>2.1956666666666</v>
      </c>
      <c r="AL328" s="18" t="n">
        <f aca="false">SUMPRODUCT($AB328:$AF328,Validation!$D$11:$H$11)</f>
        <v>2.119375</v>
      </c>
      <c r="AM328" s="18" t="n">
        <f aca="false">SUMPRODUCT($AB328:$AF328,Validation!$D$12:$H$12)</f>
        <v>2.270625</v>
      </c>
      <c r="AN328" s="18" t="n">
        <f aca="false">SUMPRODUCT($AB328:$AF328,Validation!$D$13:$H$13)</f>
        <v>2.15</v>
      </c>
      <c r="AO328" s="18" t="n">
        <f aca="false">SUMPRODUCT($AB328:$AF328,Validation!$D$14:$H$14)</f>
        <v>2.24</v>
      </c>
      <c r="AP328" s="18" t="n">
        <f aca="false">SUMPRODUCT($AB328:$AF328,Validation!$D$15:$H$15)</f>
        <v>2.2061764705883</v>
      </c>
      <c r="AQ328" s="18" t="n">
        <f aca="false">SUMPRODUCT($AB328:$AF328,Validation!$D$16:$H$16)</f>
        <v>2.1838235294117</v>
      </c>
      <c r="AR328" s="8" t="n">
        <f aca="false">COUNTIF($C328:$V328,"&gt;=4")</f>
        <v>2</v>
      </c>
      <c r="AS328" s="8" t="str">
        <f aca="false">IF($X328&lt;=1.6,"Low",IF($X328&lt;=2.2,"Medium","High"))</f>
        <v>Medium</v>
      </c>
      <c r="AT328" s="8" t="str">
        <f aca="false">IF($AR328=0,"Low",IF($AR328&lt;3,"Medium","High"))</f>
        <v>Medium</v>
      </c>
      <c r="AU328" s="8" t="str">
        <f aca="false">IF(OR($AS328="High",$AT328="High"),"High",IF(OR($AS328="Medium",$AT328="Medium"),"Medium","Low"))</f>
        <v>Medium</v>
      </c>
      <c r="AV328" s="15" t="str">
        <f aca="false">IF($Z328="Yes","High",$AU328)</f>
        <v>Medium</v>
      </c>
    </row>
    <row r="329" customFormat="false" ht="15" hidden="false" customHeight="false" outlineLevel="0" collapsed="false">
      <c r="A329" s="7" t="str">
        <f aca="false">Customers!$A329</f>
        <v>NG-10166</v>
      </c>
      <c r="B329" s="7" t="str">
        <f aca="false">Customers!$B329</f>
        <v>Personal</v>
      </c>
      <c r="C329" s="8" t="n">
        <f aca="false">INDEX(Mapping!$C$2:$C$99,MATCH(C$1&amp;"|"&amp;Customers!C329,Mapping!$D$2:$D$99,0))</f>
        <v>1</v>
      </c>
      <c r="D329" s="8" t="n">
        <f aca="false">INDEX(Mapping!$C$2:$C$99,MATCH(D$1&amp;"|"&amp;Customers!D329,Mapping!$D$2:$D$99,0))</f>
        <v>1</v>
      </c>
      <c r="E329" s="8" t="n">
        <f aca="false">INDEX(Mapping!$C$2:$C$99,MATCH(E$1&amp;"|"&amp;Customers!E329,Mapping!$D$2:$D$99,0))</f>
        <v>1</v>
      </c>
      <c r="F329" s="8" t="n">
        <f aca="false">INDEX(Mapping!$C$2:$C$99,MATCH(F$1&amp;"|"&amp;Customers!F329,Mapping!$D$2:$D$99,0))</f>
        <v>1</v>
      </c>
      <c r="G329" s="8" t="n">
        <f aca="false">INDEX(Mapping!$C$2:$C$99,MATCH(G$1&amp;"|"&amp;Customers!G329,Mapping!$D$2:$D$99,0))</f>
        <v>1</v>
      </c>
      <c r="H329" s="8" t="n">
        <f aca="false">INDEX(Mapping!$C$2:$C$99,MATCH(H$1&amp;"|"&amp;Customers!H329,Mapping!$D$2:$D$99,0))</f>
        <v>1</v>
      </c>
      <c r="I329" s="8" t="n">
        <f aca="false">INDEX(Mapping!$C$2:$C$99,MATCH(I$1&amp;"|"&amp;Customers!I329,Mapping!$D$2:$D$99,0))</f>
        <v>2</v>
      </c>
      <c r="J329" s="8" t="n">
        <f aca="false">INDEX(Mapping!$C$2:$C$99,MATCH(J$1&amp;"|"&amp;Customers!J329,Mapping!$D$2:$D$99,0))</f>
        <v>1</v>
      </c>
      <c r="K329" s="8" t="n">
        <f aca="false">INDEX(Mapping!$C$2:$C$99,MATCH(K$1&amp;"|"&amp;Customers!K329,Mapping!$D$2:$D$99,0))</f>
        <v>1</v>
      </c>
      <c r="L329" s="8" t="n">
        <f aca="false">INDEX(Mapping!$C$2:$C$99,MATCH(L$1&amp;"|"&amp;Customers!L329,Mapping!$D$2:$D$99,0))</f>
        <v>3</v>
      </c>
      <c r="M329" s="8" t="n">
        <f aca="false">INDEX(Mapping!$C$2:$C$99,MATCH(M$1&amp;"|"&amp;Customers!M329,Mapping!$D$2:$D$99,0))</f>
        <v>1</v>
      </c>
      <c r="N329" s="8" t="n">
        <f aca="false">INDEX(Mapping!$C$2:$C$99,MATCH(N$1&amp;"|"&amp;Customers!N329,Mapping!$D$2:$D$99,0))</f>
        <v>1</v>
      </c>
      <c r="O329" s="8" t="n">
        <f aca="false">INDEX(Mapping!$C$2:$C$99,MATCH(O$1&amp;"|"&amp;Customers!O329,Mapping!$D$2:$D$99,0))</f>
        <v>3</v>
      </c>
      <c r="P329" s="8" t="n">
        <f aca="false">INDEX(Mapping!$C$2:$C$99,MATCH(P$1&amp;"|"&amp;Customers!P329,Mapping!$D$2:$D$99,0))</f>
        <v>3</v>
      </c>
      <c r="Q329" s="8" t="n">
        <f aca="false">INDEX(Mapping!$C$2:$C$99,MATCH(Q$1&amp;"|"&amp;Customers!Q329,Mapping!$D$2:$D$99,0))</f>
        <v>1</v>
      </c>
      <c r="R329" s="8" t="n">
        <f aca="false">INDEX(Mapping!$C$2:$C$99,MATCH(R$1&amp;"|"&amp;Customers!R329,Mapping!$D$2:$D$99,0))</f>
        <v>1</v>
      </c>
      <c r="S329" s="8" t="n">
        <f aca="false">INDEX(Mapping!$C$2:$C$99,MATCH(S$1&amp;"|"&amp;Customers!S329,Mapping!$D$2:$D$99,0))</f>
        <v>1</v>
      </c>
      <c r="T329" s="8" t="n">
        <f aca="false">INDEX(Mapping!$C$2:$C$99,MATCH(T$1&amp;"|"&amp;Customers!T329,Mapping!$D$2:$D$99,0))</f>
        <v>2</v>
      </c>
      <c r="U329" s="8" t="n">
        <f aca="false">INDEX(Mapping!$C$2:$C$99,MATCH(U$1&amp;"|"&amp;Customers!U329,Mapping!$D$2:$D$99,0))</f>
        <v>1</v>
      </c>
      <c r="V329" s="8" t="n">
        <f aca="false">INDEX(Mapping!$C$2:$C$99,MATCH(V$1&amp;"|"&amp;Customers!V329,Mapping!$D$2:$D$99,0))</f>
        <v>2</v>
      </c>
      <c r="W329" s="17" t="n">
        <f aca="false">SUMPRODUCT($C329:$V329,Weights!$C$27:$V$27)</f>
        <v>1.355</v>
      </c>
      <c r="X329" s="18" t="n">
        <f aca="false">ROUND($W329,2)</f>
        <v>1.36</v>
      </c>
      <c r="Y329" s="8" t="str">
        <f aca="false">IF($X329&lt;=2,"Low",IF($X329&lt;=3.49,"Medium","High"))</f>
        <v>Low</v>
      </c>
      <c r="Z329" s="8" t="str">
        <f aca="false">IF(OR($F329&gt;=3,$E329=5,$D329=5,$C329=5,$G329=5,$H329=5,$I329=5,$J329=5,Customers!$W329="Yes"),"Yes","No")</f>
        <v>No</v>
      </c>
      <c r="AA329" s="15" t="str">
        <f aca="false">IF($Z329="Yes","High",$Y329)</f>
        <v>Low</v>
      </c>
      <c r="AB329" s="18" t="n">
        <f aca="false">SUMPRODUCT($C329:$G329,Weights!$C$28:$G$28)</f>
        <v>1</v>
      </c>
      <c r="AC329" s="18" t="n">
        <f aca="false">SUMPRODUCT($H329:$J329,Weights!$H$28:$J$28)</f>
        <v>1.2</v>
      </c>
      <c r="AD329" s="18" t="n">
        <f aca="false">SUMPRODUCT($K329:$N329,Weights!$K$28:$N$28)</f>
        <v>1.5</v>
      </c>
      <c r="AE329" s="18" t="n">
        <f aca="false">SUMPRODUCT($O329:$Q329,Weights!$O$28:$Q$28)</f>
        <v>2.6</v>
      </c>
      <c r="AF329" s="18" t="n">
        <f aca="false">SUMPRODUCT($R329:$V329,Weights!$R$28:$V$28)</f>
        <v>1.3</v>
      </c>
      <c r="AH329" s="18" t="n">
        <f aca="false">SUMPRODUCT($AB329:$AF329,Validation!$D$7:$H$7)</f>
        <v>1.4057142857146</v>
      </c>
      <c r="AI329" s="18" t="n">
        <f aca="false">SUMPRODUCT($AB329:$AF329,Validation!$D$8:$H$8)</f>
        <v>1.3042857142854</v>
      </c>
      <c r="AJ329" s="18" t="n">
        <f aca="false">SUMPRODUCT($AB329:$AF329,Validation!$D$9:$H$9)</f>
        <v>1.3756666666663</v>
      </c>
      <c r="AK329" s="18" t="n">
        <f aca="false">SUMPRODUCT($AB329:$AF329,Validation!$D$10:$H$10)</f>
        <v>1.3343333333337</v>
      </c>
      <c r="AL329" s="18" t="n">
        <f aca="false">SUMPRODUCT($AB329:$AF329,Validation!$D$11:$H$11)</f>
        <v>1.336875</v>
      </c>
      <c r="AM329" s="18" t="n">
        <f aca="false">SUMPRODUCT($AB329:$AF329,Validation!$D$12:$H$12)</f>
        <v>1.373125</v>
      </c>
      <c r="AN329" s="18" t="n">
        <f aca="false">SUMPRODUCT($AB329:$AF329,Validation!$D$13:$H$13)</f>
        <v>1.2166666666667</v>
      </c>
      <c r="AO329" s="18" t="n">
        <f aca="false">SUMPRODUCT($AB329:$AF329,Validation!$D$14:$H$14)</f>
        <v>1.4933333333333</v>
      </c>
      <c r="AP329" s="18" t="n">
        <f aca="false">SUMPRODUCT($AB329:$AF329,Validation!$D$15:$H$15)</f>
        <v>1.3614705882349</v>
      </c>
      <c r="AQ329" s="18" t="n">
        <f aca="false">SUMPRODUCT($AB329:$AF329,Validation!$D$16:$H$16)</f>
        <v>1.3485294117651</v>
      </c>
      <c r="AR329" s="8" t="n">
        <f aca="false">COUNTIF($C329:$V329,"&gt;=4")</f>
        <v>0</v>
      </c>
      <c r="AS329" s="8" t="str">
        <f aca="false">IF($X329&lt;=1.6,"Low",IF($X329&lt;=2.2,"Medium","High"))</f>
        <v>Low</v>
      </c>
      <c r="AT329" s="8" t="str">
        <f aca="false">IF($AR329=0,"Low",IF($AR329&lt;3,"Medium","High"))</f>
        <v>Low</v>
      </c>
      <c r="AU329" s="8" t="str">
        <f aca="false">IF(OR($AS329="High",$AT329="High"),"High",IF(OR($AS329="Medium",$AT329="Medium"),"Medium","Low"))</f>
        <v>Low</v>
      </c>
      <c r="AV329" s="15" t="str">
        <f aca="false">IF($Z329="Yes","High",$AU329)</f>
        <v>Low</v>
      </c>
    </row>
    <row r="330" customFormat="false" ht="15" hidden="false" customHeight="false" outlineLevel="0" collapsed="false">
      <c r="A330" s="7" t="str">
        <f aca="false">Customers!$A330</f>
        <v>NG-10095</v>
      </c>
      <c r="B330" s="7" t="str">
        <f aca="false">Customers!$B330</f>
        <v>Personal</v>
      </c>
      <c r="C330" s="8" t="n">
        <f aca="false">INDEX(Mapping!$C$2:$C$99,MATCH(C$1&amp;"|"&amp;Customers!C330,Mapping!$D$2:$D$99,0))</f>
        <v>1</v>
      </c>
      <c r="D330" s="8" t="n">
        <f aca="false">INDEX(Mapping!$C$2:$C$99,MATCH(D$1&amp;"|"&amp;Customers!D330,Mapping!$D$2:$D$99,0))</f>
        <v>1</v>
      </c>
      <c r="E330" s="8" t="n">
        <f aca="false">INDEX(Mapping!$C$2:$C$99,MATCH(E$1&amp;"|"&amp;Customers!E330,Mapping!$D$2:$D$99,0))</f>
        <v>1</v>
      </c>
      <c r="F330" s="8" t="n">
        <f aca="false">INDEX(Mapping!$C$2:$C$99,MATCH(F$1&amp;"|"&amp;Customers!F330,Mapping!$D$2:$D$99,0))</f>
        <v>1</v>
      </c>
      <c r="G330" s="8" t="n">
        <f aca="false">INDEX(Mapping!$C$2:$C$99,MATCH(G$1&amp;"|"&amp;Customers!G330,Mapping!$D$2:$D$99,0))</f>
        <v>1</v>
      </c>
      <c r="H330" s="8" t="n">
        <f aca="false">INDEX(Mapping!$C$2:$C$99,MATCH(H$1&amp;"|"&amp;Customers!H330,Mapping!$D$2:$D$99,0))</f>
        <v>1</v>
      </c>
      <c r="I330" s="8" t="n">
        <f aca="false">INDEX(Mapping!$C$2:$C$99,MATCH(I$1&amp;"|"&amp;Customers!I330,Mapping!$D$2:$D$99,0))</f>
        <v>1</v>
      </c>
      <c r="J330" s="8" t="n">
        <f aca="false">INDEX(Mapping!$C$2:$C$99,MATCH(J$1&amp;"|"&amp;Customers!J330,Mapping!$D$2:$D$99,0))</f>
        <v>1</v>
      </c>
      <c r="K330" s="8" t="n">
        <f aca="false">INDEX(Mapping!$C$2:$C$99,MATCH(K$1&amp;"|"&amp;Customers!K330,Mapping!$D$2:$D$99,0))</f>
        <v>2</v>
      </c>
      <c r="L330" s="8" t="n">
        <f aca="false">INDEX(Mapping!$C$2:$C$99,MATCH(L$1&amp;"|"&amp;Customers!L330,Mapping!$D$2:$D$99,0))</f>
        <v>2</v>
      </c>
      <c r="M330" s="8" t="n">
        <f aca="false">INDEX(Mapping!$C$2:$C$99,MATCH(M$1&amp;"|"&amp;Customers!M330,Mapping!$D$2:$D$99,0))</f>
        <v>2</v>
      </c>
      <c r="N330" s="8" t="n">
        <f aca="false">INDEX(Mapping!$C$2:$C$99,MATCH(N$1&amp;"|"&amp;Customers!N330,Mapping!$D$2:$D$99,0))</f>
        <v>1</v>
      </c>
      <c r="O330" s="8" t="n">
        <f aca="false">INDEX(Mapping!$C$2:$C$99,MATCH(O$1&amp;"|"&amp;Customers!O330,Mapping!$D$2:$D$99,0))</f>
        <v>5</v>
      </c>
      <c r="P330" s="8" t="n">
        <f aca="false">INDEX(Mapping!$C$2:$C$99,MATCH(P$1&amp;"|"&amp;Customers!P330,Mapping!$D$2:$D$99,0))</f>
        <v>3</v>
      </c>
      <c r="Q330" s="8" t="n">
        <f aca="false">INDEX(Mapping!$C$2:$C$99,MATCH(Q$1&amp;"|"&amp;Customers!Q330,Mapping!$D$2:$D$99,0))</f>
        <v>1</v>
      </c>
      <c r="R330" s="8" t="n">
        <f aca="false">INDEX(Mapping!$C$2:$C$99,MATCH(R$1&amp;"|"&amp;Customers!R330,Mapping!$D$2:$D$99,0))</f>
        <v>2</v>
      </c>
      <c r="S330" s="8" t="n">
        <f aca="false">INDEX(Mapping!$C$2:$C$99,MATCH(S$1&amp;"|"&amp;Customers!S330,Mapping!$D$2:$D$99,0))</f>
        <v>3</v>
      </c>
      <c r="T330" s="8" t="n">
        <f aca="false">INDEX(Mapping!$C$2:$C$99,MATCH(T$1&amp;"|"&amp;Customers!T330,Mapping!$D$2:$D$99,0))</f>
        <v>2</v>
      </c>
      <c r="U330" s="8" t="n">
        <f aca="false">INDEX(Mapping!$C$2:$C$99,MATCH(U$1&amp;"|"&amp;Customers!U330,Mapping!$D$2:$D$99,0))</f>
        <v>1</v>
      </c>
      <c r="V330" s="8" t="n">
        <f aca="false">INDEX(Mapping!$C$2:$C$99,MATCH(V$1&amp;"|"&amp;Customers!V330,Mapping!$D$2:$D$99,0))</f>
        <v>1</v>
      </c>
      <c r="W330" s="17" t="n">
        <f aca="false">SUMPRODUCT($C330:$V330,Weights!$C$27:$V$27)</f>
        <v>1.5775</v>
      </c>
      <c r="X330" s="18" t="n">
        <f aca="false">ROUND($W330,2)</f>
        <v>1.58</v>
      </c>
      <c r="Y330" s="8" t="str">
        <f aca="false">IF($X330&lt;=2,"Low",IF($X330&lt;=3.49,"Medium","High"))</f>
        <v>Low</v>
      </c>
      <c r="Z330" s="8" t="str">
        <f aca="false">IF(OR($F330&gt;=3,$E330=5,$D330=5,$C330=5,$G330=5,$H330=5,$I330=5,$J330=5,Customers!$W330="Yes"),"Yes","No")</f>
        <v>No</v>
      </c>
      <c r="AA330" s="15" t="str">
        <f aca="false">IF($Z330="Yes","High",$Y330)</f>
        <v>Low</v>
      </c>
      <c r="AB330" s="18" t="n">
        <f aca="false">SUMPRODUCT($C330:$G330,Weights!$C$28:$G$28)</f>
        <v>1</v>
      </c>
      <c r="AC330" s="18" t="n">
        <f aca="false">SUMPRODUCT($H330:$J330,Weights!$H$28:$J$28)</f>
        <v>1</v>
      </c>
      <c r="AD330" s="18" t="n">
        <f aca="false">SUMPRODUCT($K330:$N330,Weights!$K$28:$N$28)</f>
        <v>1.85</v>
      </c>
      <c r="AE330" s="18" t="n">
        <f aca="false">SUMPRODUCT($O330:$Q330,Weights!$O$28:$Q$28)</f>
        <v>3.5</v>
      </c>
      <c r="AF330" s="18" t="n">
        <f aca="false">SUMPRODUCT($R330:$V330,Weights!$R$28:$V$28)</f>
        <v>2.05</v>
      </c>
      <c r="AH330" s="18" t="n">
        <f aca="false">SUMPRODUCT($AB330:$AF330,Validation!$D$7:$H$7)</f>
        <v>1.6600000000008</v>
      </c>
      <c r="AI330" s="18" t="n">
        <f aca="false">SUMPRODUCT($AB330:$AF330,Validation!$D$8:$H$8)</f>
        <v>1.4949999999992</v>
      </c>
      <c r="AJ330" s="18" t="n">
        <f aca="false">SUMPRODUCT($AB330:$AF330,Validation!$D$9:$H$9)</f>
        <v>1.65449999999945</v>
      </c>
      <c r="AK330" s="18" t="n">
        <f aca="false">SUMPRODUCT($AB330:$AF330,Validation!$D$10:$H$10)</f>
        <v>1.50050000000055</v>
      </c>
      <c r="AL330" s="18" t="n">
        <f aca="false">SUMPRODUCT($AB330:$AF330,Validation!$D$11:$H$11)</f>
        <v>1.5434375</v>
      </c>
      <c r="AM330" s="18" t="n">
        <f aca="false">SUMPRODUCT($AB330:$AF330,Validation!$D$12:$H$12)</f>
        <v>1.6115625</v>
      </c>
      <c r="AN330" s="18" t="n">
        <f aca="false">SUMPRODUCT($AB330:$AF330,Validation!$D$13:$H$13)</f>
        <v>1.36388888888905</v>
      </c>
      <c r="AO330" s="18" t="n">
        <f aca="false">SUMPRODUCT($AB330:$AF330,Validation!$D$14:$H$14)</f>
        <v>1.79111111111095</v>
      </c>
      <c r="AP330" s="18" t="n">
        <f aca="false">SUMPRODUCT($AB330:$AF330,Validation!$D$15:$H$15)</f>
        <v>1.52191176470525</v>
      </c>
      <c r="AQ330" s="18" t="n">
        <f aca="false">SUMPRODUCT($AB330:$AF330,Validation!$D$16:$H$16)</f>
        <v>1.63308823529475</v>
      </c>
      <c r="AR330" s="8" t="n">
        <f aca="false">COUNTIF($C330:$V330,"&gt;=4")</f>
        <v>1</v>
      </c>
      <c r="AS330" s="8" t="str">
        <f aca="false">IF($X330&lt;=1.6,"Low",IF($X330&lt;=2.2,"Medium","High"))</f>
        <v>Low</v>
      </c>
      <c r="AT330" s="8" t="str">
        <f aca="false">IF($AR330=0,"Low",IF($AR330&lt;3,"Medium","High"))</f>
        <v>Medium</v>
      </c>
      <c r="AU330" s="8" t="str">
        <f aca="false">IF(OR($AS330="High",$AT330="High"),"High",IF(OR($AS330="Medium",$AT330="Medium"),"Medium","Low"))</f>
        <v>Medium</v>
      </c>
      <c r="AV330" s="15" t="str">
        <f aca="false">IF($Z330="Yes","High",$AU330)</f>
        <v>Medium</v>
      </c>
    </row>
    <row r="331" customFormat="false" ht="15" hidden="false" customHeight="false" outlineLevel="0" collapsed="false">
      <c r="A331" s="7" t="str">
        <f aca="false">Customers!$A331</f>
        <v>NG-10268</v>
      </c>
      <c r="B331" s="7" t="str">
        <f aca="false">Customers!$B331</f>
        <v>Personal</v>
      </c>
      <c r="C331" s="8" t="n">
        <f aca="false">INDEX(Mapping!$C$2:$C$99,MATCH(C$1&amp;"|"&amp;Customers!C331,Mapping!$D$2:$D$99,0))</f>
        <v>2</v>
      </c>
      <c r="D331" s="8" t="n">
        <f aca="false">INDEX(Mapping!$C$2:$C$99,MATCH(D$1&amp;"|"&amp;Customers!D331,Mapping!$D$2:$D$99,0))</f>
        <v>1</v>
      </c>
      <c r="E331" s="8" t="n">
        <f aca="false">INDEX(Mapping!$C$2:$C$99,MATCH(E$1&amp;"|"&amp;Customers!E331,Mapping!$D$2:$D$99,0))</f>
        <v>1</v>
      </c>
      <c r="F331" s="8" t="n">
        <f aca="false">INDEX(Mapping!$C$2:$C$99,MATCH(F$1&amp;"|"&amp;Customers!F331,Mapping!$D$2:$D$99,0))</f>
        <v>3</v>
      </c>
      <c r="G331" s="8" t="n">
        <f aca="false">INDEX(Mapping!$C$2:$C$99,MATCH(G$1&amp;"|"&amp;Customers!G331,Mapping!$D$2:$D$99,0))</f>
        <v>1</v>
      </c>
      <c r="H331" s="8" t="n">
        <f aca="false">INDEX(Mapping!$C$2:$C$99,MATCH(H$1&amp;"|"&amp;Customers!H331,Mapping!$D$2:$D$99,0))</f>
        <v>1</v>
      </c>
      <c r="I331" s="8" t="n">
        <f aca="false">INDEX(Mapping!$C$2:$C$99,MATCH(I$1&amp;"|"&amp;Customers!I331,Mapping!$D$2:$D$99,0))</f>
        <v>1</v>
      </c>
      <c r="J331" s="8" t="n">
        <f aca="false">INDEX(Mapping!$C$2:$C$99,MATCH(J$1&amp;"|"&amp;Customers!J331,Mapping!$D$2:$D$99,0))</f>
        <v>1</v>
      </c>
      <c r="K331" s="8" t="n">
        <f aca="false">INDEX(Mapping!$C$2:$C$99,MATCH(K$1&amp;"|"&amp;Customers!K331,Mapping!$D$2:$D$99,0))</f>
        <v>2</v>
      </c>
      <c r="L331" s="8" t="n">
        <f aca="false">INDEX(Mapping!$C$2:$C$99,MATCH(L$1&amp;"|"&amp;Customers!L331,Mapping!$D$2:$D$99,0))</f>
        <v>2</v>
      </c>
      <c r="M331" s="8" t="n">
        <f aca="false">INDEX(Mapping!$C$2:$C$99,MATCH(M$1&amp;"|"&amp;Customers!M331,Mapping!$D$2:$D$99,0))</f>
        <v>3</v>
      </c>
      <c r="N331" s="8" t="n">
        <f aca="false">INDEX(Mapping!$C$2:$C$99,MATCH(N$1&amp;"|"&amp;Customers!N331,Mapping!$D$2:$D$99,0))</f>
        <v>1</v>
      </c>
      <c r="O331" s="8" t="n">
        <f aca="false">INDEX(Mapping!$C$2:$C$99,MATCH(O$1&amp;"|"&amp;Customers!O331,Mapping!$D$2:$D$99,0))</f>
        <v>4</v>
      </c>
      <c r="P331" s="8" t="n">
        <f aca="false">INDEX(Mapping!$C$2:$C$99,MATCH(P$1&amp;"|"&amp;Customers!P331,Mapping!$D$2:$D$99,0))</f>
        <v>4</v>
      </c>
      <c r="Q331" s="8" t="n">
        <f aca="false">INDEX(Mapping!$C$2:$C$99,MATCH(Q$1&amp;"|"&amp;Customers!Q331,Mapping!$D$2:$D$99,0))</f>
        <v>5</v>
      </c>
      <c r="R331" s="8" t="n">
        <f aca="false">INDEX(Mapping!$C$2:$C$99,MATCH(R$1&amp;"|"&amp;Customers!R331,Mapping!$D$2:$D$99,0))</f>
        <v>2</v>
      </c>
      <c r="S331" s="8" t="n">
        <f aca="false">INDEX(Mapping!$C$2:$C$99,MATCH(S$1&amp;"|"&amp;Customers!S331,Mapping!$D$2:$D$99,0))</f>
        <v>2</v>
      </c>
      <c r="T331" s="8" t="n">
        <f aca="false">INDEX(Mapping!$C$2:$C$99,MATCH(T$1&amp;"|"&amp;Customers!T331,Mapping!$D$2:$D$99,0))</f>
        <v>1</v>
      </c>
      <c r="U331" s="8" t="n">
        <f aca="false">INDEX(Mapping!$C$2:$C$99,MATCH(U$1&amp;"|"&amp;Customers!U331,Mapping!$D$2:$D$99,0))</f>
        <v>4</v>
      </c>
      <c r="V331" s="8" t="n">
        <f aca="false">INDEX(Mapping!$C$2:$C$99,MATCH(V$1&amp;"|"&amp;Customers!V331,Mapping!$D$2:$D$99,0))</f>
        <v>1</v>
      </c>
      <c r="W331" s="17" t="n">
        <f aca="false">SUMPRODUCT($C331:$V331,Weights!$C$27:$V$27)</f>
        <v>1.87</v>
      </c>
      <c r="X331" s="18" t="n">
        <f aca="false">ROUND($W331,2)</f>
        <v>1.87</v>
      </c>
      <c r="Y331" s="8" t="str">
        <f aca="false">IF($X331&lt;=2,"Low",IF($X331&lt;=3.49,"Medium","High"))</f>
        <v>Low</v>
      </c>
      <c r="Z331" s="8" t="str">
        <f aca="false">IF(OR($F331&gt;=3,$E331=5,$D331=5,$C331=5,$G331=5,$H331=5,$I331=5,$J331=5,Customers!$W331="Yes"),"Yes","No")</f>
        <v>Yes</v>
      </c>
      <c r="AA331" s="15" t="str">
        <f aca="false">IF($Z331="Yes","High",$Y331)</f>
        <v>High</v>
      </c>
      <c r="AB331" s="18" t="n">
        <f aca="false">SUMPRODUCT($C331:$G331,Weights!$C$28:$G$28)</f>
        <v>1.6</v>
      </c>
      <c r="AC331" s="18" t="n">
        <f aca="false">SUMPRODUCT($H331:$J331,Weights!$H$28:$J$28)</f>
        <v>1</v>
      </c>
      <c r="AD331" s="18" t="n">
        <f aca="false">SUMPRODUCT($K331:$N331,Weights!$K$28:$N$28)</f>
        <v>2.1</v>
      </c>
      <c r="AE331" s="18" t="n">
        <f aca="false">SUMPRODUCT($O331:$Q331,Weights!$O$28:$Q$28)</f>
        <v>4.2</v>
      </c>
      <c r="AF331" s="18" t="n">
        <f aca="false">SUMPRODUCT($R331:$V331,Weights!$R$28:$V$28)</f>
        <v>2</v>
      </c>
      <c r="AH331" s="18" t="n">
        <f aca="false">SUMPRODUCT($AB331:$AF331,Validation!$D$7:$H$7)</f>
        <v>1.9085714285723</v>
      </c>
      <c r="AI331" s="18" t="n">
        <f aca="false">SUMPRODUCT($AB331:$AF331,Validation!$D$8:$H$8)</f>
        <v>1.8314285714277</v>
      </c>
      <c r="AJ331" s="18" t="n">
        <f aca="false">SUMPRODUCT($AB331:$AF331,Validation!$D$9:$H$9)</f>
        <v>1.9859999999993</v>
      </c>
      <c r="AK331" s="18" t="n">
        <f aca="false">SUMPRODUCT($AB331:$AF331,Validation!$D$10:$H$10)</f>
        <v>1.7540000000007</v>
      </c>
      <c r="AL331" s="18" t="n">
        <f aca="false">SUMPRODUCT($AB331:$AF331,Validation!$D$11:$H$11)</f>
        <v>1.84125</v>
      </c>
      <c r="AM331" s="18" t="n">
        <f aca="false">SUMPRODUCT($AB331:$AF331,Validation!$D$12:$H$12)</f>
        <v>1.89875</v>
      </c>
      <c r="AN331" s="18" t="n">
        <f aca="false">SUMPRODUCT($AB331:$AF331,Validation!$D$13:$H$13)</f>
        <v>1.611111111111</v>
      </c>
      <c r="AO331" s="18" t="n">
        <f aca="false">SUMPRODUCT($AB331:$AF331,Validation!$D$14:$H$14)</f>
        <v>2.128888888889</v>
      </c>
      <c r="AP331" s="18" t="n">
        <f aca="false">SUMPRODUCT($AB331:$AF331,Validation!$D$15:$H$15)</f>
        <v>1.8547058823521</v>
      </c>
      <c r="AQ331" s="18" t="n">
        <f aca="false">SUMPRODUCT($AB331:$AF331,Validation!$D$16:$H$16)</f>
        <v>1.8852941176479</v>
      </c>
      <c r="AR331" s="8" t="n">
        <f aca="false">COUNTIF($C331:$V331,"&gt;=4")</f>
        <v>4</v>
      </c>
      <c r="AS331" s="8" t="str">
        <f aca="false">IF($X331&lt;=1.6,"Low",IF($X331&lt;=2.2,"Medium","High"))</f>
        <v>Medium</v>
      </c>
      <c r="AT331" s="8" t="str">
        <f aca="false">IF($AR331=0,"Low",IF($AR331&lt;3,"Medium","High"))</f>
        <v>High</v>
      </c>
      <c r="AU331" s="8" t="str">
        <f aca="false">IF(OR($AS331="High",$AT331="High"),"High",IF(OR($AS331="Medium",$AT331="Medium"),"Medium","Low"))</f>
        <v>High</v>
      </c>
      <c r="AV331" s="15" t="str">
        <f aca="false">IF($Z331="Yes","High",$AU331)</f>
        <v>High</v>
      </c>
    </row>
    <row r="332" customFormat="false" ht="15" hidden="false" customHeight="false" outlineLevel="0" collapsed="false">
      <c r="A332" s="7" t="str">
        <f aca="false">Customers!$A332</f>
        <v>NG-10167</v>
      </c>
      <c r="B332" s="7" t="str">
        <f aca="false">Customers!$B332</f>
        <v>Personal</v>
      </c>
      <c r="C332" s="8" t="n">
        <f aca="false">INDEX(Mapping!$C$2:$C$99,MATCH(C$1&amp;"|"&amp;Customers!C332,Mapping!$D$2:$D$99,0))</f>
        <v>1</v>
      </c>
      <c r="D332" s="8" t="n">
        <f aca="false">INDEX(Mapping!$C$2:$C$99,MATCH(D$1&amp;"|"&amp;Customers!D332,Mapping!$D$2:$D$99,0))</f>
        <v>1</v>
      </c>
      <c r="E332" s="8" t="n">
        <f aca="false">INDEX(Mapping!$C$2:$C$99,MATCH(E$1&amp;"|"&amp;Customers!E332,Mapping!$D$2:$D$99,0))</f>
        <v>3</v>
      </c>
      <c r="F332" s="8" t="n">
        <f aca="false">INDEX(Mapping!$C$2:$C$99,MATCH(F$1&amp;"|"&amp;Customers!F332,Mapping!$D$2:$D$99,0))</f>
        <v>1</v>
      </c>
      <c r="G332" s="8" t="n">
        <f aca="false">INDEX(Mapping!$C$2:$C$99,MATCH(G$1&amp;"|"&amp;Customers!G332,Mapping!$D$2:$D$99,0))</f>
        <v>1</v>
      </c>
      <c r="H332" s="8" t="n">
        <f aca="false">INDEX(Mapping!$C$2:$C$99,MATCH(H$1&amp;"|"&amp;Customers!H332,Mapping!$D$2:$D$99,0))</f>
        <v>1</v>
      </c>
      <c r="I332" s="8" t="n">
        <f aca="false">INDEX(Mapping!$C$2:$C$99,MATCH(I$1&amp;"|"&amp;Customers!I332,Mapping!$D$2:$D$99,0))</f>
        <v>1</v>
      </c>
      <c r="J332" s="8" t="n">
        <f aca="false">INDEX(Mapping!$C$2:$C$99,MATCH(J$1&amp;"|"&amp;Customers!J332,Mapping!$D$2:$D$99,0))</f>
        <v>1</v>
      </c>
      <c r="K332" s="8" t="n">
        <f aca="false">INDEX(Mapping!$C$2:$C$99,MATCH(K$1&amp;"|"&amp;Customers!K332,Mapping!$D$2:$D$99,0))</f>
        <v>1</v>
      </c>
      <c r="L332" s="8" t="n">
        <f aca="false">INDEX(Mapping!$C$2:$C$99,MATCH(L$1&amp;"|"&amp;Customers!L332,Mapping!$D$2:$D$99,0))</f>
        <v>2</v>
      </c>
      <c r="M332" s="8" t="n">
        <f aca="false">INDEX(Mapping!$C$2:$C$99,MATCH(M$1&amp;"|"&amp;Customers!M332,Mapping!$D$2:$D$99,0))</f>
        <v>3</v>
      </c>
      <c r="N332" s="8" t="n">
        <f aca="false">INDEX(Mapping!$C$2:$C$99,MATCH(N$1&amp;"|"&amp;Customers!N332,Mapping!$D$2:$D$99,0))</f>
        <v>2</v>
      </c>
      <c r="O332" s="8" t="n">
        <f aca="false">INDEX(Mapping!$C$2:$C$99,MATCH(O$1&amp;"|"&amp;Customers!O332,Mapping!$D$2:$D$99,0))</f>
        <v>4</v>
      </c>
      <c r="P332" s="8" t="n">
        <f aca="false">INDEX(Mapping!$C$2:$C$99,MATCH(P$1&amp;"|"&amp;Customers!P332,Mapping!$D$2:$D$99,0))</f>
        <v>1</v>
      </c>
      <c r="Q332" s="8" t="n">
        <f aca="false">INDEX(Mapping!$C$2:$C$99,MATCH(Q$1&amp;"|"&amp;Customers!Q332,Mapping!$D$2:$D$99,0))</f>
        <v>2</v>
      </c>
      <c r="R332" s="8" t="n">
        <f aca="false">INDEX(Mapping!$C$2:$C$99,MATCH(R$1&amp;"|"&amp;Customers!R332,Mapping!$D$2:$D$99,0))</f>
        <v>1</v>
      </c>
      <c r="S332" s="8" t="n">
        <f aca="false">INDEX(Mapping!$C$2:$C$99,MATCH(S$1&amp;"|"&amp;Customers!S332,Mapping!$D$2:$D$99,0))</f>
        <v>2</v>
      </c>
      <c r="T332" s="8" t="n">
        <f aca="false">INDEX(Mapping!$C$2:$C$99,MATCH(T$1&amp;"|"&amp;Customers!T332,Mapping!$D$2:$D$99,0))</f>
        <v>1</v>
      </c>
      <c r="U332" s="8" t="n">
        <f aca="false">INDEX(Mapping!$C$2:$C$99,MATCH(U$1&amp;"|"&amp;Customers!U332,Mapping!$D$2:$D$99,0))</f>
        <v>1</v>
      </c>
      <c r="V332" s="8" t="n">
        <f aca="false">INDEX(Mapping!$C$2:$C$99,MATCH(V$1&amp;"|"&amp;Customers!V332,Mapping!$D$2:$D$99,0))</f>
        <v>1</v>
      </c>
      <c r="W332" s="17" t="n">
        <f aca="false">SUMPRODUCT($C332:$V332,Weights!$C$27:$V$27)</f>
        <v>1.53</v>
      </c>
      <c r="X332" s="18" t="n">
        <f aca="false">ROUND($W332,2)</f>
        <v>1.53</v>
      </c>
      <c r="Y332" s="8" t="str">
        <f aca="false">IF($X332&lt;=2,"Low",IF($X332&lt;=3.49,"Medium","High"))</f>
        <v>Low</v>
      </c>
      <c r="Z332" s="8" t="str">
        <f aca="false">IF(OR($F332&gt;=3,$E332=5,$D332=5,$C332=5,$G332=5,$H332=5,$I332=5,$J332=5,Customers!$W332="Yes"),"Yes","No")</f>
        <v>No</v>
      </c>
      <c r="AA332" s="15" t="str">
        <f aca="false">IF($Z332="Yes","High",$Y332)</f>
        <v>Low</v>
      </c>
      <c r="AB332" s="18" t="n">
        <f aca="false">SUMPRODUCT($C332:$G332,Weights!$C$28:$G$28)</f>
        <v>1.5</v>
      </c>
      <c r="AC332" s="18" t="n">
        <f aca="false">SUMPRODUCT($H332:$J332,Weights!$H$28:$J$28)</f>
        <v>1</v>
      </c>
      <c r="AD332" s="18" t="n">
        <f aca="false">SUMPRODUCT($K332:$N332,Weights!$K$28:$N$28)</f>
        <v>1.9</v>
      </c>
      <c r="AE332" s="18" t="n">
        <f aca="false">SUMPRODUCT($O332:$Q332,Weights!$O$28:$Q$28)</f>
        <v>2.55</v>
      </c>
      <c r="AF332" s="18" t="n">
        <f aca="false">SUMPRODUCT($R332:$V332,Weights!$R$28:$V$28)</f>
        <v>1.3</v>
      </c>
      <c r="AH332" s="18" t="n">
        <f aca="false">SUMPRODUCT($AB332:$AF332,Validation!$D$7:$H$7)</f>
        <v>1.5342857142859</v>
      </c>
      <c r="AI332" s="18" t="n">
        <f aca="false">SUMPRODUCT($AB332:$AF332,Validation!$D$8:$H$8)</f>
        <v>1.5257142857141</v>
      </c>
      <c r="AJ332" s="18" t="n">
        <f aca="false">SUMPRODUCT($AB332:$AF332,Validation!$D$9:$H$9)</f>
        <v>1.60066666666645</v>
      </c>
      <c r="AK332" s="18" t="n">
        <f aca="false">SUMPRODUCT($AB332:$AF332,Validation!$D$10:$H$10)</f>
        <v>1.45933333333355</v>
      </c>
      <c r="AL332" s="18" t="n">
        <f aca="false">SUMPRODUCT($AB332:$AF332,Validation!$D$11:$H$11)</f>
        <v>1.48375</v>
      </c>
      <c r="AM332" s="18" t="n">
        <f aca="false">SUMPRODUCT($AB332:$AF332,Validation!$D$12:$H$12)</f>
        <v>1.57625</v>
      </c>
      <c r="AN332" s="18" t="n">
        <f aca="false">SUMPRODUCT($AB332:$AF332,Validation!$D$13:$H$13)</f>
        <v>1.4166666666664</v>
      </c>
      <c r="AO332" s="18" t="n">
        <f aca="false">SUMPRODUCT($AB332:$AF332,Validation!$D$14:$H$14)</f>
        <v>1.6433333333336</v>
      </c>
      <c r="AP332" s="18" t="n">
        <f aca="false">SUMPRODUCT($AB332:$AF332,Validation!$D$15:$H$15)</f>
        <v>1.5570588235291</v>
      </c>
      <c r="AQ332" s="18" t="n">
        <f aca="false">SUMPRODUCT($AB332:$AF332,Validation!$D$16:$H$16)</f>
        <v>1.5029411764709</v>
      </c>
      <c r="AR332" s="8" t="n">
        <f aca="false">COUNTIF($C332:$V332,"&gt;=4")</f>
        <v>1</v>
      </c>
      <c r="AS332" s="8" t="str">
        <f aca="false">IF($X332&lt;=1.6,"Low",IF($X332&lt;=2.2,"Medium","High"))</f>
        <v>Low</v>
      </c>
      <c r="AT332" s="8" t="str">
        <f aca="false">IF($AR332=0,"Low",IF($AR332&lt;3,"Medium","High"))</f>
        <v>Medium</v>
      </c>
      <c r="AU332" s="8" t="str">
        <f aca="false">IF(OR($AS332="High",$AT332="High"),"High",IF(OR($AS332="Medium",$AT332="Medium"),"Medium","Low"))</f>
        <v>Medium</v>
      </c>
      <c r="AV332" s="15" t="str">
        <f aca="false">IF($Z332="Yes","High",$AU332)</f>
        <v>Medium</v>
      </c>
    </row>
    <row r="333" customFormat="false" ht="15" hidden="false" customHeight="false" outlineLevel="0" collapsed="false">
      <c r="A333" s="7" t="str">
        <f aca="false">Customers!$A333</f>
        <v>NG-10321</v>
      </c>
      <c r="B333" s="7" t="str">
        <f aca="false">Customers!$B333</f>
        <v>Sole trader</v>
      </c>
      <c r="C333" s="8" t="n">
        <f aca="false">INDEX(Mapping!$C$2:$C$99,MATCH(C$1&amp;"|"&amp;Customers!C333,Mapping!$D$2:$D$99,0))</f>
        <v>2</v>
      </c>
      <c r="D333" s="8" t="n">
        <f aca="false">INDEX(Mapping!$C$2:$C$99,MATCH(D$1&amp;"|"&amp;Customers!D333,Mapping!$D$2:$D$99,0))</f>
        <v>1</v>
      </c>
      <c r="E333" s="8" t="n">
        <f aca="false">INDEX(Mapping!$C$2:$C$99,MATCH(E$1&amp;"|"&amp;Customers!E333,Mapping!$D$2:$D$99,0))</f>
        <v>4</v>
      </c>
      <c r="F333" s="8" t="n">
        <f aca="false">INDEX(Mapping!$C$2:$C$99,MATCH(F$1&amp;"|"&amp;Customers!F333,Mapping!$D$2:$D$99,0))</f>
        <v>1</v>
      </c>
      <c r="G333" s="8" t="n">
        <f aca="false">INDEX(Mapping!$C$2:$C$99,MATCH(G$1&amp;"|"&amp;Customers!G333,Mapping!$D$2:$D$99,0))</f>
        <v>1</v>
      </c>
      <c r="H333" s="8" t="n">
        <f aca="false">INDEX(Mapping!$C$2:$C$99,MATCH(H$1&amp;"|"&amp;Customers!H333,Mapping!$D$2:$D$99,0))</f>
        <v>1</v>
      </c>
      <c r="I333" s="8" t="n">
        <f aca="false">INDEX(Mapping!$C$2:$C$99,MATCH(I$1&amp;"|"&amp;Customers!I333,Mapping!$D$2:$D$99,0))</f>
        <v>1</v>
      </c>
      <c r="J333" s="8" t="n">
        <f aca="false">INDEX(Mapping!$C$2:$C$99,MATCH(J$1&amp;"|"&amp;Customers!J333,Mapping!$D$2:$D$99,0))</f>
        <v>2</v>
      </c>
      <c r="K333" s="8" t="n">
        <f aca="false">INDEX(Mapping!$C$2:$C$99,MATCH(K$1&amp;"|"&amp;Customers!K333,Mapping!$D$2:$D$99,0))</f>
        <v>4</v>
      </c>
      <c r="L333" s="8" t="n">
        <f aca="false">INDEX(Mapping!$C$2:$C$99,MATCH(L$1&amp;"|"&amp;Customers!L333,Mapping!$D$2:$D$99,0))</f>
        <v>4</v>
      </c>
      <c r="M333" s="8" t="n">
        <f aca="false">INDEX(Mapping!$C$2:$C$99,MATCH(M$1&amp;"|"&amp;Customers!M333,Mapping!$D$2:$D$99,0))</f>
        <v>2</v>
      </c>
      <c r="N333" s="8" t="n">
        <f aca="false">INDEX(Mapping!$C$2:$C$99,MATCH(N$1&amp;"|"&amp;Customers!N333,Mapping!$D$2:$D$99,0))</f>
        <v>1</v>
      </c>
      <c r="O333" s="8" t="n">
        <f aca="false">INDEX(Mapping!$C$2:$C$99,MATCH(O$1&amp;"|"&amp;Customers!O333,Mapping!$D$2:$D$99,0))</f>
        <v>3</v>
      </c>
      <c r="P333" s="8" t="n">
        <f aca="false">INDEX(Mapping!$C$2:$C$99,MATCH(P$1&amp;"|"&amp;Customers!P333,Mapping!$D$2:$D$99,0))</f>
        <v>3</v>
      </c>
      <c r="Q333" s="8" t="n">
        <f aca="false">INDEX(Mapping!$C$2:$C$99,MATCH(Q$1&amp;"|"&amp;Customers!Q333,Mapping!$D$2:$D$99,0))</f>
        <v>4</v>
      </c>
      <c r="R333" s="8" t="n">
        <f aca="false">INDEX(Mapping!$C$2:$C$99,MATCH(R$1&amp;"|"&amp;Customers!R333,Mapping!$D$2:$D$99,0))</f>
        <v>1</v>
      </c>
      <c r="S333" s="8" t="n">
        <f aca="false">INDEX(Mapping!$C$2:$C$99,MATCH(S$1&amp;"|"&amp;Customers!S333,Mapping!$D$2:$D$99,0))</f>
        <v>3</v>
      </c>
      <c r="T333" s="8" t="n">
        <f aca="false">INDEX(Mapping!$C$2:$C$99,MATCH(T$1&amp;"|"&amp;Customers!T333,Mapping!$D$2:$D$99,0))</f>
        <v>4</v>
      </c>
      <c r="U333" s="8" t="n">
        <f aca="false">INDEX(Mapping!$C$2:$C$99,MATCH(U$1&amp;"|"&amp;Customers!U333,Mapping!$D$2:$D$99,0))</f>
        <v>2</v>
      </c>
      <c r="V333" s="8" t="n">
        <f aca="false">INDEX(Mapping!$C$2:$C$99,MATCH(V$1&amp;"|"&amp;Customers!V333,Mapping!$D$2:$D$99,0))</f>
        <v>1</v>
      </c>
      <c r="W333" s="17" t="n">
        <f aca="false">SUMPRODUCT($C333:$V333,Weights!$C$27:$V$27)</f>
        <v>2.2175</v>
      </c>
      <c r="X333" s="18" t="n">
        <f aca="false">ROUND($W333,2)</f>
        <v>2.22</v>
      </c>
      <c r="Y333" s="8" t="str">
        <f aca="false">IF($X333&lt;=2,"Low",IF($X333&lt;=3.49,"Medium","High"))</f>
        <v>Medium</v>
      </c>
      <c r="Z333" s="8" t="str">
        <f aca="false">IF(OR($F333&gt;=3,$E333=5,$D333=5,$C333=5,$G333=5,$H333=5,$I333=5,$J333=5,Customers!$W333="Yes"),"Yes","No")</f>
        <v>No</v>
      </c>
      <c r="AA333" s="15" t="str">
        <f aca="false">IF($Z333="Yes","High",$Y333)</f>
        <v>Medium</v>
      </c>
      <c r="AB333" s="18" t="n">
        <f aca="false">SUMPRODUCT($C333:$G333,Weights!$C$28:$G$28)</f>
        <v>1.95</v>
      </c>
      <c r="AC333" s="18" t="n">
        <f aca="false">SUMPRODUCT($H333:$J333,Weights!$H$28:$J$28)</f>
        <v>1.4</v>
      </c>
      <c r="AD333" s="18" t="n">
        <f aca="false">SUMPRODUCT($K333:$N333,Weights!$K$28:$N$28)</f>
        <v>3.05</v>
      </c>
      <c r="AE333" s="18" t="n">
        <f aca="false">SUMPRODUCT($O333:$Q333,Weights!$O$28:$Q$28)</f>
        <v>3.2</v>
      </c>
      <c r="AF333" s="18" t="n">
        <f aca="false">SUMPRODUCT($R333:$V333,Weights!$R$28:$V$28)</f>
        <v>2.35</v>
      </c>
      <c r="AH333" s="18" t="n">
        <f aca="false">SUMPRODUCT($AB333:$AF333,Validation!$D$7:$H$7)</f>
        <v>2.2557142857145</v>
      </c>
      <c r="AI333" s="18" t="n">
        <f aca="false">SUMPRODUCT($AB333:$AF333,Validation!$D$8:$H$8)</f>
        <v>2.1792857142855</v>
      </c>
      <c r="AJ333" s="18" t="n">
        <f aca="false">SUMPRODUCT($AB333:$AF333,Validation!$D$9:$H$9)</f>
        <v>2.32649999999995</v>
      </c>
      <c r="AK333" s="18" t="n">
        <f aca="false">SUMPRODUCT($AB333:$AF333,Validation!$D$10:$H$10)</f>
        <v>2.10850000000005</v>
      </c>
      <c r="AL333" s="18" t="n">
        <f aca="false">SUMPRODUCT($AB333:$AF333,Validation!$D$11:$H$11)</f>
        <v>2.1134375</v>
      </c>
      <c r="AM333" s="18" t="n">
        <f aca="false">SUMPRODUCT($AB333:$AF333,Validation!$D$12:$H$12)</f>
        <v>2.3215625</v>
      </c>
      <c r="AN333" s="18" t="n">
        <f aca="false">SUMPRODUCT($AB333:$AF333,Validation!$D$13:$H$13)</f>
        <v>2.1083333333331</v>
      </c>
      <c r="AO333" s="18" t="n">
        <f aca="false">SUMPRODUCT($AB333:$AF333,Validation!$D$14:$H$14)</f>
        <v>2.3266666666669</v>
      </c>
      <c r="AP333" s="18" t="n">
        <f aca="false">SUMPRODUCT($AB333:$AF333,Validation!$D$15:$H$15)</f>
        <v>2.2019117647057</v>
      </c>
      <c r="AQ333" s="18" t="n">
        <f aca="false">SUMPRODUCT($AB333:$AF333,Validation!$D$16:$H$16)</f>
        <v>2.2330882352943</v>
      </c>
      <c r="AR333" s="8" t="n">
        <f aca="false">COUNTIF($C333:$V333,"&gt;=4")</f>
        <v>5</v>
      </c>
      <c r="AS333" s="8" t="str">
        <f aca="false">IF($X333&lt;=1.6,"Low",IF($X333&lt;=2.2,"Medium","High"))</f>
        <v>High</v>
      </c>
      <c r="AT333" s="8" t="str">
        <f aca="false">IF($AR333=0,"Low",IF($AR333&lt;3,"Medium","High"))</f>
        <v>High</v>
      </c>
      <c r="AU333" s="8" t="str">
        <f aca="false">IF(OR($AS333="High",$AT333="High"),"High",IF(OR($AS333="Medium",$AT333="Medium"),"Medium","Low"))</f>
        <v>High</v>
      </c>
      <c r="AV333" s="15" t="str">
        <f aca="false">IF($Z333="Yes","High",$AU333)</f>
        <v>High</v>
      </c>
    </row>
    <row r="334" customFormat="false" ht="15" hidden="false" customHeight="false" outlineLevel="0" collapsed="false">
      <c r="A334" s="7" t="str">
        <f aca="false">Customers!$A334</f>
        <v>NG-10348</v>
      </c>
      <c r="B334" s="7" t="str">
        <f aca="false">Customers!$B334</f>
        <v>Sole trader</v>
      </c>
      <c r="C334" s="8" t="n">
        <f aca="false">INDEX(Mapping!$C$2:$C$99,MATCH(C$1&amp;"|"&amp;Customers!C334,Mapping!$D$2:$D$99,0))</f>
        <v>2</v>
      </c>
      <c r="D334" s="8" t="n">
        <f aca="false">INDEX(Mapping!$C$2:$C$99,MATCH(D$1&amp;"|"&amp;Customers!D334,Mapping!$D$2:$D$99,0))</f>
        <v>1</v>
      </c>
      <c r="E334" s="8" t="n">
        <f aca="false">INDEX(Mapping!$C$2:$C$99,MATCH(E$1&amp;"|"&amp;Customers!E334,Mapping!$D$2:$D$99,0))</f>
        <v>3</v>
      </c>
      <c r="F334" s="8" t="n">
        <f aca="false">INDEX(Mapping!$C$2:$C$99,MATCH(F$1&amp;"|"&amp;Customers!F334,Mapping!$D$2:$D$99,0))</f>
        <v>1</v>
      </c>
      <c r="G334" s="8" t="n">
        <f aca="false">INDEX(Mapping!$C$2:$C$99,MATCH(G$1&amp;"|"&amp;Customers!G334,Mapping!$D$2:$D$99,0))</f>
        <v>3</v>
      </c>
      <c r="H334" s="8" t="n">
        <f aca="false">INDEX(Mapping!$C$2:$C$99,MATCH(H$1&amp;"|"&amp;Customers!H334,Mapping!$D$2:$D$99,0))</f>
        <v>1</v>
      </c>
      <c r="I334" s="8" t="n">
        <f aca="false">INDEX(Mapping!$C$2:$C$99,MATCH(I$1&amp;"|"&amp;Customers!I334,Mapping!$D$2:$D$99,0))</f>
        <v>1</v>
      </c>
      <c r="J334" s="8" t="n">
        <f aca="false">INDEX(Mapping!$C$2:$C$99,MATCH(J$1&amp;"|"&amp;Customers!J334,Mapping!$D$2:$D$99,0))</f>
        <v>3</v>
      </c>
      <c r="K334" s="8" t="n">
        <f aca="false">INDEX(Mapping!$C$2:$C$99,MATCH(K$1&amp;"|"&amp;Customers!K334,Mapping!$D$2:$D$99,0))</f>
        <v>4</v>
      </c>
      <c r="L334" s="8" t="n">
        <f aca="false">INDEX(Mapping!$C$2:$C$99,MATCH(L$1&amp;"|"&amp;Customers!L334,Mapping!$D$2:$D$99,0))</f>
        <v>3</v>
      </c>
      <c r="M334" s="8" t="n">
        <f aca="false">INDEX(Mapping!$C$2:$C$99,MATCH(M$1&amp;"|"&amp;Customers!M334,Mapping!$D$2:$D$99,0))</f>
        <v>2</v>
      </c>
      <c r="N334" s="8" t="n">
        <f aca="false">INDEX(Mapping!$C$2:$C$99,MATCH(N$1&amp;"|"&amp;Customers!N334,Mapping!$D$2:$D$99,0))</f>
        <v>1</v>
      </c>
      <c r="O334" s="8" t="n">
        <f aca="false">INDEX(Mapping!$C$2:$C$99,MATCH(O$1&amp;"|"&amp;Customers!O334,Mapping!$D$2:$D$99,0))</f>
        <v>4</v>
      </c>
      <c r="P334" s="8" t="n">
        <f aca="false">INDEX(Mapping!$C$2:$C$99,MATCH(P$1&amp;"|"&amp;Customers!P334,Mapping!$D$2:$D$99,0))</f>
        <v>4</v>
      </c>
      <c r="Q334" s="8" t="n">
        <f aca="false">INDEX(Mapping!$C$2:$C$99,MATCH(Q$1&amp;"|"&amp;Customers!Q334,Mapping!$D$2:$D$99,0))</f>
        <v>1</v>
      </c>
      <c r="R334" s="8" t="n">
        <f aca="false">INDEX(Mapping!$C$2:$C$99,MATCH(R$1&amp;"|"&amp;Customers!R334,Mapping!$D$2:$D$99,0))</f>
        <v>2</v>
      </c>
      <c r="S334" s="8" t="n">
        <f aca="false">INDEX(Mapping!$C$2:$C$99,MATCH(S$1&amp;"|"&amp;Customers!S334,Mapping!$D$2:$D$99,0))</f>
        <v>5</v>
      </c>
      <c r="T334" s="8" t="n">
        <f aca="false">INDEX(Mapping!$C$2:$C$99,MATCH(T$1&amp;"|"&amp;Customers!T334,Mapping!$D$2:$D$99,0))</f>
        <v>3</v>
      </c>
      <c r="U334" s="8" t="n">
        <f aca="false">INDEX(Mapping!$C$2:$C$99,MATCH(U$1&amp;"|"&amp;Customers!U334,Mapping!$D$2:$D$99,0))</f>
        <v>2</v>
      </c>
      <c r="V334" s="8" t="n">
        <f aca="false">INDEX(Mapping!$C$2:$C$99,MATCH(V$1&amp;"|"&amp;Customers!V334,Mapping!$D$2:$D$99,0))</f>
        <v>2</v>
      </c>
      <c r="W334" s="17" t="n">
        <f aca="false">SUMPRODUCT($C334:$V334,Weights!$C$27:$V$27)</f>
        <v>2.415</v>
      </c>
      <c r="X334" s="18" t="n">
        <f aca="false">ROUND($W334,2)</f>
        <v>2.42</v>
      </c>
      <c r="Y334" s="8" t="str">
        <f aca="false">IF($X334&lt;=2,"Low",IF($X334&lt;=3.49,"Medium","High"))</f>
        <v>Medium</v>
      </c>
      <c r="Z334" s="8" t="str">
        <f aca="false">IF(OR($F334&gt;=3,$E334=5,$D334=5,$C334=5,$G334=5,$H334=5,$I334=5,$J334=5,Customers!$W334="Yes"),"Yes","No")</f>
        <v>No</v>
      </c>
      <c r="AA334" s="15" t="str">
        <f aca="false">IF($Z334="Yes","High",$Y334)</f>
        <v>Medium</v>
      </c>
      <c r="AB334" s="18" t="n">
        <f aca="false">SUMPRODUCT($C334:$G334,Weights!$C$28:$G$28)</f>
        <v>2</v>
      </c>
      <c r="AC334" s="18" t="n">
        <f aca="false">SUMPRODUCT($H334:$J334,Weights!$H$28:$J$28)</f>
        <v>1.8</v>
      </c>
      <c r="AD334" s="18" t="n">
        <f aca="false">SUMPRODUCT($K334:$N334,Weights!$K$28:$N$28)</f>
        <v>2.8</v>
      </c>
      <c r="AE334" s="18" t="n">
        <f aca="false">SUMPRODUCT($O334:$Q334,Weights!$O$28:$Q$28)</f>
        <v>3.4</v>
      </c>
      <c r="AF334" s="18" t="n">
        <f aca="false">SUMPRODUCT($R334:$V334,Weights!$R$28:$V$28)</f>
        <v>3.1</v>
      </c>
      <c r="AH334" s="18" t="n">
        <f aca="false">SUMPRODUCT($AB334:$AF334,Validation!$D$7:$H$7)</f>
        <v>2.4742857142863</v>
      </c>
      <c r="AI334" s="18" t="n">
        <f aca="false">SUMPRODUCT($AB334:$AF334,Validation!$D$8:$H$8)</f>
        <v>2.3557142857137</v>
      </c>
      <c r="AJ334" s="18" t="n">
        <f aca="false">SUMPRODUCT($AB334:$AF334,Validation!$D$9:$H$9)</f>
        <v>2.4969999999998</v>
      </c>
      <c r="AK334" s="18" t="n">
        <f aca="false">SUMPRODUCT($AB334:$AF334,Validation!$D$10:$H$10)</f>
        <v>2.3330000000002</v>
      </c>
      <c r="AL334" s="18" t="n">
        <f aca="false">SUMPRODUCT($AB334:$AF334,Validation!$D$11:$H$11)</f>
        <v>2.366875</v>
      </c>
      <c r="AM334" s="18" t="n">
        <f aca="false">SUMPRODUCT($AB334:$AF334,Validation!$D$12:$H$12)</f>
        <v>2.463125</v>
      </c>
      <c r="AN334" s="18" t="n">
        <f aca="false">SUMPRODUCT($AB334:$AF334,Validation!$D$13:$H$13)</f>
        <v>2.3055555555557</v>
      </c>
      <c r="AO334" s="18" t="n">
        <f aca="false">SUMPRODUCT($AB334:$AF334,Validation!$D$14:$H$14)</f>
        <v>2.5244444444443</v>
      </c>
      <c r="AP334" s="18" t="n">
        <f aca="false">SUMPRODUCT($AB334:$AF334,Validation!$D$15:$H$15)</f>
        <v>2.3344117647056</v>
      </c>
      <c r="AQ334" s="18" t="n">
        <f aca="false">SUMPRODUCT($AB334:$AF334,Validation!$D$16:$H$16)</f>
        <v>2.4955882352944</v>
      </c>
      <c r="AR334" s="8" t="n">
        <f aca="false">COUNTIF($C334:$V334,"&gt;=4")</f>
        <v>4</v>
      </c>
      <c r="AS334" s="8" t="str">
        <f aca="false">IF($X334&lt;=1.6,"Low",IF($X334&lt;=2.2,"Medium","High"))</f>
        <v>High</v>
      </c>
      <c r="AT334" s="8" t="str">
        <f aca="false">IF($AR334=0,"Low",IF($AR334&lt;3,"Medium","High"))</f>
        <v>High</v>
      </c>
      <c r="AU334" s="8" t="str">
        <f aca="false">IF(OR($AS334="High",$AT334="High"),"High",IF(OR($AS334="Medium",$AT334="Medium"),"Medium","Low"))</f>
        <v>High</v>
      </c>
      <c r="AV334" s="15" t="str">
        <f aca="false">IF($Z334="Yes","High",$AU334)</f>
        <v>High</v>
      </c>
    </row>
    <row r="335" customFormat="false" ht="15" hidden="false" customHeight="false" outlineLevel="0" collapsed="false">
      <c r="A335" s="7" t="str">
        <f aca="false">Customers!$A335</f>
        <v>NG-10308</v>
      </c>
      <c r="B335" s="7" t="str">
        <f aca="false">Customers!$B335</f>
        <v>Sole trader</v>
      </c>
      <c r="C335" s="8" t="n">
        <f aca="false">INDEX(Mapping!$C$2:$C$99,MATCH(C$1&amp;"|"&amp;Customers!C335,Mapping!$D$2:$D$99,0))</f>
        <v>2</v>
      </c>
      <c r="D335" s="8" t="n">
        <f aca="false">INDEX(Mapping!$C$2:$C$99,MATCH(D$1&amp;"|"&amp;Customers!D335,Mapping!$D$2:$D$99,0))</f>
        <v>1</v>
      </c>
      <c r="E335" s="8" t="n">
        <f aca="false">INDEX(Mapping!$C$2:$C$99,MATCH(E$1&amp;"|"&amp;Customers!E335,Mapping!$D$2:$D$99,0))</f>
        <v>4</v>
      </c>
      <c r="F335" s="8" t="n">
        <f aca="false">INDEX(Mapping!$C$2:$C$99,MATCH(F$1&amp;"|"&amp;Customers!F335,Mapping!$D$2:$D$99,0))</f>
        <v>1</v>
      </c>
      <c r="G335" s="8" t="n">
        <f aca="false">INDEX(Mapping!$C$2:$C$99,MATCH(G$1&amp;"|"&amp;Customers!G335,Mapping!$D$2:$D$99,0))</f>
        <v>1</v>
      </c>
      <c r="H335" s="8" t="n">
        <f aca="false">INDEX(Mapping!$C$2:$C$99,MATCH(H$1&amp;"|"&amp;Customers!H335,Mapping!$D$2:$D$99,0))</f>
        <v>1</v>
      </c>
      <c r="I335" s="8" t="n">
        <f aca="false">INDEX(Mapping!$C$2:$C$99,MATCH(I$1&amp;"|"&amp;Customers!I335,Mapping!$D$2:$D$99,0))</f>
        <v>1</v>
      </c>
      <c r="J335" s="8" t="n">
        <f aca="false">INDEX(Mapping!$C$2:$C$99,MATCH(J$1&amp;"|"&amp;Customers!J335,Mapping!$D$2:$D$99,0))</f>
        <v>1</v>
      </c>
      <c r="K335" s="8" t="n">
        <f aca="false">INDEX(Mapping!$C$2:$C$99,MATCH(K$1&amp;"|"&amp;Customers!K335,Mapping!$D$2:$D$99,0))</f>
        <v>5</v>
      </c>
      <c r="L335" s="8" t="n">
        <f aca="false">INDEX(Mapping!$C$2:$C$99,MATCH(L$1&amp;"|"&amp;Customers!L335,Mapping!$D$2:$D$99,0))</f>
        <v>3</v>
      </c>
      <c r="M335" s="8" t="n">
        <f aca="false">INDEX(Mapping!$C$2:$C$99,MATCH(M$1&amp;"|"&amp;Customers!M335,Mapping!$D$2:$D$99,0))</f>
        <v>4</v>
      </c>
      <c r="N335" s="8" t="n">
        <f aca="false">INDEX(Mapping!$C$2:$C$99,MATCH(N$1&amp;"|"&amp;Customers!N335,Mapping!$D$2:$D$99,0))</f>
        <v>1</v>
      </c>
      <c r="O335" s="8" t="n">
        <f aca="false">INDEX(Mapping!$C$2:$C$99,MATCH(O$1&amp;"|"&amp;Customers!O335,Mapping!$D$2:$D$99,0))</f>
        <v>4</v>
      </c>
      <c r="P335" s="8" t="n">
        <f aca="false">INDEX(Mapping!$C$2:$C$99,MATCH(P$1&amp;"|"&amp;Customers!P335,Mapping!$D$2:$D$99,0))</f>
        <v>3</v>
      </c>
      <c r="Q335" s="8" t="n">
        <f aca="false">INDEX(Mapping!$C$2:$C$99,MATCH(Q$1&amp;"|"&amp;Customers!Q335,Mapping!$D$2:$D$99,0))</f>
        <v>4</v>
      </c>
      <c r="R335" s="8" t="n">
        <f aca="false">INDEX(Mapping!$C$2:$C$99,MATCH(R$1&amp;"|"&amp;Customers!R335,Mapping!$D$2:$D$99,0))</f>
        <v>3</v>
      </c>
      <c r="S335" s="8" t="n">
        <f aca="false">INDEX(Mapping!$C$2:$C$99,MATCH(S$1&amp;"|"&amp;Customers!S335,Mapping!$D$2:$D$99,0))</f>
        <v>3</v>
      </c>
      <c r="T335" s="8" t="n">
        <f aca="false">INDEX(Mapping!$C$2:$C$99,MATCH(T$1&amp;"|"&amp;Customers!T335,Mapping!$D$2:$D$99,0))</f>
        <v>1</v>
      </c>
      <c r="U335" s="8" t="n">
        <f aca="false">INDEX(Mapping!$C$2:$C$99,MATCH(U$1&amp;"|"&amp;Customers!U335,Mapping!$D$2:$D$99,0))</f>
        <v>1</v>
      </c>
      <c r="V335" s="8" t="n">
        <f aca="false">INDEX(Mapping!$C$2:$C$99,MATCH(V$1&amp;"|"&amp;Customers!V335,Mapping!$D$2:$D$99,0))</f>
        <v>1</v>
      </c>
      <c r="W335" s="17" t="n">
        <f aca="false">SUMPRODUCT($C335:$V335,Weights!$C$27:$V$27)</f>
        <v>2.245</v>
      </c>
      <c r="X335" s="18" t="n">
        <f aca="false">ROUND($W335,2)</f>
        <v>2.25</v>
      </c>
      <c r="Y335" s="8" t="str">
        <f aca="false">IF($X335&lt;=2,"Low",IF($X335&lt;=3.49,"Medium","High"))</f>
        <v>Medium</v>
      </c>
      <c r="Z335" s="8" t="str">
        <f aca="false">IF(OR($F335&gt;=3,$E335=5,$D335=5,$C335=5,$G335=5,$H335=5,$I335=5,$J335=5,Customers!$W335="Yes"),"Yes","No")</f>
        <v>No</v>
      </c>
      <c r="AA335" s="15" t="str">
        <f aca="false">IF($Z335="Yes","High",$Y335)</f>
        <v>Medium</v>
      </c>
      <c r="AB335" s="18" t="n">
        <f aca="false">SUMPRODUCT($C335:$G335,Weights!$C$28:$G$28)</f>
        <v>1.95</v>
      </c>
      <c r="AC335" s="18" t="n">
        <f aca="false">SUMPRODUCT($H335:$J335,Weights!$H$28:$J$28)</f>
        <v>1</v>
      </c>
      <c r="AD335" s="18" t="n">
        <f aca="false">SUMPRODUCT($K335:$N335,Weights!$K$28:$N$28)</f>
        <v>3.65</v>
      </c>
      <c r="AE335" s="18" t="n">
        <f aca="false">SUMPRODUCT($O335:$Q335,Weights!$O$28:$Q$28)</f>
        <v>3.65</v>
      </c>
      <c r="AF335" s="18" t="n">
        <f aca="false">SUMPRODUCT($R335:$V335,Weights!$R$28:$V$28)</f>
        <v>2.1</v>
      </c>
      <c r="AH335" s="18" t="n">
        <f aca="false">SUMPRODUCT($AB335:$AF335,Validation!$D$7:$H$7)</f>
        <v>2.28714285714295</v>
      </c>
      <c r="AI335" s="18" t="n">
        <f aca="false">SUMPRODUCT($AB335:$AF335,Validation!$D$8:$H$8)</f>
        <v>2.20285714285705</v>
      </c>
      <c r="AJ335" s="18" t="n">
        <f aca="false">SUMPRODUCT($AB335:$AF335,Validation!$D$9:$H$9)</f>
        <v>2.411</v>
      </c>
      <c r="AK335" s="18" t="n">
        <f aca="false">SUMPRODUCT($AB335:$AF335,Validation!$D$10:$H$10)</f>
        <v>2.079</v>
      </c>
      <c r="AL335" s="18" t="n">
        <f aca="false">SUMPRODUCT($AB335:$AF335,Validation!$D$11:$H$11)</f>
        <v>2.069375</v>
      </c>
      <c r="AM335" s="18" t="n">
        <f aca="false">SUMPRODUCT($AB335:$AF335,Validation!$D$12:$H$12)</f>
        <v>2.420625</v>
      </c>
      <c r="AN335" s="18" t="n">
        <f aca="false">SUMPRODUCT($AB335:$AF335,Validation!$D$13:$H$13)</f>
        <v>2.08888888888835</v>
      </c>
      <c r="AO335" s="18" t="n">
        <f aca="false">SUMPRODUCT($AB335:$AF335,Validation!$D$14:$H$14)</f>
        <v>2.40111111111165</v>
      </c>
      <c r="AP335" s="18" t="n">
        <f aca="false">SUMPRODUCT($AB335:$AF335,Validation!$D$15:$H$15)</f>
        <v>2.2620588235292</v>
      </c>
      <c r="AQ335" s="18" t="n">
        <f aca="false">SUMPRODUCT($AB335:$AF335,Validation!$D$16:$H$16)</f>
        <v>2.2279411764708</v>
      </c>
      <c r="AR335" s="8" t="n">
        <f aca="false">COUNTIF($C335:$V335,"&gt;=4")</f>
        <v>5</v>
      </c>
      <c r="AS335" s="8" t="str">
        <f aca="false">IF($X335&lt;=1.6,"Low",IF($X335&lt;=2.2,"Medium","High"))</f>
        <v>High</v>
      </c>
      <c r="AT335" s="8" t="str">
        <f aca="false">IF($AR335=0,"Low",IF($AR335&lt;3,"Medium","High"))</f>
        <v>High</v>
      </c>
      <c r="AU335" s="8" t="str">
        <f aca="false">IF(OR($AS335="High",$AT335="High"),"High",IF(OR($AS335="Medium",$AT335="Medium"),"Medium","Low"))</f>
        <v>High</v>
      </c>
      <c r="AV335" s="15" t="str">
        <f aca="false">IF($Z335="Yes","High",$AU335)</f>
        <v>High</v>
      </c>
    </row>
    <row r="336" customFormat="false" ht="15" hidden="false" customHeight="false" outlineLevel="0" collapsed="false">
      <c r="A336" s="7" t="str">
        <f aca="false">Customers!$A336</f>
        <v>NG-10223</v>
      </c>
      <c r="B336" s="7" t="str">
        <f aca="false">Customers!$B336</f>
        <v>Personal</v>
      </c>
      <c r="C336" s="8" t="n">
        <f aca="false">INDEX(Mapping!$C$2:$C$99,MATCH(C$1&amp;"|"&amp;Customers!C336,Mapping!$D$2:$D$99,0))</f>
        <v>1</v>
      </c>
      <c r="D336" s="8" t="n">
        <f aca="false">INDEX(Mapping!$C$2:$C$99,MATCH(D$1&amp;"|"&amp;Customers!D336,Mapping!$D$2:$D$99,0))</f>
        <v>1</v>
      </c>
      <c r="E336" s="8" t="n">
        <f aca="false">INDEX(Mapping!$C$2:$C$99,MATCH(E$1&amp;"|"&amp;Customers!E336,Mapping!$D$2:$D$99,0))</f>
        <v>2</v>
      </c>
      <c r="F336" s="8" t="n">
        <f aca="false">INDEX(Mapping!$C$2:$C$99,MATCH(F$1&amp;"|"&amp;Customers!F336,Mapping!$D$2:$D$99,0))</f>
        <v>1</v>
      </c>
      <c r="G336" s="8" t="n">
        <f aca="false">INDEX(Mapping!$C$2:$C$99,MATCH(G$1&amp;"|"&amp;Customers!G336,Mapping!$D$2:$D$99,0))</f>
        <v>1</v>
      </c>
      <c r="H336" s="8" t="n">
        <f aca="false">INDEX(Mapping!$C$2:$C$99,MATCH(H$1&amp;"|"&amp;Customers!H336,Mapping!$D$2:$D$99,0))</f>
        <v>1</v>
      </c>
      <c r="I336" s="8" t="n">
        <f aca="false">INDEX(Mapping!$C$2:$C$99,MATCH(I$1&amp;"|"&amp;Customers!I336,Mapping!$D$2:$D$99,0))</f>
        <v>2</v>
      </c>
      <c r="J336" s="8" t="n">
        <f aca="false">INDEX(Mapping!$C$2:$C$99,MATCH(J$1&amp;"|"&amp;Customers!J336,Mapping!$D$2:$D$99,0))</f>
        <v>1</v>
      </c>
      <c r="K336" s="8" t="n">
        <f aca="false">INDEX(Mapping!$C$2:$C$99,MATCH(K$1&amp;"|"&amp;Customers!K336,Mapping!$D$2:$D$99,0))</f>
        <v>2</v>
      </c>
      <c r="L336" s="8" t="n">
        <f aca="false">INDEX(Mapping!$C$2:$C$99,MATCH(L$1&amp;"|"&amp;Customers!L336,Mapping!$D$2:$D$99,0))</f>
        <v>2</v>
      </c>
      <c r="M336" s="8" t="n">
        <f aca="false">INDEX(Mapping!$C$2:$C$99,MATCH(M$1&amp;"|"&amp;Customers!M336,Mapping!$D$2:$D$99,0))</f>
        <v>1</v>
      </c>
      <c r="N336" s="8" t="n">
        <f aca="false">INDEX(Mapping!$C$2:$C$99,MATCH(N$1&amp;"|"&amp;Customers!N336,Mapping!$D$2:$D$99,0))</f>
        <v>1</v>
      </c>
      <c r="O336" s="8" t="n">
        <f aca="false">INDEX(Mapping!$C$2:$C$99,MATCH(O$1&amp;"|"&amp;Customers!O336,Mapping!$D$2:$D$99,0))</f>
        <v>1</v>
      </c>
      <c r="P336" s="8" t="n">
        <f aca="false">INDEX(Mapping!$C$2:$C$99,MATCH(P$1&amp;"|"&amp;Customers!P336,Mapping!$D$2:$D$99,0))</f>
        <v>3</v>
      </c>
      <c r="Q336" s="8" t="n">
        <f aca="false">INDEX(Mapping!$C$2:$C$99,MATCH(Q$1&amp;"|"&amp;Customers!Q336,Mapping!$D$2:$D$99,0))</f>
        <v>3</v>
      </c>
      <c r="R336" s="8" t="n">
        <f aca="false">INDEX(Mapping!$C$2:$C$99,MATCH(R$1&amp;"|"&amp;Customers!R336,Mapping!$D$2:$D$99,0))</f>
        <v>1</v>
      </c>
      <c r="S336" s="8" t="n">
        <f aca="false">INDEX(Mapping!$C$2:$C$99,MATCH(S$1&amp;"|"&amp;Customers!S336,Mapping!$D$2:$D$99,0))</f>
        <v>4</v>
      </c>
      <c r="T336" s="8" t="n">
        <f aca="false">INDEX(Mapping!$C$2:$C$99,MATCH(T$1&amp;"|"&amp;Customers!T336,Mapping!$D$2:$D$99,0))</f>
        <v>2</v>
      </c>
      <c r="U336" s="8" t="n">
        <f aca="false">INDEX(Mapping!$C$2:$C$99,MATCH(U$1&amp;"|"&amp;Customers!U336,Mapping!$D$2:$D$99,0))</f>
        <v>1</v>
      </c>
      <c r="V336" s="8" t="n">
        <f aca="false">INDEX(Mapping!$C$2:$C$99,MATCH(V$1&amp;"|"&amp;Customers!V336,Mapping!$D$2:$D$99,0))</f>
        <v>1</v>
      </c>
      <c r="W336" s="17" t="n">
        <f aca="false">SUMPRODUCT($C336:$V336,Weights!$C$27:$V$27)</f>
        <v>1.52</v>
      </c>
      <c r="X336" s="18" t="n">
        <f aca="false">ROUND($W336,2)</f>
        <v>1.52</v>
      </c>
      <c r="Y336" s="8" t="str">
        <f aca="false">IF($X336&lt;=2,"Low",IF($X336&lt;=3.49,"Medium","High"))</f>
        <v>Low</v>
      </c>
      <c r="Z336" s="8" t="str">
        <f aca="false">IF(OR($F336&gt;=3,$E336=5,$D336=5,$C336=5,$G336=5,$H336=5,$I336=5,$J336=5,Customers!$W336="Yes"),"Yes","No")</f>
        <v>No</v>
      </c>
      <c r="AA336" s="15" t="str">
        <f aca="false">IF($Z336="Yes","High",$Y336)</f>
        <v>Low</v>
      </c>
      <c r="AB336" s="18" t="n">
        <f aca="false">SUMPRODUCT($C336:$G336,Weights!$C$28:$G$28)</f>
        <v>1.25</v>
      </c>
      <c r="AC336" s="18" t="n">
        <f aca="false">SUMPRODUCT($H336:$J336,Weights!$H$28:$J$28)</f>
        <v>1.2</v>
      </c>
      <c r="AD336" s="18" t="n">
        <f aca="false">SUMPRODUCT($K336:$N336,Weights!$K$28:$N$28)</f>
        <v>1.6</v>
      </c>
      <c r="AE336" s="18" t="n">
        <f aca="false">SUMPRODUCT($O336:$Q336,Weights!$O$28:$Q$28)</f>
        <v>2.1</v>
      </c>
      <c r="AF336" s="18" t="n">
        <f aca="false">SUMPRODUCT($R336:$V336,Weights!$R$28:$V$28)</f>
        <v>2.1</v>
      </c>
      <c r="AH336" s="18" t="n">
        <f aca="false">SUMPRODUCT($AB336:$AF336,Validation!$D$7:$H$7)</f>
        <v>1.5585714285719</v>
      </c>
      <c r="AI336" s="18" t="n">
        <f aca="false">SUMPRODUCT($AB336:$AF336,Validation!$D$8:$H$8)</f>
        <v>1.4814285714281</v>
      </c>
      <c r="AJ336" s="18" t="n">
        <f aca="false">SUMPRODUCT($AB336:$AF336,Validation!$D$9:$H$9)</f>
        <v>1.5626666666665</v>
      </c>
      <c r="AK336" s="18" t="n">
        <f aca="false">SUMPRODUCT($AB336:$AF336,Validation!$D$10:$H$10)</f>
        <v>1.4773333333335</v>
      </c>
      <c r="AL336" s="18" t="n">
        <f aca="false">SUMPRODUCT($AB336:$AF336,Validation!$D$11:$H$11)</f>
        <v>1.51</v>
      </c>
      <c r="AM336" s="18" t="n">
        <f aca="false">SUMPRODUCT($AB336:$AF336,Validation!$D$12:$H$12)</f>
        <v>1.53</v>
      </c>
      <c r="AN336" s="18" t="n">
        <f aca="false">SUMPRODUCT($AB336:$AF336,Validation!$D$13:$H$13)</f>
        <v>1.45555555555575</v>
      </c>
      <c r="AO336" s="18" t="n">
        <f aca="false">SUMPRODUCT($AB336:$AF336,Validation!$D$14:$H$14)</f>
        <v>1.58444444444425</v>
      </c>
      <c r="AP336" s="18" t="n">
        <f aca="false">SUMPRODUCT($AB336:$AF336,Validation!$D$15:$H$15)</f>
        <v>1.45176470588215</v>
      </c>
      <c r="AQ336" s="18" t="n">
        <f aca="false">SUMPRODUCT($AB336:$AF336,Validation!$D$16:$H$16)</f>
        <v>1.58823529411785</v>
      </c>
      <c r="AR336" s="8" t="n">
        <f aca="false">COUNTIF($C336:$V336,"&gt;=4")</f>
        <v>1</v>
      </c>
      <c r="AS336" s="8" t="str">
        <f aca="false">IF($X336&lt;=1.6,"Low",IF($X336&lt;=2.2,"Medium","High"))</f>
        <v>Low</v>
      </c>
      <c r="AT336" s="8" t="str">
        <f aca="false">IF($AR336=0,"Low",IF($AR336&lt;3,"Medium","High"))</f>
        <v>Medium</v>
      </c>
      <c r="AU336" s="8" t="str">
        <f aca="false">IF(OR($AS336="High",$AT336="High"),"High",IF(OR($AS336="Medium",$AT336="Medium"),"Medium","Low"))</f>
        <v>Medium</v>
      </c>
      <c r="AV336" s="15" t="str">
        <f aca="false">IF($Z336="Yes","High",$AU336)</f>
        <v>Medium</v>
      </c>
    </row>
    <row r="337" customFormat="false" ht="15" hidden="false" customHeight="false" outlineLevel="0" collapsed="false">
      <c r="A337" s="7" t="str">
        <f aca="false">Customers!$A337</f>
        <v>NG-10341</v>
      </c>
      <c r="B337" s="7" t="str">
        <f aca="false">Customers!$B337</f>
        <v>Sole trader</v>
      </c>
      <c r="C337" s="8" t="n">
        <f aca="false">INDEX(Mapping!$C$2:$C$99,MATCH(C$1&amp;"|"&amp;Customers!C337,Mapping!$D$2:$D$99,0))</f>
        <v>2</v>
      </c>
      <c r="D337" s="8" t="n">
        <f aca="false">INDEX(Mapping!$C$2:$C$99,MATCH(D$1&amp;"|"&amp;Customers!D337,Mapping!$D$2:$D$99,0))</f>
        <v>1</v>
      </c>
      <c r="E337" s="8" t="n">
        <f aca="false">INDEX(Mapping!$C$2:$C$99,MATCH(E$1&amp;"|"&amp;Customers!E337,Mapping!$D$2:$D$99,0))</f>
        <v>3</v>
      </c>
      <c r="F337" s="8" t="n">
        <f aca="false">INDEX(Mapping!$C$2:$C$99,MATCH(F$1&amp;"|"&amp;Customers!F337,Mapping!$D$2:$D$99,0))</f>
        <v>1</v>
      </c>
      <c r="G337" s="8" t="n">
        <f aca="false">INDEX(Mapping!$C$2:$C$99,MATCH(G$1&amp;"|"&amp;Customers!G337,Mapping!$D$2:$D$99,0))</f>
        <v>2</v>
      </c>
      <c r="H337" s="8" t="n">
        <f aca="false">INDEX(Mapping!$C$2:$C$99,MATCH(H$1&amp;"|"&amp;Customers!H337,Mapping!$D$2:$D$99,0))</f>
        <v>1</v>
      </c>
      <c r="I337" s="8" t="n">
        <f aca="false">INDEX(Mapping!$C$2:$C$99,MATCH(I$1&amp;"|"&amp;Customers!I337,Mapping!$D$2:$D$99,0))</f>
        <v>1</v>
      </c>
      <c r="J337" s="8" t="n">
        <f aca="false">INDEX(Mapping!$C$2:$C$99,MATCH(J$1&amp;"|"&amp;Customers!J337,Mapping!$D$2:$D$99,0))</f>
        <v>1</v>
      </c>
      <c r="K337" s="8" t="n">
        <f aca="false">INDEX(Mapping!$C$2:$C$99,MATCH(K$1&amp;"|"&amp;Customers!K337,Mapping!$D$2:$D$99,0))</f>
        <v>4</v>
      </c>
      <c r="L337" s="8" t="n">
        <f aca="false">INDEX(Mapping!$C$2:$C$99,MATCH(L$1&amp;"|"&amp;Customers!L337,Mapping!$D$2:$D$99,0))</f>
        <v>4</v>
      </c>
      <c r="M337" s="8" t="n">
        <f aca="false">INDEX(Mapping!$C$2:$C$99,MATCH(M$1&amp;"|"&amp;Customers!M337,Mapping!$D$2:$D$99,0))</f>
        <v>3</v>
      </c>
      <c r="N337" s="8" t="n">
        <f aca="false">INDEX(Mapping!$C$2:$C$99,MATCH(N$1&amp;"|"&amp;Customers!N337,Mapping!$D$2:$D$99,0))</f>
        <v>1</v>
      </c>
      <c r="O337" s="8" t="n">
        <f aca="false">INDEX(Mapping!$C$2:$C$99,MATCH(O$1&amp;"|"&amp;Customers!O337,Mapping!$D$2:$D$99,0))</f>
        <v>4</v>
      </c>
      <c r="P337" s="8" t="n">
        <f aca="false">INDEX(Mapping!$C$2:$C$99,MATCH(P$1&amp;"|"&amp;Customers!P337,Mapping!$D$2:$D$99,0))</f>
        <v>3</v>
      </c>
      <c r="Q337" s="8" t="n">
        <f aca="false">INDEX(Mapping!$C$2:$C$99,MATCH(Q$1&amp;"|"&amp;Customers!Q337,Mapping!$D$2:$D$99,0))</f>
        <v>1</v>
      </c>
      <c r="R337" s="8" t="n">
        <f aca="false">INDEX(Mapping!$C$2:$C$99,MATCH(R$1&amp;"|"&amp;Customers!R337,Mapping!$D$2:$D$99,0))</f>
        <v>1</v>
      </c>
      <c r="S337" s="8" t="n">
        <f aca="false">INDEX(Mapping!$C$2:$C$99,MATCH(S$1&amp;"|"&amp;Customers!S337,Mapping!$D$2:$D$99,0))</f>
        <v>4</v>
      </c>
      <c r="T337" s="8" t="n">
        <f aca="false">INDEX(Mapping!$C$2:$C$99,MATCH(T$1&amp;"|"&amp;Customers!T337,Mapping!$D$2:$D$99,0))</f>
        <v>1</v>
      </c>
      <c r="U337" s="8" t="n">
        <f aca="false">INDEX(Mapping!$C$2:$C$99,MATCH(U$1&amp;"|"&amp;Customers!U337,Mapping!$D$2:$D$99,0))</f>
        <v>3</v>
      </c>
      <c r="V337" s="8" t="n">
        <f aca="false">INDEX(Mapping!$C$2:$C$99,MATCH(V$1&amp;"|"&amp;Customers!V337,Mapping!$D$2:$D$99,0))</f>
        <v>1</v>
      </c>
      <c r="W337" s="17" t="n">
        <f aca="false">SUMPRODUCT($C337:$V337,Weights!$C$27:$V$27)</f>
        <v>2.1</v>
      </c>
      <c r="X337" s="18" t="n">
        <f aca="false">ROUND($W337,2)</f>
        <v>2.1</v>
      </c>
      <c r="Y337" s="8" t="str">
        <f aca="false">IF($X337&lt;=2,"Low",IF($X337&lt;=3.49,"Medium","High"))</f>
        <v>Medium</v>
      </c>
      <c r="Z337" s="8" t="str">
        <f aca="false">IF(OR($F337&gt;=3,$E337=5,$D337=5,$C337=5,$G337=5,$H337=5,$I337=5,$J337=5,Customers!$W337="Yes"),"Yes","No")</f>
        <v>No</v>
      </c>
      <c r="AA337" s="15" t="str">
        <f aca="false">IF($Z337="Yes","High",$Y337)</f>
        <v>Medium</v>
      </c>
      <c r="AB337" s="18" t="n">
        <f aca="false">SUMPRODUCT($C337:$G337,Weights!$C$28:$G$28)</f>
        <v>1.85</v>
      </c>
      <c r="AC337" s="18" t="n">
        <f aca="false">SUMPRODUCT($H337:$J337,Weights!$H$28:$J$28)</f>
        <v>1</v>
      </c>
      <c r="AD337" s="18" t="n">
        <f aca="false">SUMPRODUCT($K337:$N337,Weights!$K$28:$N$28)</f>
        <v>3.3</v>
      </c>
      <c r="AE337" s="18" t="n">
        <f aca="false">SUMPRODUCT($O337:$Q337,Weights!$O$28:$Q$28)</f>
        <v>3.05</v>
      </c>
      <c r="AF337" s="18" t="n">
        <f aca="false">SUMPRODUCT($R337:$V337,Weights!$R$28:$V$28)</f>
        <v>2.2</v>
      </c>
      <c r="AH337" s="18" t="n">
        <f aca="false">SUMPRODUCT($AB337:$AF337,Validation!$D$7:$H$7)</f>
        <v>2.1357142857144</v>
      </c>
      <c r="AI337" s="18" t="n">
        <f aca="false">SUMPRODUCT($AB337:$AF337,Validation!$D$8:$H$8)</f>
        <v>2.0642857142856</v>
      </c>
      <c r="AJ337" s="18" t="n">
        <f aca="false">SUMPRODUCT($AB337:$AF337,Validation!$D$9:$H$9)</f>
        <v>2.24666666666675</v>
      </c>
      <c r="AK337" s="18" t="n">
        <f aca="false">SUMPRODUCT($AB337:$AF337,Validation!$D$10:$H$10)</f>
        <v>1.95333333333325</v>
      </c>
      <c r="AL337" s="18" t="n">
        <f aca="false">SUMPRODUCT($AB337:$AF337,Validation!$D$11:$H$11)</f>
        <v>1.95</v>
      </c>
      <c r="AM337" s="18" t="n">
        <f aca="false">SUMPRODUCT($AB337:$AF337,Validation!$D$12:$H$12)</f>
        <v>2.25</v>
      </c>
      <c r="AN337" s="18" t="n">
        <f aca="false">SUMPRODUCT($AB337:$AF337,Validation!$D$13:$H$13)</f>
        <v>1.99444444444405</v>
      </c>
      <c r="AO337" s="18" t="n">
        <f aca="false">SUMPRODUCT($AB337:$AF337,Validation!$D$14:$H$14)</f>
        <v>2.20555555555595</v>
      </c>
      <c r="AP337" s="18" t="n">
        <f aca="false">SUMPRODUCT($AB337:$AF337,Validation!$D$15:$H$15)</f>
        <v>2.08823529411755</v>
      </c>
      <c r="AQ337" s="18" t="n">
        <f aca="false">SUMPRODUCT($AB337:$AF337,Validation!$D$16:$H$16)</f>
        <v>2.11176470588245</v>
      </c>
      <c r="AR337" s="8" t="n">
        <f aca="false">COUNTIF($C337:$V337,"&gt;=4")</f>
        <v>4</v>
      </c>
      <c r="AS337" s="8" t="str">
        <f aca="false">IF($X337&lt;=1.6,"Low",IF($X337&lt;=2.2,"Medium","High"))</f>
        <v>Medium</v>
      </c>
      <c r="AT337" s="8" t="str">
        <f aca="false">IF($AR337=0,"Low",IF($AR337&lt;3,"Medium","High"))</f>
        <v>High</v>
      </c>
      <c r="AU337" s="8" t="str">
        <f aca="false">IF(OR($AS337="High",$AT337="High"),"High",IF(OR($AS337="Medium",$AT337="Medium"),"Medium","Low"))</f>
        <v>High</v>
      </c>
      <c r="AV337" s="15" t="str">
        <f aca="false">IF($Z337="Yes","High",$AU337)</f>
        <v>High</v>
      </c>
    </row>
    <row r="338" customFormat="false" ht="15" hidden="false" customHeight="false" outlineLevel="0" collapsed="false">
      <c r="A338" s="7" t="str">
        <f aca="false">Customers!$A338</f>
        <v>NG-10207</v>
      </c>
      <c r="B338" s="7" t="str">
        <f aca="false">Customers!$B338</f>
        <v>Personal</v>
      </c>
      <c r="C338" s="8" t="n">
        <f aca="false">INDEX(Mapping!$C$2:$C$99,MATCH(C$1&amp;"|"&amp;Customers!C338,Mapping!$D$2:$D$99,0))</f>
        <v>1</v>
      </c>
      <c r="D338" s="8" t="n">
        <f aca="false">INDEX(Mapping!$C$2:$C$99,MATCH(D$1&amp;"|"&amp;Customers!D338,Mapping!$D$2:$D$99,0))</f>
        <v>1</v>
      </c>
      <c r="E338" s="8" t="n">
        <f aca="false">INDEX(Mapping!$C$2:$C$99,MATCH(E$1&amp;"|"&amp;Customers!E338,Mapping!$D$2:$D$99,0))</f>
        <v>1</v>
      </c>
      <c r="F338" s="8" t="n">
        <f aca="false">INDEX(Mapping!$C$2:$C$99,MATCH(F$1&amp;"|"&amp;Customers!F338,Mapping!$D$2:$D$99,0))</f>
        <v>1</v>
      </c>
      <c r="G338" s="8" t="n">
        <f aca="false">INDEX(Mapping!$C$2:$C$99,MATCH(G$1&amp;"|"&amp;Customers!G338,Mapping!$D$2:$D$99,0))</f>
        <v>1</v>
      </c>
      <c r="H338" s="8" t="n">
        <f aca="false">INDEX(Mapping!$C$2:$C$99,MATCH(H$1&amp;"|"&amp;Customers!H338,Mapping!$D$2:$D$99,0))</f>
        <v>1</v>
      </c>
      <c r="I338" s="8" t="n">
        <f aca="false">INDEX(Mapping!$C$2:$C$99,MATCH(I$1&amp;"|"&amp;Customers!I338,Mapping!$D$2:$D$99,0))</f>
        <v>2</v>
      </c>
      <c r="J338" s="8" t="n">
        <f aca="false">INDEX(Mapping!$C$2:$C$99,MATCH(J$1&amp;"|"&amp;Customers!J338,Mapping!$D$2:$D$99,0))</f>
        <v>3</v>
      </c>
      <c r="K338" s="8" t="n">
        <f aca="false">INDEX(Mapping!$C$2:$C$99,MATCH(K$1&amp;"|"&amp;Customers!K338,Mapping!$D$2:$D$99,0))</f>
        <v>3</v>
      </c>
      <c r="L338" s="8" t="n">
        <f aca="false">INDEX(Mapping!$C$2:$C$99,MATCH(L$1&amp;"|"&amp;Customers!L338,Mapping!$D$2:$D$99,0))</f>
        <v>2</v>
      </c>
      <c r="M338" s="8" t="n">
        <f aca="false">INDEX(Mapping!$C$2:$C$99,MATCH(M$1&amp;"|"&amp;Customers!M338,Mapping!$D$2:$D$99,0))</f>
        <v>4</v>
      </c>
      <c r="N338" s="8" t="n">
        <f aca="false">INDEX(Mapping!$C$2:$C$99,MATCH(N$1&amp;"|"&amp;Customers!N338,Mapping!$D$2:$D$99,0))</f>
        <v>1</v>
      </c>
      <c r="O338" s="8" t="n">
        <f aca="false">INDEX(Mapping!$C$2:$C$99,MATCH(O$1&amp;"|"&amp;Customers!O338,Mapping!$D$2:$D$99,0))</f>
        <v>4</v>
      </c>
      <c r="P338" s="8" t="n">
        <f aca="false">INDEX(Mapping!$C$2:$C$99,MATCH(P$1&amp;"|"&amp;Customers!P338,Mapping!$D$2:$D$99,0))</f>
        <v>1</v>
      </c>
      <c r="Q338" s="8" t="n">
        <f aca="false">INDEX(Mapping!$C$2:$C$99,MATCH(Q$1&amp;"|"&amp;Customers!Q338,Mapping!$D$2:$D$99,0))</f>
        <v>4</v>
      </c>
      <c r="R338" s="8" t="n">
        <f aca="false">INDEX(Mapping!$C$2:$C$99,MATCH(R$1&amp;"|"&amp;Customers!R338,Mapping!$D$2:$D$99,0))</f>
        <v>1</v>
      </c>
      <c r="S338" s="8" t="n">
        <f aca="false">INDEX(Mapping!$C$2:$C$99,MATCH(S$1&amp;"|"&amp;Customers!S338,Mapping!$D$2:$D$99,0))</f>
        <v>2</v>
      </c>
      <c r="T338" s="8" t="n">
        <f aca="false">INDEX(Mapping!$C$2:$C$99,MATCH(T$1&amp;"|"&amp;Customers!T338,Mapping!$D$2:$D$99,0))</f>
        <v>1</v>
      </c>
      <c r="U338" s="8" t="n">
        <f aca="false">INDEX(Mapping!$C$2:$C$99,MATCH(U$1&amp;"|"&amp;Customers!U338,Mapping!$D$2:$D$99,0))</f>
        <v>1</v>
      </c>
      <c r="V338" s="8" t="n">
        <f aca="false">INDEX(Mapping!$C$2:$C$99,MATCH(V$1&amp;"|"&amp;Customers!V338,Mapping!$D$2:$D$99,0))</f>
        <v>1</v>
      </c>
      <c r="W338" s="17" t="n">
        <f aca="false">SUMPRODUCT($C338:$V338,Weights!$C$27:$V$27)</f>
        <v>1.83</v>
      </c>
      <c r="X338" s="18" t="n">
        <f aca="false">ROUND($W338,2)</f>
        <v>1.83</v>
      </c>
      <c r="Y338" s="8" t="str">
        <f aca="false">IF($X338&lt;=2,"Low",IF($X338&lt;=3.49,"Medium","High"))</f>
        <v>Low</v>
      </c>
      <c r="Z338" s="8" t="str">
        <f aca="false">IF(OR($F338&gt;=3,$E338=5,$D338=5,$C338=5,$G338=5,$H338=5,$I338=5,$J338=5,Customers!$W338="Yes"),"Yes","No")</f>
        <v>No</v>
      </c>
      <c r="AA338" s="15" t="str">
        <f aca="false">IF($Z338="Yes","High",$Y338)</f>
        <v>Low</v>
      </c>
      <c r="AB338" s="18" t="n">
        <f aca="false">SUMPRODUCT($C338:$G338,Weights!$C$28:$G$28)</f>
        <v>1</v>
      </c>
      <c r="AC338" s="18" t="n">
        <f aca="false">SUMPRODUCT($H338:$J338,Weights!$H$28:$J$28)</f>
        <v>2</v>
      </c>
      <c r="AD338" s="18" t="n">
        <f aca="false">SUMPRODUCT($K338:$N338,Weights!$K$28:$N$28)</f>
        <v>2.7</v>
      </c>
      <c r="AE338" s="18" t="n">
        <f aca="false">SUMPRODUCT($O338:$Q338,Weights!$O$28:$Q$28)</f>
        <v>2.95</v>
      </c>
      <c r="AF338" s="18" t="n">
        <f aca="false">SUMPRODUCT($R338:$V338,Weights!$R$28:$V$28)</f>
        <v>1.3</v>
      </c>
      <c r="AH338" s="18" t="n">
        <f aca="false">SUMPRODUCT($AB338:$AF338,Validation!$D$7:$H$7)</f>
        <v>1.9485714285711</v>
      </c>
      <c r="AI338" s="18" t="n">
        <f aca="false">SUMPRODUCT($AB338:$AF338,Validation!$D$8:$H$8)</f>
        <v>1.7114285714289</v>
      </c>
      <c r="AJ338" s="18" t="n">
        <f aca="false">SUMPRODUCT($AB338:$AF338,Validation!$D$9:$H$9)</f>
        <v>1.80733333333325</v>
      </c>
      <c r="AK338" s="18" t="n">
        <f aca="false">SUMPRODUCT($AB338:$AF338,Validation!$D$10:$H$10)</f>
        <v>1.85266666666675</v>
      </c>
      <c r="AL338" s="18" t="n">
        <f aca="false">SUMPRODUCT($AB338:$AF338,Validation!$D$11:$H$11)</f>
        <v>1.72125</v>
      </c>
      <c r="AM338" s="18" t="n">
        <f aca="false">SUMPRODUCT($AB338:$AF338,Validation!$D$12:$H$12)</f>
        <v>1.93875</v>
      </c>
      <c r="AN338" s="18" t="n">
        <f aca="false">SUMPRODUCT($AB338:$AF338,Validation!$D$13:$H$13)</f>
        <v>1.7055555555555</v>
      </c>
      <c r="AO338" s="18" t="n">
        <f aca="false">SUMPRODUCT($AB338:$AF338,Validation!$D$14:$H$14)</f>
        <v>1.9544444444445</v>
      </c>
      <c r="AP338" s="18" t="n">
        <f aca="false">SUMPRODUCT($AB338:$AF338,Validation!$D$15:$H$15)</f>
        <v>1.8923529411764</v>
      </c>
      <c r="AQ338" s="18" t="n">
        <f aca="false">SUMPRODUCT($AB338:$AF338,Validation!$D$16:$H$16)</f>
        <v>1.7676470588236</v>
      </c>
      <c r="AR338" s="8" t="n">
        <f aca="false">COUNTIF($C338:$V338,"&gt;=4")</f>
        <v>3</v>
      </c>
      <c r="AS338" s="8" t="str">
        <f aca="false">IF($X338&lt;=1.6,"Low",IF($X338&lt;=2.2,"Medium","High"))</f>
        <v>Medium</v>
      </c>
      <c r="AT338" s="8" t="str">
        <f aca="false">IF($AR338=0,"Low",IF($AR338&lt;3,"Medium","High"))</f>
        <v>High</v>
      </c>
      <c r="AU338" s="8" t="str">
        <f aca="false">IF(OR($AS338="High",$AT338="High"),"High",IF(OR($AS338="Medium",$AT338="Medium"),"Medium","Low"))</f>
        <v>High</v>
      </c>
      <c r="AV338" s="15" t="str">
        <f aca="false">IF($Z338="Yes","High",$AU338)</f>
        <v>High</v>
      </c>
    </row>
    <row r="339" customFormat="false" ht="15" hidden="false" customHeight="false" outlineLevel="0" collapsed="false">
      <c r="A339" s="7" t="str">
        <f aca="false">Customers!$A339</f>
        <v>NG-10362</v>
      </c>
      <c r="B339" s="7" t="str">
        <f aca="false">Customers!$B339</f>
        <v>Limited company</v>
      </c>
      <c r="C339" s="8" t="n">
        <f aca="false">INDEX(Mapping!$C$2:$C$99,MATCH(C$1&amp;"|"&amp;Customers!C339,Mapping!$D$2:$D$99,0))</f>
        <v>3</v>
      </c>
      <c r="D339" s="8" t="n">
        <f aca="false">INDEX(Mapping!$C$2:$C$99,MATCH(D$1&amp;"|"&amp;Customers!D339,Mapping!$D$2:$D$99,0))</f>
        <v>2</v>
      </c>
      <c r="E339" s="8" t="n">
        <f aca="false">INDEX(Mapping!$C$2:$C$99,MATCH(E$1&amp;"|"&amp;Customers!E339,Mapping!$D$2:$D$99,0))</f>
        <v>2</v>
      </c>
      <c r="F339" s="8" t="n">
        <f aca="false">INDEX(Mapping!$C$2:$C$99,MATCH(F$1&amp;"|"&amp;Customers!F339,Mapping!$D$2:$D$99,0))</f>
        <v>1</v>
      </c>
      <c r="G339" s="8" t="n">
        <f aca="false">INDEX(Mapping!$C$2:$C$99,MATCH(G$1&amp;"|"&amp;Customers!G339,Mapping!$D$2:$D$99,0))</f>
        <v>1</v>
      </c>
      <c r="H339" s="8" t="n">
        <f aca="false">INDEX(Mapping!$C$2:$C$99,MATCH(H$1&amp;"|"&amp;Customers!H339,Mapping!$D$2:$D$99,0))</f>
        <v>1</v>
      </c>
      <c r="I339" s="8" t="n">
        <f aca="false">INDEX(Mapping!$C$2:$C$99,MATCH(I$1&amp;"|"&amp;Customers!I339,Mapping!$D$2:$D$99,0))</f>
        <v>1</v>
      </c>
      <c r="J339" s="8" t="n">
        <f aca="false">INDEX(Mapping!$C$2:$C$99,MATCH(J$1&amp;"|"&amp;Customers!J339,Mapping!$D$2:$D$99,0))</f>
        <v>1</v>
      </c>
      <c r="K339" s="8" t="n">
        <f aca="false">INDEX(Mapping!$C$2:$C$99,MATCH(K$1&amp;"|"&amp;Customers!K339,Mapping!$D$2:$D$99,0))</f>
        <v>4</v>
      </c>
      <c r="L339" s="8" t="n">
        <f aca="false">INDEX(Mapping!$C$2:$C$99,MATCH(L$1&amp;"|"&amp;Customers!L339,Mapping!$D$2:$D$99,0))</f>
        <v>2</v>
      </c>
      <c r="M339" s="8" t="n">
        <f aca="false">INDEX(Mapping!$C$2:$C$99,MATCH(M$1&amp;"|"&amp;Customers!M339,Mapping!$D$2:$D$99,0))</f>
        <v>3</v>
      </c>
      <c r="N339" s="8" t="n">
        <f aca="false">INDEX(Mapping!$C$2:$C$99,MATCH(N$1&amp;"|"&amp;Customers!N339,Mapping!$D$2:$D$99,0))</f>
        <v>5</v>
      </c>
      <c r="O339" s="8" t="n">
        <f aca="false">INDEX(Mapping!$C$2:$C$99,MATCH(O$1&amp;"|"&amp;Customers!O339,Mapping!$D$2:$D$99,0))</f>
        <v>3</v>
      </c>
      <c r="P339" s="8" t="n">
        <f aca="false">INDEX(Mapping!$C$2:$C$99,MATCH(P$1&amp;"|"&amp;Customers!P339,Mapping!$D$2:$D$99,0))</f>
        <v>3</v>
      </c>
      <c r="Q339" s="8" t="n">
        <f aca="false">INDEX(Mapping!$C$2:$C$99,MATCH(Q$1&amp;"|"&amp;Customers!Q339,Mapping!$D$2:$D$99,0))</f>
        <v>3</v>
      </c>
      <c r="R339" s="8" t="n">
        <f aca="false">INDEX(Mapping!$C$2:$C$99,MATCH(R$1&amp;"|"&amp;Customers!R339,Mapping!$D$2:$D$99,0))</f>
        <v>3</v>
      </c>
      <c r="S339" s="8" t="n">
        <f aca="false">INDEX(Mapping!$C$2:$C$99,MATCH(S$1&amp;"|"&amp;Customers!S339,Mapping!$D$2:$D$99,0))</f>
        <v>4</v>
      </c>
      <c r="T339" s="8" t="n">
        <f aca="false">INDEX(Mapping!$C$2:$C$99,MATCH(T$1&amp;"|"&amp;Customers!T339,Mapping!$D$2:$D$99,0))</f>
        <v>2</v>
      </c>
      <c r="U339" s="8" t="n">
        <f aca="false">INDEX(Mapping!$C$2:$C$99,MATCH(U$1&amp;"|"&amp;Customers!U339,Mapping!$D$2:$D$99,0))</f>
        <v>1</v>
      </c>
      <c r="V339" s="8" t="n">
        <f aca="false">INDEX(Mapping!$C$2:$C$99,MATCH(V$1&amp;"|"&amp;Customers!V339,Mapping!$D$2:$D$99,0))</f>
        <v>3</v>
      </c>
      <c r="W339" s="17" t="n">
        <f aca="false">SUMPRODUCT($C339:$V339,Weights!$C$27:$V$27)</f>
        <v>2.205</v>
      </c>
      <c r="X339" s="18" t="n">
        <f aca="false">ROUND($W339,2)</f>
        <v>2.21</v>
      </c>
      <c r="Y339" s="8" t="str">
        <f aca="false">IF($X339&lt;=2,"Low",IF($X339&lt;=3.49,"Medium","High"))</f>
        <v>Medium</v>
      </c>
      <c r="Z339" s="8" t="str">
        <f aca="false">IF(OR($F339&gt;=3,$E339=5,$D339=5,$C339=5,$G339=5,$H339=5,$I339=5,$J339=5,Customers!$W339="Yes"),"Yes","No")</f>
        <v>No</v>
      </c>
      <c r="AA339" s="15" t="str">
        <f aca="false">IF($Z339="Yes","High",$Y339)</f>
        <v>Medium</v>
      </c>
      <c r="AB339" s="18" t="n">
        <f aca="false">SUMPRODUCT($C339:$G339,Weights!$C$28:$G$28)</f>
        <v>1.85</v>
      </c>
      <c r="AC339" s="18" t="n">
        <f aca="false">SUMPRODUCT($H339:$J339,Weights!$H$28:$J$28)</f>
        <v>1</v>
      </c>
      <c r="AD339" s="18" t="n">
        <f aca="false">SUMPRODUCT($K339:$N339,Weights!$K$28:$N$28)</f>
        <v>3.4</v>
      </c>
      <c r="AE339" s="18" t="n">
        <f aca="false">SUMPRODUCT($O339:$Q339,Weights!$O$28:$Q$28)</f>
        <v>3</v>
      </c>
      <c r="AF339" s="18" t="n">
        <f aca="false">SUMPRODUCT($R339:$V339,Weights!$R$28:$V$28)</f>
        <v>2.8</v>
      </c>
      <c r="AH339" s="18" t="n">
        <f aca="false">SUMPRODUCT($AB339:$AF339,Validation!$D$7:$H$7)</f>
        <v>2.2557142857146</v>
      </c>
      <c r="AI339" s="18" t="n">
        <f aca="false">SUMPRODUCT($AB339:$AF339,Validation!$D$8:$H$8)</f>
        <v>2.1542857142854</v>
      </c>
      <c r="AJ339" s="18" t="n">
        <f aca="false">SUMPRODUCT($AB339:$AF339,Validation!$D$9:$H$9)</f>
        <v>2.3656666666668</v>
      </c>
      <c r="AK339" s="18" t="n">
        <f aca="false">SUMPRODUCT($AB339:$AF339,Validation!$D$10:$H$10)</f>
        <v>2.0443333333332</v>
      </c>
      <c r="AL339" s="18" t="n">
        <f aca="false">SUMPRODUCT($AB339:$AF339,Validation!$D$11:$H$11)</f>
        <v>2.055625</v>
      </c>
      <c r="AM339" s="18" t="n">
        <f aca="false">SUMPRODUCT($AB339:$AF339,Validation!$D$12:$H$12)</f>
        <v>2.354375</v>
      </c>
      <c r="AN339" s="18" t="n">
        <f aca="false">SUMPRODUCT($AB339:$AF339,Validation!$D$13:$H$13)</f>
        <v>2.11666666666645</v>
      </c>
      <c r="AO339" s="18" t="n">
        <f aca="false">SUMPRODUCT($AB339:$AF339,Validation!$D$14:$H$14)</f>
        <v>2.29333333333355</v>
      </c>
      <c r="AP339" s="18" t="n">
        <f aca="false">SUMPRODUCT($AB339:$AF339,Validation!$D$15:$H$15)</f>
        <v>2.13499999999995</v>
      </c>
      <c r="AQ339" s="18" t="n">
        <f aca="false">SUMPRODUCT($AB339:$AF339,Validation!$D$16:$H$16)</f>
        <v>2.27500000000005</v>
      </c>
      <c r="AR339" s="8" t="n">
        <f aca="false">COUNTIF($C339:$V339,"&gt;=4")</f>
        <v>3</v>
      </c>
      <c r="AS339" s="8" t="str">
        <f aca="false">IF($X339&lt;=1.6,"Low",IF($X339&lt;=2.2,"Medium","High"))</f>
        <v>High</v>
      </c>
      <c r="AT339" s="8" t="str">
        <f aca="false">IF($AR339=0,"Low",IF($AR339&lt;3,"Medium","High"))</f>
        <v>High</v>
      </c>
      <c r="AU339" s="8" t="str">
        <f aca="false">IF(OR($AS339="High",$AT339="High"),"High",IF(OR($AS339="Medium",$AT339="Medium"),"Medium","Low"))</f>
        <v>High</v>
      </c>
      <c r="AV339" s="15" t="str">
        <f aca="false">IF($Z339="Yes","High",$AU339)</f>
        <v>High</v>
      </c>
    </row>
    <row r="340" customFormat="false" ht="15" hidden="false" customHeight="false" outlineLevel="0" collapsed="false">
      <c r="A340" s="7" t="str">
        <f aca="false">Customers!$A340</f>
        <v>NG-10328</v>
      </c>
      <c r="B340" s="7" t="str">
        <f aca="false">Customers!$B340</f>
        <v>Sole trader</v>
      </c>
      <c r="C340" s="8" t="n">
        <f aca="false">INDEX(Mapping!$C$2:$C$99,MATCH(C$1&amp;"|"&amp;Customers!C340,Mapping!$D$2:$D$99,0))</f>
        <v>2</v>
      </c>
      <c r="D340" s="8" t="n">
        <f aca="false">INDEX(Mapping!$C$2:$C$99,MATCH(D$1&amp;"|"&amp;Customers!D340,Mapping!$D$2:$D$99,0))</f>
        <v>1</v>
      </c>
      <c r="E340" s="8" t="n">
        <f aca="false">INDEX(Mapping!$C$2:$C$99,MATCH(E$1&amp;"|"&amp;Customers!E340,Mapping!$D$2:$D$99,0))</f>
        <v>2</v>
      </c>
      <c r="F340" s="8" t="n">
        <f aca="false">INDEX(Mapping!$C$2:$C$99,MATCH(F$1&amp;"|"&amp;Customers!F340,Mapping!$D$2:$D$99,0))</f>
        <v>1</v>
      </c>
      <c r="G340" s="8" t="n">
        <f aca="false">INDEX(Mapping!$C$2:$C$99,MATCH(G$1&amp;"|"&amp;Customers!G340,Mapping!$D$2:$D$99,0))</f>
        <v>1</v>
      </c>
      <c r="H340" s="8" t="n">
        <f aca="false">INDEX(Mapping!$C$2:$C$99,MATCH(H$1&amp;"|"&amp;Customers!H340,Mapping!$D$2:$D$99,0))</f>
        <v>1</v>
      </c>
      <c r="I340" s="8" t="n">
        <f aca="false">INDEX(Mapping!$C$2:$C$99,MATCH(I$1&amp;"|"&amp;Customers!I340,Mapping!$D$2:$D$99,0))</f>
        <v>1</v>
      </c>
      <c r="J340" s="8" t="n">
        <f aca="false">INDEX(Mapping!$C$2:$C$99,MATCH(J$1&amp;"|"&amp;Customers!J340,Mapping!$D$2:$D$99,0))</f>
        <v>1</v>
      </c>
      <c r="K340" s="8" t="n">
        <f aca="false">INDEX(Mapping!$C$2:$C$99,MATCH(K$1&amp;"|"&amp;Customers!K340,Mapping!$D$2:$D$99,0))</f>
        <v>4</v>
      </c>
      <c r="L340" s="8" t="n">
        <f aca="false">INDEX(Mapping!$C$2:$C$99,MATCH(L$1&amp;"|"&amp;Customers!L340,Mapping!$D$2:$D$99,0))</f>
        <v>3</v>
      </c>
      <c r="M340" s="8" t="n">
        <f aca="false">INDEX(Mapping!$C$2:$C$99,MATCH(M$1&amp;"|"&amp;Customers!M340,Mapping!$D$2:$D$99,0))</f>
        <v>1</v>
      </c>
      <c r="N340" s="8" t="n">
        <f aca="false">INDEX(Mapping!$C$2:$C$99,MATCH(N$1&amp;"|"&amp;Customers!N340,Mapping!$D$2:$D$99,0))</f>
        <v>4</v>
      </c>
      <c r="O340" s="8" t="n">
        <f aca="false">INDEX(Mapping!$C$2:$C$99,MATCH(O$1&amp;"|"&amp;Customers!O340,Mapping!$D$2:$D$99,0))</f>
        <v>3</v>
      </c>
      <c r="P340" s="8" t="n">
        <f aca="false">INDEX(Mapping!$C$2:$C$99,MATCH(P$1&amp;"|"&amp;Customers!P340,Mapping!$D$2:$D$99,0))</f>
        <v>4</v>
      </c>
      <c r="Q340" s="8" t="n">
        <f aca="false">INDEX(Mapping!$C$2:$C$99,MATCH(Q$1&amp;"|"&amp;Customers!Q340,Mapping!$D$2:$D$99,0))</f>
        <v>1</v>
      </c>
      <c r="R340" s="8" t="n">
        <f aca="false">INDEX(Mapping!$C$2:$C$99,MATCH(R$1&amp;"|"&amp;Customers!R340,Mapping!$D$2:$D$99,0))</f>
        <v>4</v>
      </c>
      <c r="S340" s="8" t="n">
        <f aca="false">INDEX(Mapping!$C$2:$C$99,MATCH(S$1&amp;"|"&amp;Customers!S340,Mapping!$D$2:$D$99,0))</f>
        <v>5</v>
      </c>
      <c r="T340" s="8" t="n">
        <f aca="false">INDEX(Mapping!$C$2:$C$99,MATCH(T$1&amp;"|"&amp;Customers!T340,Mapping!$D$2:$D$99,0))</f>
        <v>1</v>
      </c>
      <c r="U340" s="8" t="n">
        <f aca="false">INDEX(Mapping!$C$2:$C$99,MATCH(U$1&amp;"|"&amp;Customers!U340,Mapping!$D$2:$D$99,0))</f>
        <v>2</v>
      </c>
      <c r="V340" s="8" t="n">
        <f aca="false">INDEX(Mapping!$C$2:$C$99,MATCH(V$1&amp;"|"&amp;Customers!V340,Mapping!$D$2:$D$99,0))</f>
        <v>1</v>
      </c>
      <c r="W340" s="17" t="n">
        <f aca="false">SUMPRODUCT($C340:$V340,Weights!$C$27:$V$27)</f>
        <v>2.045</v>
      </c>
      <c r="X340" s="18" t="n">
        <f aca="false">ROUND($W340,2)</f>
        <v>2.05</v>
      </c>
      <c r="Y340" s="8" t="str">
        <f aca="false">IF($X340&lt;=2,"Low",IF($X340&lt;=3.49,"Medium","High"))</f>
        <v>Medium</v>
      </c>
      <c r="Z340" s="8" t="str">
        <f aca="false">IF(OR($F340&gt;=3,$E340=5,$D340=5,$C340=5,$G340=5,$H340=5,$I340=5,$J340=5,Customers!$W340="Yes"),"Yes","No")</f>
        <v>No</v>
      </c>
      <c r="AA340" s="15" t="str">
        <f aca="false">IF($Z340="Yes","High",$Y340)</f>
        <v>Medium</v>
      </c>
      <c r="AB340" s="18" t="n">
        <f aca="false">SUMPRODUCT($C340:$G340,Weights!$C$28:$G$28)</f>
        <v>1.45</v>
      </c>
      <c r="AC340" s="18" t="n">
        <f aca="false">SUMPRODUCT($H340:$J340,Weights!$H$28:$J$28)</f>
        <v>1</v>
      </c>
      <c r="AD340" s="18" t="n">
        <f aca="false">SUMPRODUCT($K340:$N340,Weights!$K$28:$N$28)</f>
        <v>3</v>
      </c>
      <c r="AE340" s="18" t="n">
        <f aca="false">SUMPRODUCT($O340:$Q340,Weights!$O$28:$Q$28)</f>
        <v>2.95</v>
      </c>
      <c r="AF340" s="18" t="n">
        <f aca="false">SUMPRODUCT($R340:$V340,Weights!$R$28:$V$28)</f>
        <v>3.1</v>
      </c>
      <c r="AH340" s="18" t="n">
        <f aca="false">SUMPRODUCT($AB340:$AF340,Validation!$D$7:$H$7)</f>
        <v>2.1300000000006</v>
      </c>
      <c r="AI340" s="18" t="n">
        <f aca="false">SUMPRODUCT($AB340:$AF340,Validation!$D$8:$H$8)</f>
        <v>1.9599999999994</v>
      </c>
      <c r="AJ340" s="18" t="n">
        <f aca="false">SUMPRODUCT($AB340:$AF340,Validation!$D$9:$H$9)</f>
        <v>2.18433333333335</v>
      </c>
      <c r="AK340" s="18" t="n">
        <f aca="false">SUMPRODUCT($AB340:$AF340,Validation!$D$10:$H$10)</f>
        <v>1.90566666666665</v>
      </c>
      <c r="AL340" s="18" t="n">
        <f aca="false">SUMPRODUCT($AB340:$AF340,Validation!$D$11:$H$11)</f>
        <v>1.925625</v>
      </c>
      <c r="AM340" s="18" t="n">
        <f aca="false">SUMPRODUCT($AB340:$AF340,Validation!$D$12:$H$12)</f>
        <v>2.164375</v>
      </c>
      <c r="AN340" s="18" t="n">
        <f aca="false">SUMPRODUCT($AB340:$AF340,Validation!$D$13:$H$13)</f>
        <v>1.94444444444455</v>
      </c>
      <c r="AO340" s="18" t="n">
        <f aca="false">SUMPRODUCT($AB340:$AF340,Validation!$D$14:$H$14)</f>
        <v>2.14555555555545</v>
      </c>
      <c r="AP340" s="18" t="n">
        <f aca="false">SUMPRODUCT($AB340:$AF340,Validation!$D$15:$H$15)</f>
        <v>1.92088235294105</v>
      </c>
      <c r="AQ340" s="18" t="n">
        <f aca="false">SUMPRODUCT($AB340:$AF340,Validation!$D$16:$H$16)</f>
        <v>2.16911764705895</v>
      </c>
      <c r="AR340" s="8" t="n">
        <f aca="false">COUNTIF($C340:$V340,"&gt;=4")</f>
        <v>5</v>
      </c>
      <c r="AS340" s="8" t="str">
        <f aca="false">IF($X340&lt;=1.6,"Low",IF($X340&lt;=2.2,"Medium","High"))</f>
        <v>Medium</v>
      </c>
      <c r="AT340" s="8" t="str">
        <f aca="false">IF($AR340=0,"Low",IF($AR340&lt;3,"Medium","High"))</f>
        <v>High</v>
      </c>
      <c r="AU340" s="8" t="str">
        <f aca="false">IF(OR($AS340="High",$AT340="High"),"High",IF(OR($AS340="Medium",$AT340="Medium"),"Medium","Low"))</f>
        <v>High</v>
      </c>
      <c r="AV340" s="15" t="str">
        <f aca="false">IF($Z340="Yes","High",$AU340)</f>
        <v>High</v>
      </c>
    </row>
    <row r="341" customFormat="false" ht="15" hidden="false" customHeight="false" outlineLevel="0" collapsed="false">
      <c r="A341" s="7" t="str">
        <f aca="false">Customers!$A341</f>
        <v>NG-10287</v>
      </c>
      <c r="B341" s="7" t="str">
        <f aca="false">Customers!$B341</f>
        <v>Personal</v>
      </c>
      <c r="C341" s="8" t="n">
        <f aca="false">INDEX(Mapping!$C$2:$C$99,MATCH(C$1&amp;"|"&amp;Customers!C341,Mapping!$D$2:$D$99,0))</f>
        <v>1</v>
      </c>
      <c r="D341" s="8" t="n">
        <f aca="false">INDEX(Mapping!$C$2:$C$99,MATCH(D$1&amp;"|"&amp;Customers!D341,Mapping!$D$2:$D$99,0))</f>
        <v>1</v>
      </c>
      <c r="E341" s="8" t="n">
        <f aca="false">INDEX(Mapping!$C$2:$C$99,MATCH(E$1&amp;"|"&amp;Customers!E341,Mapping!$D$2:$D$99,0))</f>
        <v>2</v>
      </c>
      <c r="F341" s="8" t="n">
        <f aca="false">INDEX(Mapping!$C$2:$C$99,MATCH(F$1&amp;"|"&amp;Customers!F341,Mapping!$D$2:$D$99,0))</f>
        <v>1</v>
      </c>
      <c r="G341" s="8" t="n">
        <f aca="false">INDEX(Mapping!$C$2:$C$99,MATCH(G$1&amp;"|"&amp;Customers!G341,Mapping!$D$2:$D$99,0))</f>
        <v>2</v>
      </c>
      <c r="H341" s="8" t="n">
        <f aca="false">INDEX(Mapping!$C$2:$C$99,MATCH(H$1&amp;"|"&amp;Customers!H341,Mapping!$D$2:$D$99,0))</f>
        <v>1</v>
      </c>
      <c r="I341" s="8" t="n">
        <f aca="false">INDEX(Mapping!$C$2:$C$99,MATCH(I$1&amp;"|"&amp;Customers!I341,Mapping!$D$2:$D$99,0))</f>
        <v>1</v>
      </c>
      <c r="J341" s="8" t="n">
        <f aca="false">INDEX(Mapping!$C$2:$C$99,MATCH(J$1&amp;"|"&amp;Customers!J341,Mapping!$D$2:$D$99,0))</f>
        <v>1</v>
      </c>
      <c r="K341" s="8" t="n">
        <f aca="false">INDEX(Mapping!$C$2:$C$99,MATCH(K$1&amp;"|"&amp;Customers!K341,Mapping!$D$2:$D$99,0))</f>
        <v>3</v>
      </c>
      <c r="L341" s="8" t="n">
        <f aca="false">INDEX(Mapping!$C$2:$C$99,MATCH(L$1&amp;"|"&amp;Customers!L341,Mapping!$D$2:$D$99,0))</f>
        <v>2</v>
      </c>
      <c r="M341" s="8" t="n">
        <f aca="false">INDEX(Mapping!$C$2:$C$99,MATCH(M$1&amp;"|"&amp;Customers!M341,Mapping!$D$2:$D$99,0))</f>
        <v>4</v>
      </c>
      <c r="N341" s="8" t="n">
        <f aca="false">INDEX(Mapping!$C$2:$C$99,MATCH(N$1&amp;"|"&amp;Customers!N341,Mapping!$D$2:$D$99,0))</f>
        <v>3</v>
      </c>
      <c r="O341" s="8" t="n">
        <f aca="false">INDEX(Mapping!$C$2:$C$99,MATCH(O$1&amp;"|"&amp;Customers!O341,Mapping!$D$2:$D$99,0))</f>
        <v>5</v>
      </c>
      <c r="P341" s="8" t="n">
        <f aca="false">INDEX(Mapping!$C$2:$C$99,MATCH(P$1&amp;"|"&amp;Customers!P341,Mapping!$D$2:$D$99,0))</f>
        <v>3</v>
      </c>
      <c r="Q341" s="8" t="n">
        <f aca="false">INDEX(Mapping!$C$2:$C$99,MATCH(Q$1&amp;"|"&amp;Customers!Q341,Mapping!$D$2:$D$99,0))</f>
        <v>3</v>
      </c>
      <c r="R341" s="8" t="n">
        <f aca="false">INDEX(Mapping!$C$2:$C$99,MATCH(R$1&amp;"|"&amp;Customers!R341,Mapping!$D$2:$D$99,0))</f>
        <v>1</v>
      </c>
      <c r="S341" s="8" t="n">
        <f aca="false">INDEX(Mapping!$C$2:$C$99,MATCH(S$1&amp;"|"&amp;Customers!S341,Mapping!$D$2:$D$99,0))</f>
        <v>3</v>
      </c>
      <c r="T341" s="8" t="n">
        <f aca="false">INDEX(Mapping!$C$2:$C$99,MATCH(T$1&amp;"|"&amp;Customers!T341,Mapping!$D$2:$D$99,0))</f>
        <v>1</v>
      </c>
      <c r="U341" s="8" t="n">
        <f aca="false">INDEX(Mapping!$C$2:$C$99,MATCH(U$1&amp;"|"&amp;Customers!U341,Mapping!$D$2:$D$99,0))</f>
        <v>1</v>
      </c>
      <c r="V341" s="8" t="n">
        <f aca="false">INDEX(Mapping!$C$2:$C$99,MATCH(V$1&amp;"|"&amp;Customers!V341,Mapping!$D$2:$D$99,0))</f>
        <v>1</v>
      </c>
      <c r="W341" s="17" t="n">
        <f aca="false">SUMPRODUCT($C341:$V341,Weights!$C$27:$V$27)</f>
        <v>1.9</v>
      </c>
      <c r="X341" s="18" t="n">
        <f aca="false">ROUND($W341,2)</f>
        <v>1.9</v>
      </c>
      <c r="Y341" s="8" t="str">
        <f aca="false">IF($X341&lt;=2,"Low",IF($X341&lt;=3.49,"Medium","High"))</f>
        <v>Low</v>
      </c>
      <c r="Z341" s="8" t="str">
        <f aca="false">IF(OR($F341&gt;=3,$E341=5,$D341=5,$C341=5,$G341=5,$H341=5,$I341=5,$J341=5,Customers!$W341="Yes"),"Yes","No")</f>
        <v>No</v>
      </c>
      <c r="AA341" s="15" t="str">
        <f aca="false">IF($Z341="Yes","High",$Y341)</f>
        <v>Low</v>
      </c>
      <c r="AB341" s="18" t="n">
        <f aca="false">SUMPRODUCT($C341:$G341,Weights!$C$28:$G$28)</f>
        <v>1.4</v>
      </c>
      <c r="AC341" s="18" t="n">
        <f aca="false">SUMPRODUCT($H341:$J341,Weights!$H$28:$J$28)</f>
        <v>1</v>
      </c>
      <c r="AD341" s="18" t="n">
        <f aca="false">SUMPRODUCT($K341:$N341,Weights!$K$28:$N$28)</f>
        <v>3</v>
      </c>
      <c r="AE341" s="18" t="n">
        <f aca="false">SUMPRODUCT($O341:$Q341,Weights!$O$28:$Q$28)</f>
        <v>3.9</v>
      </c>
      <c r="AF341" s="18" t="n">
        <f aca="false">SUMPRODUCT($R341:$V341,Weights!$R$28:$V$28)</f>
        <v>1.6</v>
      </c>
      <c r="AH341" s="18" t="n">
        <f aca="false">SUMPRODUCT($AB341:$AF341,Validation!$D$7:$H$7)</f>
        <v>1.9714285714288</v>
      </c>
      <c r="AI341" s="18" t="n">
        <f aca="false">SUMPRODUCT($AB341:$AF341,Validation!$D$8:$H$8)</f>
        <v>1.8285714285712</v>
      </c>
      <c r="AJ341" s="18" t="n">
        <f aca="false">SUMPRODUCT($AB341:$AF341,Validation!$D$9:$H$9)</f>
        <v>2.0199999999997</v>
      </c>
      <c r="AK341" s="18" t="n">
        <f aca="false">SUMPRODUCT($AB341:$AF341,Validation!$D$10:$H$10)</f>
        <v>1.7800000000003</v>
      </c>
      <c r="AL341" s="18" t="n">
        <f aca="false">SUMPRODUCT($AB341:$AF341,Validation!$D$11:$H$11)</f>
        <v>1.7625</v>
      </c>
      <c r="AM341" s="18" t="n">
        <f aca="false">SUMPRODUCT($AB341:$AF341,Validation!$D$12:$H$12)</f>
        <v>2.0375</v>
      </c>
      <c r="AN341" s="18" t="n">
        <f aca="false">SUMPRODUCT($AB341:$AF341,Validation!$D$13:$H$13)</f>
        <v>1.6777777777774</v>
      </c>
      <c r="AO341" s="18" t="n">
        <f aca="false">SUMPRODUCT($AB341:$AF341,Validation!$D$14:$H$14)</f>
        <v>2.1222222222226</v>
      </c>
      <c r="AP341" s="18" t="n">
        <f aca="false">SUMPRODUCT($AB341:$AF341,Validation!$D$15:$H$15)</f>
        <v>1.9352941176466</v>
      </c>
      <c r="AQ341" s="18" t="n">
        <f aca="false">SUMPRODUCT($AB341:$AF341,Validation!$D$16:$H$16)</f>
        <v>1.8647058823534</v>
      </c>
      <c r="AR341" s="8" t="n">
        <f aca="false">COUNTIF($C341:$V341,"&gt;=4")</f>
        <v>2</v>
      </c>
      <c r="AS341" s="8" t="str">
        <f aca="false">IF($X341&lt;=1.6,"Low",IF($X341&lt;=2.2,"Medium","High"))</f>
        <v>Medium</v>
      </c>
      <c r="AT341" s="8" t="str">
        <f aca="false">IF($AR341=0,"Low",IF($AR341&lt;3,"Medium","High"))</f>
        <v>Medium</v>
      </c>
      <c r="AU341" s="8" t="str">
        <f aca="false">IF(OR($AS341="High",$AT341="High"),"High",IF(OR($AS341="Medium",$AT341="Medium"),"Medium","Low"))</f>
        <v>Medium</v>
      </c>
      <c r="AV341" s="15" t="str">
        <f aca="false">IF($Z341="Yes","High",$AU341)</f>
        <v>Medium</v>
      </c>
    </row>
    <row r="342" customFormat="false" ht="15" hidden="false" customHeight="false" outlineLevel="0" collapsed="false">
      <c r="A342" s="7" t="str">
        <f aca="false">Customers!$A342</f>
        <v>NG-10085</v>
      </c>
      <c r="B342" s="7" t="str">
        <f aca="false">Customers!$B342</f>
        <v>Personal</v>
      </c>
      <c r="C342" s="8" t="n">
        <f aca="false">INDEX(Mapping!$C$2:$C$99,MATCH(C$1&amp;"|"&amp;Customers!C342,Mapping!$D$2:$D$99,0))</f>
        <v>2</v>
      </c>
      <c r="D342" s="8" t="n">
        <f aca="false">INDEX(Mapping!$C$2:$C$99,MATCH(D$1&amp;"|"&amp;Customers!D342,Mapping!$D$2:$D$99,0))</f>
        <v>1</v>
      </c>
      <c r="E342" s="8" t="n">
        <f aca="false">INDEX(Mapping!$C$2:$C$99,MATCH(E$1&amp;"|"&amp;Customers!E342,Mapping!$D$2:$D$99,0))</f>
        <v>1</v>
      </c>
      <c r="F342" s="8" t="n">
        <f aca="false">INDEX(Mapping!$C$2:$C$99,MATCH(F$1&amp;"|"&amp;Customers!F342,Mapping!$D$2:$D$99,0))</f>
        <v>1</v>
      </c>
      <c r="G342" s="8" t="n">
        <f aca="false">INDEX(Mapping!$C$2:$C$99,MATCH(G$1&amp;"|"&amp;Customers!G342,Mapping!$D$2:$D$99,0))</f>
        <v>1</v>
      </c>
      <c r="H342" s="8" t="n">
        <f aca="false">INDEX(Mapping!$C$2:$C$99,MATCH(H$1&amp;"|"&amp;Customers!H342,Mapping!$D$2:$D$99,0))</f>
        <v>1</v>
      </c>
      <c r="I342" s="8" t="n">
        <f aca="false">INDEX(Mapping!$C$2:$C$99,MATCH(I$1&amp;"|"&amp;Customers!I342,Mapping!$D$2:$D$99,0))</f>
        <v>1</v>
      </c>
      <c r="J342" s="8" t="n">
        <f aca="false">INDEX(Mapping!$C$2:$C$99,MATCH(J$1&amp;"|"&amp;Customers!J342,Mapping!$D$2:$D$99,0))</f>
        <v>1</v>
      </c>
      <c r="K342" s="8" t="n">
        <f aca="false">INDEX(Mapping!$C$2:$C$99,MATCH(K$1&amp;"|"&amp;Customers!K342,Mapping!$D$2:$D$99,0))</f>
        <v>3</v>
      </c>
      <c r="L342" s="8" t="n">
        <f aca="false">INDEX(Mapping!$C$2:$C$99,MATCH(L$1&amp;"|"&amp;Customers!L342,Mapping!$D$2:$D$99,0))</f>
        <v>2</v>
      </c>
      <c r="M342" s="8" t="n">
        <f aca="false">INDEX(Mapping!$C$2:$C$99,MATCH(M$1&amp;"|"&amp;Customers!M342,Mapping!$D$2:$D$99,0))</f>
        <v>1</v>
      </c>
      <c r="N342" s="8" t="n">
        <f aca="false">INDEX(Mapping!$C$2:$C$99,MATCH(N$1&amp;"|"&amp;Customers!N342,Mapping!$D$2:$D$99,0))</f>
        <v>1</v>
      </c>
      <c r="O342" s="8" t="n">
        <f aca="false">INDEX(Mapping!$C$2:$C$99,MATCH(O$1&amp;"|"&amp;Customers!O342,Mapping!$D$2:$D$99,0))</f>
        <v>4</v>
      </c>
      <c r="P342" s="8" t="n">
        <f aca="false">INDEX(Mapping!$C$2:$C$99,MATCH(P$1&amp;"|"&amp;Customers!P342,Mapping!$D$2:$D$99,0))</f>
        <v>4</v>
      </c>
      <c r="Q342" s="8" t="n">
        <f aca="false">INDEX(Mapping!$C$2:$C$99,MATCH(Q$1&amp;"|"&amp;Customers!Q342,Mapping!$D$2:$D$99,0))</f>
        <v>1</v>
      </c>
      <c r="R342" s="8" t="n">
        <f aca="false">INDEX(Mapping!$C$2:$C$99,MATCH(R$1&amp;"|"&amp;Customers!R342,Mapping!$D$2:$D$99,0))</f>
        <v>1</v>
      </c>
      <c r="S342" s="8" t="n">
        <f aca="false">INDEX(Mapping!$C$2:$C$99,MATCH(S$1&amp;"|"&amp;Customers!S342,Mapping!$D$2:$D$99,0))</f>
        <v>2</v>
      </c>
      <c r="T342" s="8" t="n">
        <f aca="false">INDEX(Mapping!$C$2:$C$99,MATCH(T$1&amp;"|"&amp;Customers!T342,Mapping!$D$2:$D$99,0))</f>
        <v>1</v>
      </c>
      <c r="U342" s="8" t="n">
        <f aca="false">INDEX(Mapping!$C$2:$C$99,MATCH(U$1&amp;"|"&amp;Customers!U342,Mapping!$D$2:$D$99,0))</f>
        <v>1</v>
      </c>
      <c r="V342" s="8" t="n">
        <f aca="false">INDEX(Mapping!$C$2:$C$99,MATCH(V$1&amp;"|"&amp;Customers!V342,Mapping!$D$2:$D$99,0))</f>
        <v>1</v>
      </c>
      <c r="W342" s="17" t="n">
        <f aca="false">SUMPRODUCT($C342:$V342,Weights!$C$27:$V$27)</f>
        <v>1.535</v>
      </c>
      <c r="X342" s="18" t="n">
        <f aca="false">ROUND($W342,2)</f>
        <v>1.54</v>
      </c>
      <c r="Y342" s="8" t="str">
        <f aca="false">IF($X342&lt;=2,"Low",IF($X342&lt;=3.49,"Medium","High"))</f>
        <v>Low</v>
      </c>
      <c r="Z342" s="8" t="str">
        <f aca="false">IF(OR($F342&gt;=3,$E342=5,$D342=5,$C342=5,$G342=5,$H342=5,$I342=5,$J342=5,Customers!$W342="Yes"),"Yes","No")</f>
        <v>No</v>
      </c>
      <c r="AA342" s="15" t="str">
        <f aca="false">IF($Z342="Yes","High",$Y342)</f>
        <v>Low</v>
      </c>
      <c r="AB342" s="18" t="n">
        <f aca="false">SUMPRODUCT($C342:$G342,Weights!$C$28:$G$28)</f>
        <v>1.2</v>
      </c>
      <c r="AC342" s="18" t="n">
        <f aca="false">SUMPRODUCT($H342:$J342,Weights!$H$28:$J$28)</f>
        <v>1</v>
      </c>
      <c r="AD342" s="18" t="n">
        <f aca="false">SUMPRODUCT($K342:$N342,Weights!$K$28:$N$28)</f>
        <v>1.95</v>
      </c>
      <c r="AE342" s="18" t="n">
        <f aca="false">SUMPRODUCT($O342:$Q342,Weights!$O$28:$Q$28)</f>
        <v>3.4</v>
      </c>
      <c r="AF342" s="18" t="n">
        <f aca="false">SUMPRODUCT($R342:$V342,Weights!$R$28:$V$28)</f>
        <v>1.3</v>
      </c>
      <c r="AH342" s="18" t="n">
        <f aca="false">SUMPRODUCT($AB342:$AF342,Validation!$D$7:$H$7)</f>
        <v>1.58285714285755</v>
      </c>
      <c r="AI342" s="18" t="n">
        <f aca="false">SUMPRODUCT($AB342:$AF342,Validation!$D$8:$H$8)</f>
        <v>1.48714285714245</v>
      </c>
      <c r="AJ342" s="18" t="n">
        <f aca="false">SUMPRODUCT($AB342:$AF342,Validation!$D$9:$H$9)</f>
        <v>1.60633333333285</v>
      </c>
      <c r="AK342" s="18" t="n">
        <f aca="false">SUMPRODUCT($AB342:$AF342,Validation!$D$10:$H$10)</f>
        <v>1.46366666666715</v>
      </c>
      <c r="AL342" s="18" t="n">
        <f aca="false">SUMPRODUCT($AB342:$AF342,Validation!$D$11:$H$11)</f>
        <v>1.483125</v>
      </c>
      <c r="AM342" s="18" t="n">
        <f aca="false">SUMPRODUCT($AB342:$AF342,Validation!$D$12:$H$12)</f>
        <v>1.586875</v>
      </c>
      <c r="AN342" s="18" t="n">
        <f aca="false">SUMPRODUCT($AB342:$AF342,Validation!$D$13:$H$13)</f>
        <v>1.3277777777776</v>
      </c>
      <c r="AO342" s="18" t="n">
        <f aca="false">SUMPRODUCT($AB342:$AF342,Validation!$D$14:$H$14)</f>
        <v>1.7422222222224</v>
      </c>
      <c r="AP342" s="18" t="n">
        <f aca="false">SUMPRODUCT($AB342:$AF342,Validation!$D$15:$H$15)</f>
        <v>1.56264705882295</v>
      </c>
      <c r="AQ342" s="18" t="n">
        <f aca="false">SUMPRODUCT($AB342:$AF342,Validation!$D$16:$H$16)</f>
        <v>1.50735294117705</v>
      </c>
      <c r="AR342" s="8" t="n">
        <f aca="false">COUNTIF($C342:$V342,"&gt;=4")</f>
        <v>2</v>
      </c>
      <c r="AS342" s="8" t="str">
        <f aca="false">IF($X342&lt;=1.6,"Low",IF($X342&lt;=2.2,"Medium","High"))</f>
        <v>Low</v>
      </c>
      <c r="AT342" s="8" t="str">
        <f aca="false">IF($AR342=0,"Low",IF($AR342&lt;3,"Medium","High"))</f>
        <v>Medium</v>
      </c>
      <c r="AU342" s="8" t="str">
        <f aca="false">IF(OR($AS342="High",$AT342="High"),"High",IF(OR($AS342="Medium",$AT342="Medium"),"Medium","Low"))</f>
        <v>Medium</v>
      </c>
      <c r="AV342" s="15" t="str">
        <f aca="false">IF($Z342="Yes","High",$AU342)</f>
        <v>Medium</v>
      </c>
    </row>
    <row r="343" customFormat="false" ht="15" hidden="false" customHeight="false" outlineLevel="0" collapsed="false">
      <c r="A343" s="7" t="str">
        <f aca="false">Customers!$A343</f>
        <v>NG-10133</v>
      </c>
      <c r="B343" s="7" t="str">
        <f aca="false">Customers!$B343</f>
        <v>Personal</v>
      </c>
      <c r="C343" s="8" t="n">
        <f aca="false">INDEX(Mapping!$C$2:$C$99,MATCH(C$1&amp;"|"&amp;Customers!C343,Mapping!$D$2:$D$99,0))</f>
        <v>1</v>
      </c>
      <c r="D343" s="8" t="n">
        <f aca="false">INDEX(Mapping!$C$2:$C$99,MATCH(D$1&amp;"|"&amp;Customers!D343,Mapping!$D$2:$D$99,0))</f>
        <v>1</v>
      </c>
      <c r="E343" s="8" t="n">
        <f aca="false">INDEX(Mapping!$C$2:$C$99,MATCH(E$1&amp;"|"&amp;Customers!E343,Mapping!$D$2:$D$99,0))</f>
        <v>3</v>
      </c>
      <c r="F343" s="8" t="n">
        <f aca="false">INDEX(Mapping!$C$2:$C$99,MATCH(F$1&amp;"|"&amp;Customers!F343,Mapping!$D$2:$D$99,0))</f>
        <v>1</v>
      </c>
      <c r="G343" s="8" t="n">
        <f aca="false">INDEX(Mapping!$C$2:$C$99,MATCH(G$1&amp;"|"&amp;Customers!G343,Mapping!$D$2:$D$99,0))</f>
        <v>1</v>
      </c>
      <c r="H343" s="8" t="n">
        <f aca="false">INDEX(Mapping!$C$2:$C$99,MATCH(H$1&amp;"|"&amp;Customers!H343,Mapping!$D$2:$D$99,0))</f>
        <v>1</v>
      </c>
      <c r="I343" s="8" t="n">
        <f aca="false">INDEX(Mapping!$C$2:$C$99,MATCH(I$1&amp;"|"&amp;Customers!I343,Mapping!$D$2:$D$99,0))</f>
        <v>1</v>
      </c>
      <c r="J343" s="8" t="n">
        <f aca="false">INDEX(Mapping!$C$2:$C$99,MATCH(J$1&amp;"|"&amp;Customers!J343,Mapping!$D$2:$D$99,0))</f>
        <v>2</v>
      </c>
      <c r="K343" s="8" t="n">
        <f aca="false">INDEX(Mapping!$C$2:$C$99,MATCH(K$1&amp;"|"&amp;Customers!K343,Mapping!$D$2:$D$99,0))</f>
        <v>3</v>
      </c>
      <c r="L343" s="8" t="n">
        <f aca="false">INDEX(Mapping!$C$2:$C$99,MATCH(L$1&amp;"|"&amp;Customers!L343,Mapping!$D$2:$D$99,0))</f>
        <v>3</v>
      </c>
      <c r="M343" s="8" t="n">
        <f aca="false">INDEX(Mapping!$C$2:$C$99,MATCH(M$1&amp;"|"&amp;Customers!M343,Mapping!$D$2:$D$99,0))</f>
        <v>3</v>
      </c>
      <c r="N343" s="8" t="n">
        <f aca="false">INDEX(Mapping!$C$2:$C$99,MATCH(N$1&amp;"|"&amp;Customers!N343,Mapping!$D$2:$D$99,0))</f>
        <v>2</v>
      </c>
      <c r="O343" s="8" t="n">
        <f aca="false">INDEX(Mapping!$C$2:$C$99,MATCH(O$1&amp;"|"&amp;Customers!O343,Mapping!$D$2:$D$99,0))</f>
        <v>3</v>
      </c>
      <c r="P343" s="8" t="n">
        <f aca="false">INDEX(Mapping!$C$2:$C$99,MATCH(P$1&amp;"|"&amp;Customers!P343,Mapping!$D$2:$D$99,0))</f>
        <v>3</v>
      </c>
      <c r="Q343" s="8" t="n">
        <f aca="false">INDEX(Mapping!$C$2:$C$99,MATCH(Q$1&amp;"|"&amp;Customers!Q343,Mapping!$D$2:$D$99,0))</f>
        <v>3</v>
      </c>
      <c r="R343" s="8" t="n">
        <f aca="false">INDEX(Mapping!$C$2:$C$99,MATCH(R$1&amp;"|"&amp;Customers!R343,Mapping!$D$2:$D$99,0))</f>
        <v>1</v>
      </c>
      <c r="S343" s="8" t="n">
        <f aca="false">INDEX(Mapping!$C$2:$C$99,MATCH(S$1&amp;"|"&amp;Customers!S343,Mapping!$D$2:$D$99,0))</f>
        <v>1</v>
      </c>
      <c r="T343" s="8" t="n">
        <f aca="false">INDEX(Mapping!$C$2:$C$99,MATCH(T$1&amp;"|"&amp;Customers!T343,Mapping!$D$2:$D$99,0))</f>
        <v>3</v>
      </c>
      <c r="U343" s="8" t="n">
        <f aca="false">INDEX(Mapping!$C$2:$C$99,MATCH(U$1&amp;"|"&amp;Customers!U343,Mapping!$D$2:$D$99,0))</f>
        <v>2</v>
      </c>
      <c r="V343" s="8" t="n">
        <f aca="false">INDEX(Mapping!$C$2:$C$99,MATCH(V$1&amp;"|"&amp;Customers!V343,Mapping!$D$2:$D$99,0))</f>
        <v>3</v>
      </c>
      <c r="W343" s="17" t="n">
        <f aca="false">SUMPRODUCT($C343:$V343,Weights!$C$27:$V$27)</f>
        <v>1.9325</v>
      </c>
      <c r="X343" s="18" t="n">
        <f aca="false">ROUND($W343,2)</f>
        <v>1.93</v>
      </c>
      <c r="Y343" s="8" t="str">
        <f aca="false">IF($X343&lt;=2,"Low",IF($X343&lt;=3.49,"Medium","High"))</f>
        <v>Low</v>
      </c>
      <c r="Z343" s="8" t="str">
        <f aca="false">IF(OR($F343&gt;=3,$E343=5,$D343=5,$C343=5,$G343=5,$H343=5,$I343=5,$J343=5,Customers!$W343="Yes"),"Yes","No")</f>
        <v>No</v>
      </c>
      <c r="AA343" s="15" t="str">
        <f aca="false">IF($Z343="Yes","High",$Y343)</f>
        <v>Low</v>
      </c>
      <c r="AB343" s="18" t="n">
        <f aca="false">SUMPRODUCT($C343:$G343,Weights!$C$28:$G$28)</f>
        <v>1.5</v>
      </c>
      <c r="AC343" s="18" t="n">
        <f aca="false">SUMPRODUCT($H343:$J343,Weights!$H$28:$J$28)</f>
        <v>1.4</v>
      </c>
      <c r="AD343" s="18" t="n">
        <f aca="false">SUMPRODUCT($K343:$N343,Weights!$K$28:$N$28)</f>
        <v>2.85</v>
      </c>
      <c r="AE343" s="18" t="n">
        <f aca="false">SUMPRODUCT($O343:$Q343,Weights!$O$28:$Q$28)</f>
        <v>3</v>
      </c>
      <c r="AF343" s="18" t="n">
        <f aca="false">SUMPRODUCT($R343:$V343,Weights!$R$28:$V$28)</f>
        <v>1.75</v>
      </c>
      <c r="AH343" s="18" t="n">
        <f aca="false">SUMPRODUCT($AB343:$AF343,Validation!$D$7:$H$7)</f>
        <v>1.9942857142857</v>
      </c>
      <c r="AI343" s="18" t="n">
        <f aca="false">SUMPRODUCT($AB343:$AF343,Validation!$D$8:$H$8)</f>
        <v>1.8707142857143</v>
      </c>
      <c r="AJ343" s="18" t="n">
        <f aca="false">SUMPRODUCT($AB343:$AF343,Validation!$D$9:$H$9)</f>
        <v>2.00349999999995</v>
      </c>
      <c r="AK343" s="18" t="n">
        <f aca="false">SUMPRODUCT($AB343:$AF343,Validation!$D$10:$H$10)</f>
        <v>1.86150000000005</v>
      </c>
      <c r="AL343" s="18" t="n">
        <f aca="false">SUMPRODUCT($AB343:$AF343,Validation!$D$11:$H$11)</f>
        <v>1.8178125</v>
      </c>
      <c r="AM343" s="18" t="n">
        <f aca="false">SUMPRODUCT($AB343:$AF343,Validation!$D$12:$H$12)</f>
        <v>2.0471875</v>
      </c>
      <c r="AN343" s="18" t="n">
        <f aca="false">SUMPRODUCT($AB343:$AF343,Validation!$D$13:$H$13)</f>
        <v>1.81388888888865</v>
      </c>
      <c r="AO343" s="18" t="n">
        <f aca="false">SUMPRODUCT($AB343:$AF343,Validation!$D$14:$H$14)</f>
        <v>2.05111111111135</v>
      </c>
      <c r="AP343" s="18" t="n">
        <f aca="false">SUMPRODUCT($AB343:$AF343,Validation!$D$15:$H$15)</f>
        <v>1.95397058823515</v>
      </c>
      <c r="AQ343" s="18" t="n">
        <f aca="false">SUMPRODUCT($AB343:$AF343,Validation!$D$16:$H$16)</f>
        <v>1.91102941176485</v>
      </c>
      <c r="AR343" s="8" t="n">
        <f aca="false">COUNTIF($C343:$V343,"&gt;=4")</f>
        <v>0</v>
      </c>
      <c r="AS343" s="8" t="str">
        <f aca="false">IF($X343&lt;=1.6,"Low",IF($X343&lt;=2.2,"Medium","High"))</f>
        <v>Medium</v>
      </c>
      <c r="AT343" s="8" t="str">
        <f aca="false">IF($AR343=0,"Low",IF($AR343&lt;3,"Medium","High"))</f>
        <v>Low</v>
      </c>
      <c r="AU343" s="8" t="str">
        <f aca="false">IF(OR($AS343="High",$AT343="High"),"High",IF(OR($AS343="Medium",$AT343="Medium"),"Medium","Low"))</f>
        <v>Medium</v>
      </c>
      <c r="AV343" s="15" t="str">
        <f aca="false">IF($Z343="Yes","High",$AU343)</f>
        <v>Medium</v>
      </c>
    </row>
    <row r="344" customFormat="false" ht="15" hidden="false" customHeight="false" outlineLevel="0" collapsed="false">
      <c r="A344" s="7" t="str">
        <f aca="false">Customers!$A344</f>
        <v>NG-10168</v>
      </c>
      <c r="B344" s="7" t="str">
        <f aca="false">Customers!$B344</f>
        <v>Personal</v>
      </c>
      <c r="C344" s="8" t="n">
        <f aca="false">INDEX(Mapping!$C$2:$C$99,MATCH(C$1&amp;"|"&amp;Customers!C344,Mapping!$D$2:$D$99,0))</f>
        <v>1</v>
      </c>
      <c r="D344" s="8" t="n">
        <f aca="false">INDEX(Mapping!$C$2:$C$99,MATCH(D$1&amp;"|"&amp;Customers!D344,Mapping!$D$2:$D$99,0))</f>
        <v>1</v>
      </c>
      <c r="E344" s="8" t="n">
        <f aca="false">INDEX(Mapping!$C$2:$C$99,MATCH(E$1&amp;"|"&amp;Customers!E344,Mapping!$D$2:$D$99,0))</f>
        <v>1</v>
      </c>
      <c r="F344" s="8" t="n">
        <f aca="false">INDEX(Mapping!$C$2:$C$99,MATCH(F$1&amp;"|"&amp;Customers!F344,Mapping!$D$2:$D$99,0))</f>
        <v>1</v>
      </c>
      <c r="G344" s="8" t="n">
        <f aca="false">INDEX(Mapping!$C$2:$C$99,MATCH(G$1&amp;"|"&amp;Customers!G344,Mapping!$D$2:$D$99,0))</f>
        <v>1</v>
      </c>
      <c r="H344" s="8" t="n">
        <f aca="false">INDEX(Mapping!$C$2:$C$99,MATCH(H$1&amp;"|"&amp;Customers!H344,Mapping!$D$2:$D$99,0))</f>
        <v>1</v>
      </c>
      <c r="I344" s="8" t="n">
        <f aca="false">INDEX(Mapping!$C$2:$C$99,MATCH(I$1&amp;"|"&amp;Customers!I344,Mapping!$D$2:$D$99,0))</f>
        <v>1</v>
      </c>
      <c r="J344" s="8" t="n">
        <f aca="false">INDEX(Mapping!$C$2:$C$99,MATCH(J$1&amp;"|"&amp;Customers!J344,Mapping!$D$2:$D$99,0))</f>
        <v>2</v>
      </c>
      <c r="K344" s="8" t="n">
        <f aca="false">INDEX(Mapping!$C$2:$C$99,MATCH(K$1&amp;"|"&amp;Customers!K344,Mapping!$D$2:$D$99,0))</f>
        <v>1</v>
      </c>
      <c r="L344" s="8" t="n">
        <f aca="false">INDEX(Mapping!$C$2:$C$99,MATCH(L$1&amp;"|"&amp;Customers!L344,Mapping!$D$2:$D$99,0))</f>
        <v>2</v>
      </c>
      <c r="M344" s="8" t="n">
        <f aca="false">INDEX(Mapping!$C$2:$C$99,MATCH(M$1&amp;"|"&amp;Customers!M344,Mapping!$D$2:$D$99,0))</f>
        <v>3</v>
      </c>
      <c r="N344" s="8" t="n">
        <f aca="false">INDEX(Mapping!$C$2:$C$99,MATCH(N$1&amp;"|"&amp;Customers!N344,Mapping!$D$2:$D$99,0))</f>
        <v>3</v>
      </c>
      <c r="O344" s="8" t="n">
        <f aca="false">INDEX(Mapping!$C$2:$C$99,MATCH(O$1&amp;"|"&amp;Customers!O344,Mapping!$D$2:$D$99,0))</f>
        <v>4</v>
      </c>
      <c r="P344" s="8" t="n">
        <f aca="false">INDEX(Mapping!$C$2:$C$99,MATCH(P$1&amp;"|"&amp;Customers!P344,Mapping!$D$2:$D$99,0))</f>
        <v>4</v>
      </c>
      <c r="Q344" s="8" t="n">
        <f aca="false">INDEX(Mapping!$C$2:$C$99,MATCH(Q$1&amp;"|"&amp;Customers!Q344,Mapping!$D$2:$D$99,0))</f>
        <v>1</v>
      </c>
      <c r="R344" s="8" t="n">
        <f aca="false">INDEX(Mapping!$C$2:$C$99,MATCH(R$1&amp;"|"&amp;Customers!R344,Mapping!$D$2:$D$99,0))</f>
        <v>2</v>
      </c>
      <c r="S344" s="8" t="n">
        <f aca="false">INDEX(Mapping!$C$2:$C$99,MATCH(S$1&amp;"|"&amp;Customers!S344,Mapping!$D$2:$D$99,0))</f>
        <v>3</v>
      </c>
      <c r="T344" s="8" t="n">
        <f aca="false">INDEX(Mapping!$C$2:$C$99,MATCH(T$1&amp;"|"&amp;Customers!T344,Mapping!$D$2:$D$99,0))</f>
        <v>2</v>
      </c>
      <c r="U344" s="8" t="n">
        <f aca="false">INDEX(Mapping!$C$2:$C$99,MATCH(U$1&amp;"|"&amp;Customers!U344,Mapping!$D$2:$D$99,0))</f>
        <v>3</v>
      </c>
      <c r="V344" s="8" t="n">
        <f aca="false">INDEX(Mapping!$C$2:$C$99,MATCH(V$1&amp;"|"&amp;Customers!V344,Mapping!$D$2:$D$99,0))</f>
        <v>1</v>
      </c>
      <c r="W344" s="17" t="n">
        <f aca="false">SUMPRODUCT($C344:$V344,Weights!$C$27:$V$27)</f>
        <v>1.7525</v>
      </c>
      <c r="X344" s="18" t="n">
        <f aca="false">ROUND($W344,2)</f>
        <v>1.75</v>
      </c>
      <c r="Y344" s="8" t="str">
        <f aca="false">IF($X344&lt;=2,"Low",IF($X344&lt;=3.49,"Medium","High"))</f>
        <v>Low</v>
      </c>
      <c r="Z344" s="8" t="str">
        <f aca="false">IF(OR($F344&gt;=3,$E344=5,$D344=5,$C344=5,$G344=5,$H344=5,$I344=5,$J344=5,Customers!$W344="Yes"),"Yes","No")</f>
        <v>No</v>
      </c>
      <c r="AA344" s="15" t="str">
        <f aca="false">IF($Z344="Yes","High",$Y344)</f>
        <v>Low</v>
      </c>
      <c r="AB344" s="18" t="n">
        <f aca="false">SUMPRODUCT($C344:$G344,Weights!$C$28:$G$28)</f>
        <v>1</v>
      </c>
      <c r="AC344" s="18" t="n">
        <f aca="false">SUMPRODUCT($H344:$J344,Weights!$H$28:$J$28)</f>
        <v>1.4</v>
      </c>
      <c r="AD344" s="18" t="n">
        <f aca="false">SUMPRODUCT($K344:$N344,Weights!$K$28:$N$28)</f>
        <v>2.05</v>
      </c>
      <c r="AE344" s="18" t="n">
        <f aca="false">SUMPRODUCT($O344:$Q344,Weights!$O$28:$Q$28)</f>
        <v>3.4</v>
      </c>
      <c r="AF344" s="18" t="n">
        <f aca="false">SUMPRODUCT($R344:$V344,Weights!$R$28:$V$28)</f>
        <v>2.35</v>
      </c>
      <c r="AH344" s="18" t="n">
        <f aca="false">SUMPRODUCT($AB344:$AF344,Validation!$D$7:$H$7)</f>
        <v>1.8600000000007</v>
      </c>
      <c r="AI344" s="18" t="n">
        <f aca="false">SUMPRODUCT($AB344:$AF344,Validation!$D$8:$H$8)</f>
        <v>1.6449999999993</v>
      </c>
      <c r="AJ344" s="18" t="n">
        <f aca="false">SUMPRODUCT($AB344:$AF344,Validation!$D$9:$H$9)</f>
        <v>1.79949999999955</v>
      </c>
      <c r="AK344" s="18" t="n">
        <f aca="false">SUMPRODUCT($AB344:$AF344,Validation!$D$10:$H$10)</f>
        <v>1.70550000000045</v>
      </c>
      <c r="AL344" s="18" t="n">
        <f aca="false">SUMPRODUCT($AB344:$AF344,Validation!$D$11:$H$11)</f>
        <v>1.7153125</v>
      </c>
      <c r="AM344" s="18" t="n">
        <f aca="false">SUMPRODUCT($AB344:$AF344,Validation!$D$12:$H$12)</f>
        <v>1.7896875</v>
      </c>
      <c r="AN344" s="18" t="n">
        <f aca="false">SUMPRODUCT($AB344:$AF344,Validation!$D$13:$H$13)</f>
        <v>1.56944444444475</v>
      </c>
      <c r="AO344" s="18" t="n">
        <f aca="false">SUMPRODUCT($AB344:$AF344,Validation!$D$14:$H$14)</f>
        <v>1.93555555555525</v>
      </c>
      <c r="AP344" s="18" t="n">
        <f aca="false">SUMPRODUCT($AB344:$AF344,Validation!$D$15:$H$15)</f>
        <v>1.68220588235245</v>
      </c>
      <c r="AQ344" s="18" t="n">
        <f aca="false">SUMPRODUCT($AB344:$AF344,Validation!$D$16:$H$16)</f>
        <v>1.82279411764755</v>
      </c>
      <c r="AR344" s="8" t="n">
        <f aca="false">COUNTIF($C344:$V344,"&gt;=4")</f>
        <v>2</v>
      </c>
      <c r="AS344" s="8" t="str">
        <f aca="false">IF($X344&lt;=1.6,"Low",IF($X344&lt;=2.2,"Medium","High"))</f>
        <v>Medium</v>
      </c>
      <c r="AT344" s="8" t="str">
        <f aca="false">IF($AR344=0,"Low",IF($AR344&lt;3,"Medium","High"))</f>
        <v>Medium</v>
      </c>
      <c r="AU344" s="8" t="str">
        <f aca="false">IF(OR($AS344="High",$AT344="High"),"High",IF(OR($AS344="Medium",$AT344="Medium"),"Medium","Low"))</f>
        <v>Medium</v>
      </c>
      <c r="AV344" s="15" t="str">
        <f aca="false">IF($Z344="Yes","High",$AU344)</f>
        <v>Medium</v>
      </c>
    </row>
    <row r="345" customFormat="false" ht="15" hidden="false" customHeight="false" outlineLevel="0" collapsed="false">
      <c r="A345" s="7" t="str">
        <f aca="false">Customers!$A345</f>
        <v>NG-10375</v>
      </c>
      <c r="B345" s="7" t="str">
        <f aca="false">Customers!$B345</f>
        <v>Limited company</v>
      </c>
      <c r="C345" s="8" t="n">
        <f aca="false">INDEX(Mapping!$C$2:$C$99,MATCH(C$1&amp;"|"&amp;Customers!C345,Mapping!$D$2:$D$99,0))</f>
        <v>3</v>
      </c>
      <c r="D345" s="8" t="n">
        <f aca="false">INDEX(Mapping!$C$2:$C$99,MATCH(D$1&amp;"|"&amp;Customers!D345,Mapping!$D$2:$D$99,0))</f>
        <v>3</v>
      </c>
      <c r="E345" s="8" t="n">
        <f aca="false">INDEX(Mapping!$C$2:$C$99,MATCH(E$1&amp;"|"&amp;Customers!E345,Mapping!$D$2:$D$99,0))</f>
        <v>4</v>
      </c>
      <c r="F345" s="8" t="n">
        <f aca="false">INDEX(Mapping!$C$2:$C$99,MATCH(F$1&amp;"|"&amp;Customers!F345,Mapping!$D$2:$D$99,0))</f>
        <v>1</v>
      </c>
      <c r="G345" s="8" t="n">
        <f aca="false">INDEX(Mapping!$C$2:$C$99,MATCH(G$1&amp;"|"&amp;Customers!G345,Mapping!$D$2:$D$99,0))</f>
        <v>1</v>
      </c>
      <c r="H345" s="8" t="n">
        <f aca="false">INDEX(Mapping!$C$2:$C$99,MATCH(H$1&amp;"|"&amp;Customers!H345,Mapping!$D$2:$D$99,0))</f>
        <v>1</v>
      </c>
      <c r="I345" s="8" t="n">
        <f aca="false">INDEX(Mapping!$C$2:$C$99,MATCH(I$1&amp;"|"&amp;Customers!I345,Mapping!$D$2:$D$99,0))</f>
        <v>1</v>
      </c>
      <c r="J345" s="8" t="n">
        <f aca="false">INDEX(Mapping!$C$2:$C$99,MATCH(J$1&amp;"|"&amp;Customers!J345,Mapping!$D$2:$D$99,0))</f>
        <v>1</v>
      </c>
      <c r="K345" s="8" t="n">
        <f aca="false">INDEX(Mapping!$C$2:$C$99,MATCH(K$1&amp;"|"&amp;Customers!K345,Mapping!$D$2:$D$99,0))</f>
        <v>4</v>
      </c>
      <c r="L345" s="8" t="n">
        <f aca="false">INDEX(Mapping!$C$2:$C$99,MATCH(L$1&amp;"|"&amp;Customers!L345,Mapping!$D$2:$D$99,0))</f>
        <v>4</v>
      </c>
      <c r="M345" s="8" t="n">
        <f aca="false">INDEX(Mapping!$C$2:$C$99,MATCH(M$1&amp;"|"&amp;Customers!M345,Mapping!$D$2:$D$99,0))</f>
        <v>3</v>
      </c>
      <c r="N345" s="8" t="n">
        <f aca="false">INDEX(Mapping!$C$2:$C$99,MATCH(N$1&amp;"|"&amp;Customers!N345,Mapping!$D$2:$D$99,0))</f>
        <v>4</v>
      </c>
      <c r="O345" s="8" t="n">
        <f aca="false">INDEX(Mapping!$C$2:$C$99,MATCH(O$1&amp;"|"&amp;Customers!O345,Mapping!$D$2:$D$99,0))</f>
        <v>3</v>
      </c>
      <c r="P345" s="8" t="n">
        <f aca="false">INDEX(Mapping!$C$2:$C$99,MATCH(P$1&amp;"|"&amp;Customers!P345,Mapping!$D$2:$D$99,0))</f>
        <v>1</v>
      </c>
      <c r="Q345" s="8" t="n">
        <f aca="false">INDEX(Mapping!$C$2:$C$99,MATCH(Q$1&amp;"|"&amp;Customers!Q345,Mapping!$D$2:$D$99,0))</f>
        <v>1</v>
      </c>
      <c r="R345" s="8" t="n">
        <f aca="false">INDEX(Mapping!$C$2:$C$99,MATCH(R$1&amp;"|"&amp;Customers!R345,Mapping!$D$2:$D$99,0))</f>
        <v>3</v>
      </c>
      <c r="S345" s="8" t="n">
        <f aca="false">INDEX(Mapping!$C$2:$C$99,MATCH(S$1&amp;"|"&amp;Customers!S345,Mapping!$D$2:$D$99,0))</f>
        <v>1</v>
      </c>
      <c r="T345" s="8" t="n">
        <f aca="false">INDEX(Mapping!$C$2:$C$99,MATCH(T$1&amp;"|"&amp;Customers!T345,Mapping!$D$2:$D$99,0))</f>
        <v>3</v>
      </c>
      <c r="U345" s="8" t="n">
        <f aca="false">INDEX(Mapping!$C$2:$C$99,MATCH(U$1&amp;"|"&amp;Customers!U345,Mapping!$D$2:$D$99,0))</f>
        <v>1</v>
      </c>
      <c r="V345" s="8" t="n">
        <f aca="false">INDEX(Mapping!$C$2:$C$99,MATCH(V$1&amp;"|"&amp;Customers!V345,Mapping!$D$2:$D$99,0))</f>
        <v>2</v>
      </c>
      <c r="W345" s="17" t="n">
        <f aca="false">SUMPRODUCT($C345:$V345,Weights!$C$27:$V$27)</f>
        <v>2.255</v>
      </c>
      <c r="X345" s="18" t="n">
        <f aca="false">ROUND($W345,2)</f>
        <v>2.26</v>
      </c>
      <c r="Y345" s="8" t="str">
        <f aca="false">IF($X345&lt;=2,"Low",IF($X345&lt;=3.49,"Medium","High"))</f>
        <v>Medium</v>
      </c>
      <c r="Z345" s="8" t="str">
        <f aca="false">IF(OR($F345&gt;=3,$E345=5,$D345=5,$C345=5,$G345=5,$H345=5,$I345=5,$J345=5,Customers!$W345="Yes"),"Yes","No")</f>
        <v>No</v>
      </c>
      <c r="AA345" s="15" t="str">
        <f aca="false">IF($Z345="Yes","High",$Y345)</f>
        <v>Medium</v>
      </c>
      <c r="AB345" s="18" t="n">
        <f aca="false">SUMPRODUCT($C345:$G345,Weights!$C$28:$G$28)</f>
        <v>2.55</v>
      </c>
      <c r="AC345" s="18" t="n">
        <f aca="false">SUMPRODUCT($H345:$J345,Weights!$H$28:$J$28)</f>
        <v>1</v>
      </c>
      <c r="AD345" s="18" t="n">
        <f aca="false">SUMPRODUCT($K345:$N345,Weights!$K$28:$N$28)</f>
        <v>3.75</v>
      </c>
      <c r="AE345" s="18" t="n">
        <f aca="false">SUMPRODUCT($O345:$Q345,Weights!$O$28:$Q$28)</f>
        <v>1.9</v>
      </c>
      <c r="AF345" s="18" t="n">
        <f aca="false">SUMPRODUCT($R345:$V345,Weights!$R$28:$V$28)</f>
        <v>2</v>
      </c>
      <c r="AH345" s="18" t="n">
        <f aca="false">SUMPRODUCT($AB345:$AF345,Validation!$D$7:$H$7)</f>
        <v>2.21285714285665</v>
      </c>
      <c r="AI345" s="18" t="n">
        <f aca="false">SUMPRODUCT($AB345:$AF345,Validation!$D$8:$H$8)</f>
        <v>2.29714285714335</v>
      </c>
      <c r="AJ345" s="18" t="n">
        <f aca="false">SUMPRODUCT($AB345:$AF345,Validation!$D$9:$H$9)</f>
        <v>2.42233333333395</v>
      </c>
      <c r="AK345" s="18" t="n">
        <f aca="false">SUMPRODUCT($AB345:$AF345,Validation!$D$10:$H$10)</f>
        <v>2.08766666666605</v>
      </c>
      <c r="AL345" s="18" t="n">
        <f aca="false">SUMPRODUCT($AB345:$AF345,Validation!$D$11:$H$11)</f>
        <v>2.068125</v>
      </c>
      <c r="AM345" s="18" t="n">
        <f aca="false">SUMPRODUCT($AB345:$AF345,Validation!$D$12:$H$12)</f>
        <v>2.441875</v>
      </c>
      <c r="AN345" s="18" t="n">
        <f aca="false">SUMPRODUCT($AB345:$AF345,Validation!$D$13:$H$13)</f>
        <v>2.29444444444365</v>
      </c>
      <c r="AO345" s="18" t="n">
        <f aca="false">SUMPRODUCT($AB345:$AF345,Validation!$D$14:$H$14)</f>
        <v>2.21555555555635</v>
      </c>
      <c r="AP345" s="18" t="n">
        <f aca="false">SUMPRODUCT($AB345:$AF345,Validation!$D$15:$H$15)</f>
        <v>2.2850000000004</v>
      </c>
      <c r="AQ345" s="18" t="n">
        <f aca="false">SUMPRODUCT($AB345:$AF345,Validation!$D$16:$H$16)</f>
        <v>2.2249999999996</v>
      </c>
      <c r="AR345" s="8" t="n">
        <f aca="false">COUNTIF($C345:$V345,"&gt;=4")</f>
        <v>4</v>
      </c>
      <c r="AS345" s="8" t="str">
        <f aca="false">IF($X345&lt;=1.6,"Low",IF($X345&lt;=2.2,"Medium","High"))</f>
        <v>High</v>
      </c>
      <c r="AT345" s="8" t="str">
        <f aca="false">IF($AR345=0,"Low",IF($AR345&lt;3,"Medium","High"))</f>
        <v>High</v>
      </c>
      <c r="AU345" s="8" t="str">
        <f aca="false">IF(OR($AS345="High",$AT345="High"),"High",IF(OR($AS345="Medium",$AT345="Medium"),"Medium","Low"))</f>
        <v>High</v>
      </c>
      <c r="AV345" s="15" t="str">
        <f aca="false">IF($Z345="Yes","High",$AU345)</f>
        <v>High</v>
      </c>
    </row>
    <row r="346" customFormat="false" ht="15" hidden="false" customHeight="false" outlineLevel="0" collapsed="false">
      <c r="A346" s="7" t="str">
        <f aca="false">Customers!$A346</f>
        <v>NG-10076</v>
      </c>
      <c r="B346" s="7" t="str">
        <f aca="false">Customers!$B346</f>
        <v>Personal</v>
      </c>
      <c r="C346" s="8" t="n">
        <f aca="false">INDEX(Mapping!$C$2:$C$99,MATCH(C$1&amp;"|"&amp;Customers!C346,Mapping!$D$2:$D$99,0))</f>
        <v>1</v>
      </c>
      <c r="D346" s="8" t="n">
        <f aca="false">INDEX(Mapping!$C$2:$C$99,MATCH(D$1&amp;"|"&amp;Customers!D346,Mapping!$D$2:$D$99,0))</f>
        <v>1</v>
      </c>
      <c r="E346" s="8" t="n">
        <f aca="false">INDEX(Mapping!$C$2:$C$99,MATCH(E$1&amp;"|"&amp;Customers!E346,Mapping!$D$2:$D$99,0))</f>
        <v>1</v>
      </c>
      <c r="F346" s="8" t="n">
        <f aca="false">INDEX(Mapping!$C$2:$C$99,MATCH(F$1&amp;"|"&amp;Customers!F346,Mapping!$D$2:$D$99,0))</f>
        <v>1</v>
      </c>
      <c r="G346" s="8" t="n">
        <f aca="false">INDEX(Mapping!$C$2:$C$99,MATCH(G$1&amp;"|"&amp;Customers!G346,Mapping!$D$2:$D$99,0))</f>
        <v>1</v>
      </c>
      <c r="H346" s="8" t="n">
        <f aca="false">INDEX(Mapping!$C$2:$C$99,MATCH(H$1&amp;"|"&amp;Customers!H346,Mapping!$D$2:$D$99,0))</f>
        <v>1</v>
      </c>
      <c r="I346" s="8" t="n">
        <f aca="false">INDEX(Mapping!$C$2:$C$99,MATCH(I$1&amp;"|"&amp;Customers!I346,Mapping!$D$2:$D$99,0))</f>
        <v>1</v>
      </c>
      <c r="J346" s="8" t="n">
        <f aca="false">INDEX(Mapping!$C$2:$C$99,MATCH(J$1&amp;"|"&amp;Customers!J346,Mapping!$D$2:$D$99,0))</f>
        <v>1</v>
      </c>
      <c r="K346" s="8" t="n">
        <f aca="false">INDEX(Mapping!$C$2:$C$99,MATCH(K$1&amp;"|"&amp;Customers!K346,Mapping!$D$2:$D$99,0))</f>
        <v>3</v>
      </c>
      <c r="L346" s="8" t="n">
        <f aca="false">INDEX(Mapping!$C$2:$C$99,MATCH(L$1&amp;"|"&amp;Customers!L346,Mapping!$D$2:$D$99,0))</f>
        <v>3</v>
      </c>
      <c r="M346" s="8" t="n">
        <f aca="false">INDEX(Mapping!$C$2:$C$99,MATCH(M$1&amp;"|"&amp;Customers!M346,Mapping!$D$2:$D$99,0))</f>
        <v>1</v>
      </c>
      <c r="N346" s="8" t="n">
        <f aca="false">INDEX(Mapping!$C$2:$C$99,MATCH(N$1&amp;"|"&amp;Customers!N346,Mapping!$D$2:$D$99,0))</f>
        <v>1</v>
      </c>
      <c r="O346" s="8" t="n">
        <f aca="false">INDEX(Mapping!$C$2:$C$99,MATCH(O$1&amp;"|"&amp;Customers!O346,Mapping!$D$2:$D$99,0))</f>
        <v>2</v>
      </c>
      <c r="P346" s="8" t="n">
        <f aca="false">INDEX(Mapping!$C$2:$C$99,MATCH(P$1&amp;"|"&amp;Customers!P346,Mapping!$D$2:$D$99,0))</f>
        <v>3</v>
      </c>
      <c r="Q346" s="8" t="n">
        <f aca="false">INDEX(Mapping!$C$2:$C$99,MATCH(Q$1&amp;"|"&amp;Customers!Q346,Mapping!$D$2:$D$99,0))</f>
        <v>1</v>
      </c>
      <c r="R346" s="8" t="n">
        <f aca="false">INDEX(Mapping!$C$2:$C$99,MATCH(R$1&amp;"|"&amp;Customers!R346,Mapping!$D$2:$D$99,0))</f>
        <v>2</v>
      </c>
      <c r="S346" s="8" t="n">
        <f aca="false">INDEX(Mapping!$C$2:$C$99,MATCH(S$1&amp;"|"&amp;Customers!S346,Mapping!$D$2:$D$99,0))</f>
        <v>1</v>
      </c>
      <c r="T346" s="8" t="n">
        <f aca="false">INDEX(Mapping!$C$2:$C$99,MATCH(T$1&amp;"|"&amp;Customers!T346,Mapping!$D$2:$D$99,0))</f>
        <v>2</v>
      </c>
      <c r="U346" s="8" t="n">
        <f aca="false">INDEX(Mapping!$C$2:$C$99,MATCH(U$1&amp;"|"&amp;Customers!U346,Mapping!$D$2:$D$99,0))</f>
        <v>2</v>
      </c>
      <c r="V346" s="8" t="n">
        <f aca="false">INDEX(Mapping!$C$2:$C$99,MATCH(V$1&amp;"|"&amp;Customers!V346,Mapping!$D$2:$D$99,0))</f>
        <v>1</v>
      </c>
      <c r="W346" s="17" t="n">
        <f aca="false">SUMPRODUCT($C346:$V346,Weights!$C$27:$V$27)</f>
        <v>1.445</v>
      </c>
      <c r="X346" s="18" t="n">
        <f aca="false">ROUND($W346,2)</f>
        <v>1.45</v>
      </c>
      <c r="Y346" s="8" t="str">
        <f aca="false">IF($X346&lt;=2,"Low",IF($X346&lt;=3.49,"Medium","High"))</f>
        <v>Low</v>
      </c>
      <c r="Z346" s="8" t="str">
        <f aca="false">IF(OR($F346&gt;=3,$E346=5,$D346=5,$C346=5,$G346=5,$H346=5,$I346=5,$J346=5,Customers!$W346="Yes"),"Yes","No")</f>
        <v>No</v>
      </c>
      <c r="AA346" s="15" t="str">
        <f aca="false">IF($Z346="Yes","High",$Y346)</f>
        <v>Low</v>
      </c>
      <c r="AB346" s="18" t="n">
        <f aca="false">SUMPRODUCT($C346:$G346,Weights!$C$28:$G$28)</f>
        <v>1</v>
      </c>
      <c r="AC346" s="18" t="n">
        <f aca="false">SUMPRODUCT($H346:$J346,Weights!$H$28:$J$28)</f>
        <v>1</v>
      </c>
      <c r="AD346" s="18" t="n">
        <f aca="false">SUMPRODUCT($K346:$N346,Weights!$K$28:$N$28)</f>
        <v>2.2</v>
      </c>
      <c r="AE346" s="18" t="n">
        <f aca="false">SUMPRODUCT($O346:$Q346,Weights!$O$28:$Q$28)</f>
        <v>2.15</v>
      </c>
      <c r="AF346" s="18" t="n">
        <f aca="false">SUMPRODUCT($R346:$V346,Weights!$R$28:$V$28)</f>
        <v>1.6</v>
      </c>
      <c r="AH346" s="18" t="n">
        <f aca="false">SUMPRODUCT($AB346:$AF346,Validation!$D$7:$H$7)</f>
        <v>1.5085714285715</v>
      </c>
      <c r="AI346" s="18" t="n">
        <f aca="false">SUMPRODUCT($AB346:$AF346,Validation!$D$8:$H$8)</f>
        <v>1.3814285714285</v>
      </c>
      <c r="AJ346" s="18" t="n">
        <f aca="false">SUMPRODUCT($AB346:$AF346,Validation!$D$9:$H$9)</f>
        <v>1.50433333333335</v>
      </c>
      <c r="AK346" s="18" t="n">
        <f aca="false">SUMPRODUCT($AB346:$AF346,Validation!$D$10:$H$10)</f>
        <v>1.38566666666665</v>
      </c>
      <c r="AL346" s="18" t="n">
        <f aca="false">SUMPRODUCT($AB346:$AF346,Validation!$D$11:$H$11)</f>
        <v>1.350625</v>
      </c>
      <c r="AM346" s="18" t="n">
        <f aca="false">SUMPRODUCT($AB346:$AF346,Validation!$D$12:$H$12)</f>
        <v>1.539375</v>
      </c>
      <c r="AN346" s="18" t="n">
        <f aca="false">SUMPRODUCT($AB346:$AF346,Validation!$D$13:$H$13)</f>
        <v>1.3666666666666</v>
      </c>
      <c r="AO346" s="18" t="n">
        <f aca="false">SUMPRODUCT($AB346:$AF346,Validation!$D$14:$H$14)</f>
        <v>1.5233333333334</v>
      </c>
      <c r="AP346" s="18" t="n">
        <f aca="false">SUMPRODUCT($AB346:$AF346,Validation!$D$15:$H$15)</f>
        <v>1.4267647058823</v>
      </c>
      <c r="AQ346" s="18" t="n">
        <f aca="false">SUMPRODUCT($AB346:$AF346,Validation!$D$16:$H$16)</f>
        <v>1.4632352941177</v>
      </c>
      <c r="AR346" s="8" t="n">
        <f aca="false">COUNTIF($C346:$V346,"&gt;=4")</f>
        <v>0</v>
      </c>
      <c r="AS346" s="8" t="str">
        <f aca="false">IF($X346&lt;=1.6,"Low",IF($X346&lt;=2.2,"Medium","High"))</f>
        <v>Low</v>
      </c>
      <c r="AT346" s="8" t="str">
        <f aca="false">IF($AR346=0,"Low",IF($AR346&lt;3,"Medium","High"))</f>
        <v>Low</v>
      </c>
      <c r="AU346" s="8" t="str">
        <f aca="false">IF(OR($AS346="High",$AT346="High"),"High",IF(OR($AS346="Medium",$AT346="Medium"),"Medium","Low"))</f>
        <v>Low</v>
      </c>
      <c r="AV346" s="15" t="str">
        <f aca="false">IF($Z346="Yes","High",$AU346)</f>
        <v>Low</v>
      </c>
    </row>
    <row r="347" customFormat="false" ht="15" hidden="false" customHeight="false" outlineLevel="0" collapsed="false">
      <c r="A347" s="7" t="str">
        <f aca="false">Customers!$A347</f>
        <v>NG-10275</v>
      </c>
      <c r="B347" s="7" t="str">
        <f aca="false">Customers!$B347</f>
        <v>Personal</v>
      </c>
      <c r="C347" s="8" t="n">
        <f aca="false">INDEX(Mapping!$C$2:$C$99,MATCH(C$1&amp;"|"&amp;Customers!C347,Mapping!$D$2:$D$99,0))</f>
        <v>2</v>
      </c>
      <c r="D347" s="8" t="n">
        <f aca="false">INDEX(Mapping!$C$2:$C$99,MATCH(D$1&amp;"|"&amp;Customers!D347,Mapping!$D$2:$D$99,0))</f>
        <v>1</v>
      </c>
      <c r="E347" s="8" t="n">
        <f aca="false">INDEX(Mapping!$C$2:$C$99,MATCH(E$1&amp;"|"&amp;Customers!E347,Mapping!$D$2:$D$99,0))</f>
        <v>1</v>
      </c>
      <c r="F347" s="8" t="n">
        <f aca="false">INDEX(Mapping!$C$2:$C$99,MATCH(F$1&amp;"|"&amp;Customers!F347,Mapping!$D$2:$D$99,0))</f>
        <v>1</v>
      </c>
      <c r="G347" s="8" t="n">
        <f aca="false">INDEX(Mapping!$C$2:$C$99,MATCH(G$1&amp;"|"&amp;Customers!G347,Mapping!$D$2:$D$99,0))</f>
        <v>1</v>
      </c>
      <c r="H347" s="8" t="n">
        <f aca="false">INDEX(Mapping!$C$2:$C$99,MATCH(H$1&amp;"|"&amp;Customers!H347,Mapping!$D$2:$D$99,0))</f>
        <v>1</v>
      </c>
      <c r="I347" s="8" t="n">
        <f aca="false">INDEX(Mapping!$C$2:$C$99,MATCH(I$1&amp;"|"&amp;Customers!I347,Mapping!$D$2:$D$99,0))</f>
        <v>1</v>
      </c>
      <c r="J347" s="8" t="n">
        <f aca="false">INDEX(Mapping!$C$2:$C$99,MATCH(J$1&amp;"|"&amp;Customers!J347,Mapping!$D$2:$D$99,0))</f>
        <v>1</v>
      </c>
      <c r="K347" s="8" t="n">
        <f aca="false">INDEX(Mapping!$C$2:$C$99,MATCH(K$1&amp;"|"&amp;Customers!K347,Mapping!$D$2:$D$99,0))</f>
        <v>3</v>
      </c>
      <c r="L347" s="8" t="n">
        <f aca="false">INDEX(Mapping!$C$2:$C$99,MATCH(L$1&amp;"|"&amp;Customers!L347,Mapping!$D$2:$D$99,0))</f>
        <v>2</v>
      </c>
      <c r="M347" s="8" t="n">
        <f aca="false">INDEX(Mapping!$C$2:$C$99,MATCH(M$1&amp;"|"&amp;Customers!M347,Mapping!$D$2:$D$99,0))</f>
        <v>3</v>
      </c>
      <c r="N347" s="8" t="n">
        <f aca="false">INDEX(Mapping!$C$2:$C$99,MATCH(N$1&amp;"|"&amp;Customers!N347,Mapping!$D$2:$D$99,0))</f>
        <v>1</v>
      </c>
      <c r="O347" s="8" t="n">
        <f aca="false">INDEX(Mapping!$C$2:$C$99,MATCH(O$1&amp;"|"&amp;Customers!O347,Mapping!$D$2:$D$99,0))</f>
        <v>3</v>
      </c>
      <c r="P347" s="8" t="n">
        <f aca="false">INDEX(Mapping!$C$2:$C$99,MATCH(P$1&amp;"|"&amp;Customers!P347,Mapping!$D$2:$D$99,0))</f>
        <v>3</v>
      </c>
      <c r="Q347" s="8" t="n">
        <f aca="false">INDEX(Mapping!$C$2:$C$99,MATCH(Q$1&amp;"|"&amp;Customers!Q347,Mapping!$D$2:$D$99,0))</f>
        <v>1</v>
      </c>
      <c r="R347" s="8" t="n">
        <f aca="false">INDEX(Mapping!$C$2:$C$99,MATCH(R$1&amp;"|"&amp;Customers!R347,Mapping!$D$2:$D$99,0))</f>
        <v>2</v>
      </c>
      <c r="S347" s="8" t="n">
        <f aca="false">INDEX(Mapping!$C$2:$C$99,MATCH(S$1&amp;"|"&amp;Customers!S347,Mapping!$D$2:$D$99,0))</f>
        <v>2</v>
      </c>
      <c r="T347" s="8" t="n">
        <f aca="false">INDEX(Mapping!$C$2:$C$99,MATCH(T$1&amp;"|"&amp;Customers!T347,Mapping!$D$2:$D$99,0))</f>
        <v>1</v>
      </c>
      <c r="U347" s="8" t="n">
        <f aca="false">INDEX(Mapping!$C$2:$C$99,MATCH(U$1&amp;"|"&amp;Customers!U347,Mapping!$D$2:$D$99,0))</f>
        <v>1</v>
      </c>
      <c r="V347" s="8" t="n">
        <f aca="false">INDEX(Mapping!$C$2:$C$99,MATCH(V$1&amp;"|"&amp;Customers!V347,Mapping!$D$2:$D$99,0))</f>
        <v>1</v>
      </c>
      <c r="W347" s="17" t="n">
        <f aca="false">SUMPRODUCT($C347:$V347,Weights!$C$27:$V$27)</f>
        <v>1.5925</v>
      </c>
      <c r="X347" s="18" t="n">
        <f aca="false">ROUND($W347,2)</f>
        <v>1.59</v>
      </c>
      <c r="Y347" s="8" t="str">
        <f aca="false">IF($X347&lt;=2,"Low",IF($X347&lt;=3.49,"Medium","High"))</f>
        <v>Low</v>
      </c>
      <c r="Z347" s="8" t="str">
        <f aca="false">IF(OR($F347&gt;=3,$E347=5,$D347=5,$C347=5,$G347=5,$H347=5,$I347=5,$J347=5,Customers!$W347="Yes"),"Yes","No")</f>
        <v>No</v>
      </c>
      <c r="AA347" s="15" t="str">
        <f aca="false">IF($Z347="Yes","High",$Y347)</f>
        <v>Low</v>
      </c>
      <c r="AB347" s="18" t="n">
        <f aca="false">SUMPRODUCT($C347:$G347,Weights!$C$28:$G$28)</f>
        <v>1.2</v>
      </c>
      <c r="AC347" s="18" t="n">
        <f aca="false">SUMPRODUCT($H347:$J347,Weights!$H$28:$J$28)</f>
        <v>1</v>
      </c>
      <c r="AD347" s="18" t="n">
        <f aca="false">SUMPRODUCT($K347:$N347,Weights!$K$28:$N$28)</f>
        <v>2.45</v>
      </c>
      <c r="AE347" s="18" t="n">
        <f aca="false">SUMPRODUCT($O347:$Q347,Weights!$O$28:$Q$28)</f>
        <v>2.6</v>
      </c>
      <c r="AF347" s="18" t="n">
        <f aca="false">SUMPRODUCT($R347:$V347,Weights!$R$28:$V$28)</f>
        <v>1.55</v>
      </c>
      <c r="AH347" s="18" t="n">
        <f aca="false">SUMPRODUCT($AB347:$AF347,Validation!$D$7:$H$7)</f>
        <v>1.6485714285715</v>
      </c>
      <c r="AI347" s="18" t="n">
        <f aca="false">SUMPRODUCT($AB347:$AF347,Validation!$D$8:$H$8)</f>
        <v>1.5364285714285</v>
      </c>
      <c r="AJ347" s="18" t="n">
        <f aca="false">SUMPRODUCT($AB347:$AF347,Validation!$D$9:$H$9)</f>
        <v>1.67149999999995</v>
      </c>
      <c r="AK347" s="18" t="n">
        <f aca="false">SUMPRODUCT($AB347:$AF347,Validation!$D$10:$H$10)</f>
        <v>1.51350000000005</v>
      </c>
      <c r="AL347" s="18" t="n">
        <f aca="false">SUMPRODUCT($AB347:$AF347,Validation!$D$11:$H$11)</f>
        <v>1.4853125</v>
      </c>
      <c r="AM347" s="18" t="n">
        <f aca="false">SUMPRODUCT($AB347:$AF347,Validation!$D$12:$H$12)</f>
        <v>1.6996875</v>
      </c>
      <c r="AN347" s="18" t="n">
        <f aca="false">SUMPRODUCT($AB347:$AF347,Validation!$D$13:$H$13)</f>
        <v>1.48055555555535</v>
      </c>
      <c r="AO347" s="18" t="n">
        <f aca="false">SUMPRODUCT($AB347:$AF347,Validation!$D$14:$H$14)</f>
        <v>1.70444444444465</v>
      </c>
      <c r="AP347" s="18" t="n">
        <f aca="false">SUMPRODUCT($AB347:$AF347,Validation!$D$15:$H$15)</f>
        <v>1.59749999999985</v>
      </c>
      <c r="AQ347" s="18" t="n">
        <f aca="false">SUMPRODUCT($AB347:$AF347,Validation!$D$16:$H$16)</f>
        <v>1.58750000000015</v>
      </c>
      <c r="AR347" s="8" t="n">
        <f aca="false">COUNTIF($C347:$V347,"&gt;=4")</f>
        <v>0</v>
      </c>
      <c r="AS347" s="8" t="str">
        <f aca="false">IF($X347&lt;=1.6,"Low",IF($X347&lt;=2.2,"Medium","High"))</f>
        <v>Low</v>
      </c>
      <c r="AT347" s="8" t="str">
        <f aca="false">IF($AR347=0,"Low",IF($AR347&lt;3,"Medium","High"))</f>
        <v>Low</v>
      </c>
      <c r="AU347" s="8" t="str">
        <f aca="false">IF(OR($AS347="High",$AT347="High"),"High",IF(OR($AS347="Medium",$AT347="Medium"),"Medium","Low"))</f>
        <v>Low</v>
      </c>
      <c r="AV347" s="15" t="str">
        <f aca="false">IF($Z347="Yes","High",$AU347)</f>
        <v>Low</v>
      </c>
    </row>
    <row r="348" customFormat="false" ht="15" hidden="false" customHeight="false" outlineLevel="0" collapsed="false">
      <c r="A348" s="7" t="str">
        <f aca="false">Customers!$A348</f>
        <v>NG-10150</v>
      </c>
      <c r="B348" s="7" t="str">
        <f aca="false">Customers!$B348</f>
        <v>Personal</v>
      </c>
      <c r="C348" s="8" t="n">
        <f aca="false">INDEX(Mapping!$C$2:$C$99,MATCH(C$1&amp;"|"&amp;Customers!C348,Mapping!$D$2:$D$99,0))</f>
        <v>1</v>
      </c>
      <c r="D348" s="8" t="n">
        <f aca="false">INDEX(Mapping!$C$2:$C$99,MATCH(D$1&amp;"|"&amp;Customers!D348,Mapping!$D$2:$D$99,0))</f>
        <v>1</v>
      </c>
      <c r="E348" s="8" t="n">
        <f aca="false">INDEX(Mapping!$C$2:$C$99,MATCH(E$1&amp;"|"&amp;Customers!E348,Mapping!$D$2:$D$99,0))</f>
        <v>1</v>
      </c>
      <c r="F348" s="8" t="n">
        <f aca="false">INDEX(Mapping!$C$2:$C$99,MATCH(F$1&amp;"|"&amp;Customers!F348,Mapping!$D$2:$D$99,0))</f>
        <v>1</v>
      </c>
      <c r="G348" s="8" t="n">
        <f aca="false">INDEX(Mapping!$C$2:$C$99,MATCH(G$1&amp;"|"&amp;Customers!G348,Mapping!$D$2:$D$99,0))</f>
        <v>1</v>
      </c>
      <c r="H348" s="8" t="n">
        <f aca="false">INDEX(Mapping!$C$2:$C$99,MATCH(H$1&amp;"|"&amp;Customers!H348,Mapping!$D$2:$D$99,0))</f>
        <v>1</v>
      </c>
      <c r="I348" s="8" t="n">
        <f aca="false">INDEX(Mapping!$C$2:$C$99,MATCH(I$1&amp;"|"&amp;Customers!I348,Mapping!$D$2:$D$99,0))</f>
        <v>1</v>
      </c>
      <c r="J348" s="8" t="n">
        <f aca="false">INDEX(Mapping!$C$2:$C$99,MATCH(J$1&amp;"|"&amp;Customers!J348,Mapping!$D$2:$D$99,0))</f>
        <v>1</v>
      </c>
      <c r="K348" s="8" t="n">
        <f aca="false">INDEX(Mapping!$C$2:$C$99,MATCH(K$1&amp;"|"&amp;Customers!K348,Mapping!$D$2:$D$99,0))</f>
        <v>3</v>
      </c>
      <c r="L348" s="8" t="n">
        <f aca="false">INDEX(Mapping!$C$2:$C$99,MATCH(L$1&amp;"|"&amp;Customers!L348,Mapping!$D$2:$D$99,0))</f>
        <v>1</v>
      </c>
      <c r="M348" s="8" t="n">
        <f aca="false">INDEX(Mapping!$C$2:$C$99,MATCH(M$1&amp;"|"&amp;Customers!M348,Mapping!$D$2:$D$99,0))</f>
        <v>2</v>
      </c>
      <c r="N348" s="8" t="n">
        <f aca="false">INDEX(Mapping!$C$2:$C$99,MATCH(N$1&amp;"|"&amp;Customers!N348,Mapping!$D$2:$D$99,0))</f>
        <v>2</v>
      </c>
      <c r="O348" s="8" t="n">
        <f aca="false">INDEX(Mapping!$C$2:$C$99,MATCH(O$1&amp;"|"&amp;Customers!O348,Mapping!$D$2:$D$99,0))</f>
        <v>3</v>
      </c>
      <c r="P348" s="8" t="n">
        <f aca="false">INDEX(Mapping!$C$2:$C$99,MATCH(P$1&amp;"|"&amp;Customers!P348,Mapping!$D$2:$D$99,0))</f>
        <v>3</v>
      </c>
      <c r="Q348" s="8" t="n">
        <f aca="false">INDEX(Mapping!$C$2:$C$99,MATCH(Q$1&amp;"|"&amp;Customers!Q348,Mapping!$D$2:$D$99,0))</f>
        <v>3</v>
      </c>
      <c r="R348" s="8" t="n">
        <f aca="false">INDEX(Mapping!$C$2:$C$99,MATCH(R$1&amp;"|"&amp;Customers!R348,Mapping!$D$2:$D$99,0))</f>
        <v>1</v>
      </c>
      <c r="S348" s="8" t="n">
        <f aca="false">INDEX(Mapping!$C$2:$C$99,MATCH(S$1&amp;"|"&amp;Customers!S348,Mapping!$D$2:$D$99,0))</f>
        <v>1</v>
      </c>
      <c r="T348" s="8" t="n">
        <f aca="false">INDEX(Mapping!$C$2:$C$99,MATCH(T$1&amp;"|"&amp;Customers!T348,Mapping!$D$2:$D$99,0))</f>
        <v>1</v>
      </c>
      <c r="U348" s="8" t="n">
        <f aca="false">INDEX(Mapping!$C$2:$C$99,MATCH(U$1&amp;"|"&amp;Customers!U348,Mapping!$D$2:$D$99,0))</f>
        <v>5</v>
      </c>
      <c r="V348" s="8" t="n">
        <f aca="false">INDEX(Mapping!$C$2:$C$99,MATCH(V$1&amp;"|"&amp;Customers!V348,Mapping!$D$2:$D$99,0))</f>
        <v>1</v>
      </c>
      <c r="W348" s="17" t="n">
        <f aca="false">SUMPRODUCT($C348:$V348,Weights!$C$27:$V$27)</f>
        <v>1.51</v>
      </c>
      <c r="X348" s="18" t="n">
        <f aca="false">ROUND($W348,2)</f>
        <v>1.51</v>
      </c>
      <c r="Y348" s="8" t="str">
        <f aca="false">IF($X348&lt;=2,"Low",IF($X348&lt;=3.49,"Medium","High"))</f>
        <v>Low</v>
      </c>
      <c r="Z348" s="8" t="str">
        <f aca="false">IF(OR($F348&gt;=3,$E348=5,$D348=5,$C348=5,$G348=5,$H348=5,$I348=5,$J348=5,Customers!$W348="Yes"),"Yes","No")</f>
        <v>No</v>
      </c>
      <c r="AA348" s="15" t="str">
        <f aca="false">IF($Z348="Yes","High",$Y348)</f>
        <v>Low</v>
      </c>
      <c r="AB348" s="18" t="n">
        <f aca="false">SUMPRODUCT($C348:$G348,Weights!$C$28:$G$28)</f>
        <v>1</v>
      </c>
      <c r="AC348" s="18" t="n">
        <f aca="false">SUMPRODUCT($H348:$J348,Weights!$H$28:$J$28)</f>
        <v>1</v>
      </c>
      <c r="AD348" s="18" t="n">
        <f aca="false">SUMPRODUCT($K348:$N348,Weights!$K$28:$N$28)</f>
        <v>2.1</v>
      </c>
      <c r="AE348" s="18" t="n">
        <f aca="false">SUMPRODUCT($O348:$Q348,Weights!$O$28:$Q$28)</f>
        <v>3</v>
      </c>
      <c r="AF348" s="18" t="n">
        <f aca="false">SUMPRODUCT($R348:$V348,Weights!$R$28:$V$28)</f>
        <v>1.6</v>
      </c>
      <c r="AH348" s="18" t="n">
        <f aca="false">SUMPRODUCT($AB348:$AF348,Validation!$D$7:$H$7)</f>
        <v>1.5828571428575</v>
      </c>
      <c r="AI348" s="18" t="n">
        <f aca="false">SUMPRODUCT($AB348:$AF348,Validation!$D$8:$H$8)</f>
        <v>1.4371428571425</v>
      </c>
      <c r="AJ348" s="18" t="n">
        <f aca="false">SUMPRODUCT($AB348:$AF348,Validation!$D$9:$H$9)</f>
        <v>1.5779999999997</v>
      </c>
      <c r="AK348" s="18" t="n">
        <f aca="false">SUMPRODUCT($AB348:$AF348,Validation!$D$10:$H$10)</f>
        <v>1.4420000000003</v>
      </c>
      <c r="AL348" s="18" t="n">
        <f aca="false">SUMPRODUCT($AB348:$AF348,Validation!$D$11:$H$11)</f>
        <v>1.43625</v>
      </c>
      <c r="AM348" s="18" t="n">
        <f aca="false">SUMPRODUCT($AB348:$AF348,Validation!$D$12:$H$12)</f>
        <v>1.58375</v>
      </c>
      <c r="AN348" s="18" t="n">
        <f aca="false">SUMPRODUCT($AB348:$AF348,Validation!$D$13:$H$13)</f>
        <v>1.3444444444444</v>
      </c>
      <c r="AO348" s="18" t="n">
        <f aca="false">SUMPRODUCT($AB348:$AF348,Validation!$D$14:$H$14)</f>
        <v>1.6755555555556</v>
      </c>
      <c r="AP348" s="18" t="n">
        <f aca="false">SUMPRODUCT($AB348:$AF348,Validation!$D$15:$H$15)</f>
        <v>1.4994117647055</v>
      </c>
      <c r="AQ348" s="18" t="n">
        <f aca="false">SUMPRODUCT($AB348:$AF348,Validation!$D$16:$H$16)</f>
        <v>1.5205882352945</v>
      </c>
      <c r="AR348" s="8" t="n">
        <f aca="false">COUNTIF($C348:$V348,"&gt;=4")</f>
        <v>1</v>
      </c>
      <c r="AS348" s="8" t="str">
        <f aca="false">IF($X348&lt;=1.6,"Low",IF($X348&lt;=2.2,"Medium","High"))</f>
        <v>Low</v>
      </c>
      <c r="AT348" s="8" t="str">
        <f aca="false">IF($AR348=0,"Low",IF($AR348&lt;3,"Medium","High"))</f>
        <v>Medium</v>
      </c>
      <c r="AU348" s="8" t="str">
        <f aca="false">IF(OR($AS348="High",$AT348="High"),"High",IF(OR($AS348="Medium",$AT348="Medium"),"Medium","Low"))</f>
        <v>Medium</v>
      </c>
      <c r="AV348" s="15" t="str">
        <f aca="false">IF($Z348="Yes","High",$AU348)</f>
        <v>Medium</v>
      </c>
    </row>
    <row r="349" customFormat="false" ht="15" hidden="false" customHeight="false" outlineLevel="0" collapsed="false">
      <c r="A349" s="7" t="str">
        <f aca="false">Customers!$A349</f>
        <v>NG-10029</v>
      </c>
      <c r="B349" s="7" t="str">
        <f aca="false">Customers!$B349</f>
        <v>Personal</v>
      </c>
      <c r="C349" s="8" t="n">
        <f aca="false">INDEX(Mapping!$C$2:$C$99,MATCH(C$1&amp;"|"&amp;Customers!C349,Mapping!$D$2:$D$99,0))</f>
        <v>1</v>
      </c>
      <c r="D349" s="8" t="n">
        <f aca="false">INDEX(Mapping!$C$2:$C$99,MATCH(D$1&amp;"|"&amp;Customers!D349,Mapping!$D$2:$D$99,0))</f>
        <v>1</v>
      </c>
      <c r="E349" s="8" t="n">
        <f aca="false">INDEX(Mapping!$C$2:$C$99,MATCH(E$1&amp;"|"&amp;Customers!E349,Mapping!$D$2:$D$99,0))</f>
        <v>2</v>
      </c>
      <c r="F349" s="8" t="n">
        <f aca="false">INDEX(Mapping!$C$2:$C$99,MATCH(F$1&amp;"|"&amp;Customers!F349,Mapping!$D$2:$D$99,0))</f>
        <v>1</v>
      </c>
      <c r="G349" s="8" t="n">
        <f aca="false">INDEX(Mapping!$C$2:$C$99,MATCH(G$1&amp;"|"&amp;Customers!G349,Mapping!$D$2:$D$99,0))</f>
        <v>1</v>
      </c>
      <c r="H349" s="8" t="n">
        <f aca="false">INDEX(Mapping!$C$2:$C$99,MATCH(H$1&amp;"|"&amp;Customers!H349,Mapping!$D$2:$D$99,0))</f>
        <v>1</v>
      </c>
      <c r="I349" s="8" t="n">
        <f aca="false">INDEX(Mapping!$C$2:$C$99,MATCH(I$1&amp;"|"&amp;Customers!I349,Mapping!$D$2:$D$99,0))</f>
        <v>1</v>
      </c>
      <c r="J349" s="8" t="n">
        <f aca="false">INDEX(Mapping!$C$2:$C$99,MATCH(J$1&amp;"|"&amp;Customers!J349,Mapping!$D$2:$D$99,0))</f>
        <v>1</v>
      </c>
      <c r="K349" s="8" t="n">
        <f aca="false">INDEX(Mapping!$C$2:$C$99,MATCH(K$1&amp;"|"&amp;Customers!K349,Mapping!$D$2:$D$99,0))</f>
        <v>3</v>
      </c>
      <c r="L349" s="8" t="n">
        <f aca="false">INDEX(Mapping!$C$2:$C$99,MATCH(L$1&amp;"|"&amp;Customers!L349,Mapping!$D$2:$D$99,0))</f>
        <v>2</v>
      </c>
      <c r="M349" s="8" t="n">
        <f aca="false">INDEX(Mapping!$C$2:$C$99,MATCH(M$1&amp;"|"&amp;Customers!M349,Mapping!$D$2:$D$99,0))</f>
        <v>3</v>
      </c>
      <c r="N349" s="8" t="n">
        <f aca="false">INDEX(Mapping!$C$2:$C$99,MATCH(N$1&amp;"|"&amp;Customers!N349,Mapping!$D$2:$D$99,0))</f>
        <v>1</v>
      </c>
      <c r="O349" s="8" t="n">
        <f aca="false">INDEX(Mapping!$C$2:$C$99,MATCH(O$1&amp;"|"&amp;Customers!O349,Mapping!$D$2:$D$99,0))</f>
        <v>2</v>
      </c>
      <c r="P349" s="8" t="n">
        <f aca="false">INDEX(Mapping!$C$2:$C$99,MATCH(P$1&amp;"|"&amp;Customers!P349,Mapping!$D$2:$D$99,0))</f>
        <v>3</v>
      </c>
      <c r="Q349" s="8" t="n">
        <f aca="false">INDEX(Mapping!$C$2:$C$99,MATCH(Q$1&amp;"|"&amp;Customers!Q349,Mapping!$D$2:$D$99,0))</f>
        <v>3</v>
      </c>
      <c r="R349" s="8" t="n">
        <f aca="false">INDEX(Mapping!$C$2:$C$99,MATCH(R$1&amp;"|"&amp;Customers!R349,Mapping!$D$2:$D$99,0))</f>
        <v>1</v>
      </c>
      <c r="S349" s="8" t="n">
        <f aca="false">INDEX(Mapping!$C$2:$C$99,MATCH(S$1&amp;"|"&amp;Customers!S349,Mapping!$D$2:$D$99,0))</f>
        <v>1</v>
      </c>
      <c r="T349" s="8" t="n">
        <f aca="false">INDEX(Mapping!$C$2:$C$99,MATCH(T$1&amp;"|"&amp;Customers!T349,Mapping!$D$2:$D$99,0))</f>
        <v>1</v>
      </c>
      <c r="U349" s="8" t="n">
        <f aca="false">INDEX(Mapping!$C$2:$C$99,MATCH(U$1&amp;"|"&amp;Customers!U349,Mapping!$D$2:$D$99,0))</f>
        <v>1</v>
      </c>
      <c r="V349" s="8" t="n">
        <f aca="false">INDEX(Mapping!$C$2:$C$99,MATCH(V$1&amp;"|"&amp;Customers!V349,Mapping!$D$2:$D$99,0))</f>
        <v>1</v>
      </c>
      <c r="W349" s="17" t="n">
        <f aca="false">SUMPRODUCT($C349:$V349,Weights!$C$27:$V$27)</f>
        <v>1.52</v>
      </c>
      <c r="X349" s="18" t="n">
        <f aca="false">ROUND($W349,2)</f>
        <v>1.52</v>
      </c>
      <c r="Y349" s="8" t="str">
        <f aca="false">IF($X349&lt;=2,"Low",IF($X349&lt;=3.49,"Medium","High"))</f>
        <v>Low</v>
      </c>
      <c r="Z349" s="8" t="str">
        <f aca="false">IF(OR($F349&gt;=3,$E349=5,$D349=5,$C349=5,$G349=5,$H349=5,$I349=5,$J349=5,Customers!$W349="Yes"),"Yes","No")</f>
        <v>No</v>
      </c>
      <c r="AA349" s="15" t="str">
        <f aca="false">IF($Z349="Yes","High",$Y349)</f>
        <v>Low</v>
      </c>
      <c r="AB349" s="18" t="n">
        <f aca="false">SUMPRODUCT($C349:$G349,Weights!$C$28:$G$28)</f>
        <v>1.25</v>
      </c>
      <c r="AC349" s="18" t="n">
        <f aca="false">SUMPRODUCT($H349:$J349,Weights!$H$28:$J$28)</f>
        <v>1</v>
      </c>
      <c r="AD349" s="18" t="n">
        <f aca="false">SUMPRODUCT($K349:$N349,Weights!$K$28:$N$28)</f>
        <v>2.45</v>
      </c>
      <c r="AE349" s="18" t="n">
        <f aca="false">SUMPRODUCT($O349:$Q349,Weights!$O$28:$Q$28)</f>
        <v>2.55</v>
      </c>
      <c r="AF349" s="18" t="n">
        <f aca="false">SUMPRODUCT($R349:$V349,Weights!$R$28:$V$28)</f>
        <v>1</v>
      </c>
      <c r="AH349" s="18" t="n">
        <f aca="false">SUMPRODUCT($AB349:$AF349,Validation!$D$7:$H$7)</f>
        <v>1.55857142857125</v>
      </c>
      <c r="AI349" s="18" t="n">
        <f aca="false">SUMPRODUCT($AB349:$AF349,Validation!$D$8:$H$8)</f>
        <v>1.48142857142875</v>
      </c>
      <c r="AJ349" s="18" t="n">
        <f aca="false">SUMPRODUCT($AB349:$AF349,Validation!$D$9:$H$9)</f>
        <v>1.5893333333333</v>
      </c>
      <c r="AK349" s="18" t="n">
        <f aca="false">SUMPRODUCT($AB349:$AF349,Validation!$D$10:$H$10)</f>
        <v>1.4506666666667</v>
      </c>
      <c r="AL349" s="18" t="n">
        <f aca="false">SUMPRODUCT($AB349:$AF349,Validation!$D$11:$H$11)</f>
        <v>1.40375</v>
      </c>
      <c r="AM349" s="18" t="n">
        <f aca="false">SUMPRODUCT($AB349:$AF349,Validation!$D$12:$H$12)</f>
        <v>1.63625</v>
      </c>
      <c r="AN349" s="18" t="n">
        <f aca="false">SUMPRODUCT($AB349:$AF349,Validation!$D$13:$H$13)</f>
        <v>1.40555555555515</v>
      </c>
      <c r="AO349" s="18" t="n">
        <f aca="false">SUMPRODUCT($AB349:$AF349,Validation!$D$14:$H$14)</f>
        <v>1.63444444444485</v>
      </c>
      <c r="AP349" s="18" t="n">
        <f aca="false">SUMPRODUCT($AB349:$AF349,Validation!$D$15:$H$15)</f>
        <v>1.5811764705881</v>
      </c>
      <c r="AQ349" s="18" t="n">
        <f aca="false">SUMPRODUCT($AB349:$AF349,Validation!$D$16:$H$16)</f>
        <v>1.4588235294119</v>
      </c>
      <c r="AR349" s="8" t="n">
        <f aca="false">COUNTIF($C349:$V349,"&gt;=4")</f>
        <v>0</v>
      </c>
      <c r="AS349" s="8" t="str">
        <f aca="false">IF($X349&lt;=1.6,"Low",IF($X349&lt;=2.2,"Medium","High"))</f>
        <v>Low</v>
      </c>
      <c r="AT349" s="8" t="str">
        <f aca="false">IF($AR349=0,"Low",IF($AR349&lt;3,"Medium","High"))</f>
        <v>Low</v>
      </c>
      <c r="AU349" s="8" t="str">
        <f aca="false">IF(OR($AS349="High",$AT349="High"),"High",IF(OR($AS349="Medium",$AT349="Medium"),"Medium","Low"))</f>
        <v>Low</v>
      </c>
      <c r="AV349" s="15" t="str">
        <f aca="false">IF($Z349="Yes","High",$AU349)</f>
        <v>Low</v>
      </c>
    </row>
    <row r="350" customFormat="false" ht="15" hidden="false" customHeight="false" outlineLevel="0" collapsed="false">
      <c r="A350" s="7" t="str">
        <f aca="false">Customers!$A350</f>
        <v>NG-10213</v>
      </c>
      <c r="B350" s="7" t="str">
        <f aca="false">Customers!$B350</f>
        <v>Personal</v>
      </c>
      <c r="C350" s="8" t="n">
        <f aca="false">INDEX(Mapping!$C$2:$C$99,MATCH(C$1&amp;"|"&amp;Customers!C350,Mapping!$D$2:$D$99,0))</f>
        <v>1</v>
      </c>
      <c r="D350" s="8" t="n">
        <f aca="false">INDEX(Mapping!$C$2:$C$99,MATCH(D$1&amp;"|"&amp;Customers!D350,Mapping!$D$2:$D$99,0))</f>
        <v>1</v>
      </c>
      <c r="E350" s="8" t="n">
        <f aca="false">INDEX(Mapping!$C$2:$C$99,MATCH(E$1&amp;"|"&amp;Customers!E350,Mapping!$D$2:$D$99,0))</f>
        <v>4</v>
      </c>
      <c r="F350" s="8" t="n">
        <f aca="false">INDEX(Mapping!$C$2:$C$99,MATCH(F$1&amp;"|"&amp;Customers!F350,Mapping!$D$2:$D$99,0))</f>
        <v>1</v>
      </c>
      <c r="G350" s="8" t="n">
        <f aca="false">INDEX(Mapping!$C$2:$C$99,MATCH(G$1&amp;"|"&amp;Customers!G350,Mapping!$D$2:$D$99,0))</f>
        <v>1</v>
      </c>
      <c r="H350" s="8" t="n">
        <f aca="false">INDEX(Mapping!$C$2:$C$99,MATCH(H$1&amp;"|"&amp;Customers!H350,Mapping!$D$2:$D$99,0))</f>
        <v>1</v>
      </c>
      <c r="I350" s="8" t="n">
        <f aca="false">INDEX(Mapping!$C$2:$C$99,MATCH(I$1&amp;"|"&amp;Customers!I350,Mapping!$D$2:$D$99,0))</f>
        <v>1</v>
      </c>
      <c r="J350" s="8" t="n">
        <f aca="false">INDEX(Mapping!$C$2:$C$99,MATCH(J$1&amp;"|"&amp;Customers!J350,Mapping!$D$2:$D$99,0))</f>
        <v>1</v>
      </c>
      <c r="K350" s="8" t="n">
        <f aca="false">INDEX(Mapping!$C$2:$C$99,MATCH(K$1&amp;"|"&amp;Customers!K350,Mapping!$D$2:$D$99,0))</f>
        <v>2</v>
      </c>
      <c r="L350" s="8" t="n">
        <f aca="false">INDEX(Mapping!$C$2:$C$99,MATCH(L$1&amp;"|"&amp;Customers!L350,Mapping!$D$2:$D$99,0))</f>
        <v>3</v>
      </c>
      <c r="M350" s="8" t="n">
        <f aca="false">INDEX(Mapping!$C$2:$C$99,MATCH(M$1&amp;"|"&amp;Customers!M350,Mapping!$D$2:$D$99,0))</f>
        <v>4</v>
      </c>
      <c r="N350" s="8" t="n">
        <f aca="false">INDEX(Mapping!$C$2:$C$99,MATCH(N$1&amp;"|"&amp;Customers!N350,Mapping!$D$2:$D$99,0))</f>
        <v>1</v>
      </c>
      <c r="O350" s="8" t="n">
        <f aca="false">INDEX(Mapping!$C$2:$C$99,MATCH(O$1&amp;"|"&amp;Customers!O350,Mapping!$D$2:$D$99,0))</f>
        <v>3</v>
      </c>
      <c r="P350" s="8" t="n">
        <f aca="false">INDEX(Mapping!$C$2:$C$99,MATCH(P$1&amp;"|"&amp;Customers!P350,Mapping!$D$2:$D$99,0))</f>
        <v>3</v>
      </c>
      <c r="Q350" s="8" t="n">
        <f aca="false">INDEX(Mapping!$C$2:$C$99,MATCH(Q$1&amp;"|"&amp;Customers!Q350,Mapping!$D$2:$D$99,0))</f>
        <v>1</v>
      </c>
      <c r="R350" s="8" t="n">
        <f aca="false">INDEX(Mapping!$C$2:$C$99,MATCH(R$1&amp;"|"&amp;Customers!R350,Mapping!$D$2:$D$99,0))</f>
        <v>1</v>
      </c>
      <c r="S350" s="8" t="n">
        <f aca="false">INDEX(Mapping!$C$2:$C$99,MATCH(S$1&amp;"|"&amp;Customers!S350,Mapping!$D$2:$D$99,0))</f>
        <v>3</v>
      </c>
      <c r="T350" s="8" t="n">
        <f aca="false">INDEX(Mapping!$C$2:$C$99,MATCH(T$1&amp;"|"&amp;Customers!T350,Mapping!$D$2:$D$99,0))</f>
        <v>1</v>
      </c>
      <c r="U350" s="8" t="n">
        <f aca="false">INDEX(Mapping!$C$2:$C$99,MATCH(U$1&amp;"|"&amp;Customers!U350,Mapping!$D$2:$D$99,0))</f>
        <v>1</v>
      </c>
      <c r="V350" s="8" t="n">
        <f aca="false">INDEX(Mapping!$C$2:$C$99,MATCH(V$1&amp;"|"&amp;Customers!V350,Mapping!$D$2:$D$99,0))</f>
        <v>1</v>
      </c>
      <c r="W350" s="17" t="n">
        <f aca="false">SUMPRODUCT($C350:$V350,Weights!$C$27:$V$27)</f>
        <v>1.795</v>
      </c>
      <c r="X350" s="18" t="n">
        <f aca="false">ROUND($W350,2)</f>
        <v>1.8</v>
      </c>
      <c r="Y350" s="8" t="str">
        <f aca="false">IF($X350&lt;=2,"Low",IF($X350&lt;=3.49,"Medium","High"))</f>
        <v>Low</v>
      </c>
      <c r="Z350" s="8" t="str">
        <f aca="false">IF(OR($F350&gt;=3,$E350=5,$D350=5,$C350=5,$G350=5,$H350=5,$I350=5,$J350=5,Customers!$W350="Yes"),"Yes","No")</f>
        <v>No</v>
      </c>
      <c r="AA350" s="15" t="str">
        <f aca="false">IF($Z350="Yes","High",$Y350)</f>
        <v>Low</v>
      </c>
      <c r="AB350" s="18" t="n">
        <f aca="false">SUMPRODUCT($C350:$G350,Weights!$C$28:$G$28)</f>
        <v>1.75</v>
      </c>
      <c r="AC350" s="18" t="n">
        <f aca="false">SUMPRODUCT($H350:$J350,Weights!$H$28:$J$28)</f>
        <v>1</v>
      </c>
      <c r="AD350" s="18" t="n">
        <f aca="false">SUMPRODUCT($K350:$N350,Weights!$K$28:$N$28)</f>
        <v>2.6</v>
      </c>
      <c r="AE350" s="18" t="n">
        <f aca="false">SUMPRODUCT($O350:$Q350,Weights!$O$28:$Q$28)</f>
        <v>2.6</v>
      </c>
      <c r="AF350" s="18" t="n">
        <f aca="false">SUMPRODUCT($R350:$V350,Weights!$R$28:$V$28)</f>
        <v>1.6</v>
      </c>
      <c r="AH350" s="18" t="n">
        <f aca="false">SUMPRODUCT($AB350:$AF350,Validation!$D$7:$H$7)</f>
        <v>1.8014285714286</v>
      </c>
      <c r="AI350" s="18" t="n">
        <f aca="false">SUMPRODUCT($AB350:$AF350,Validation!$D$8:$H$8)</f>
        <v>1.7885714285714</v>
      </c>
      <c r="AJ350" s="18" t="n">
        <f aca="false">SUMPRODUCT($AB350:$AF350,Validation!$D$9:$H$9)</f>
        <v>1.901</v>
      </c>
      <c r="AK350" s="18" t="n">
        <f aca="false">SUMPRODUCT($AB350:$AF350,Validation!$D$10:$H$10)</f>
        <v>1.689</v>
      </c>
      <c r="AL350" s="18" t="n">
        <f aca="false">SUMPRODUCT($AB350:$AF350,Validation!$D$11:$H$11)</f>
        <v>1.694375</v>
      </c>
      <c r="AM350" s="18" t="n">
        <f aca="false">SUMPRODUCT($AB350:$AF350,Validation!$D$12:$H$12)</f>
        <v>1.895625</v>
      </c>
      <c r="AN350" s="18" t="n">
        <f aca="false">SUMPRODUCT($AB350:$AF350,Validation!$D$13:$H$13)</f>
        <v>1.70555555555515</v>
      </c>
      <c r="AO350" s="18" t="n">
        <f aca="false">SUMPRODUCT($AB350:$AF350,Validation!$D$14:$H$14)</f>
        <v>1.88444444444485</v>
      </c>
      <c r="AP350" s="18" t="n">
        <f aca="false">SUMPRODUCT($AB350:$AF350,Validation!$D$15:$H$15)</f>
        <v>1.81794117647045</v>
      </c>
      <c r="AQ350" s="18" t="n">
        <f aca="false">SUMPRODUCT($AB350:$AF350,Validation!$D$16:$H$16)</f>
        <v>1.77205882352955</v>
      </c>
      <c r="AR350" s="8" t="n">
        <f aca="false">COUNTIF($C350:$V350,"&gt;=4")</f>
        <v>2</v>
      </c>
      <c r="AS350" s="8" t="str">
        <f aca="false">IF($X350&lt;=1.6,"Low",IF($X350&lt;=2.2,"Medium","High"))</f>
        <v>Medium</v>
      </c>
      <c r="AT350" s="8" t="str">
        <f aca="false">IF($AR350=0,"Low",IF($AR350&lt;3,"Medium","High"))</f>
        <v>Medium</v>
      </c>
      <c r="AU350" s="8" t="str">
        <f aca="false">IF(OR($AS350="High",$AT350="High"),"High",IF(OR($AS350="Medium",$AT350="Medium"),"Medium","Low"))</f>
        <v>Medium</v>
      </c>
      <c r="AV350" s="15" t="str">
        <f aca="false">IF($Z350="Yes","High",$AU350)</f>
        <v>Medium</v>
      </c>
    </row>
    <row r="351" customFormat="false" ht="15" hidden="false" customHeight="false" outlineLevel="0" collapsed="false">
      <c r="A351" s="7" t="str">
        <f aca="false">Customers!$A351</f>
        <v>NG-10356</v>
      </c>
      <c r="B351" s="7" t="str">
        <f aca="false">Customers!$B351</f>
        <v>Sole trader</v>
      </c>
      <c r="C351" s="8" t="n">
        <f aca="false">INDEX(Mapping!$C$2:$C$99,MATCH(C$1&amp;"|"&amp;Customers!C351,Mapping!$D$2:$D$99,0))</f>
        <v>2</v>
      </c>
      <c r="D351" s="8" t="n">
        <f aca="false">INDEX(Mapping!$C$2:$C$99,MATCH(D$1&amp;"|"&amp;Customers!D351,Mapping!$D$2:$D$99,0))</f>
        <v>1</v>
      </c>
      <c r="E351" s="8" t="n">
        <f aca="false">INDEX(Mapping!$C$2:$C$99,MATCH(E$1&amp;"|"&amp;Customers!E351,Mapping!$D$2:$D$99,0))</f>
        <v>2</v>
      </c>
      <c r="F351" s="8" t="n">
        <f aca="false">INDEX(Mapping!$C$2:$C$99,MATCH(F$1&amp;"|"&amp;Customers!F351,Mapping!$D$2:$D$99,0))</f>
        <v>1</v>
      </c>
      <c r="G351" s="8" t="n">
        <f aca="false">INDEX(Mapping!$C$2:$C$99,MATCH(G$1&amp;"|"&amp;Customers!G351,Mapping!$D$2:$D$99,0))</f>
        <v>1</v>
      </c>
      <c r="H351" s="8" t="n">
        <f aca="false">INDEX(Mapping!$C$2:$C$99,MATCH(H$1&amp;"|"&amp;Customers!H351,Mapping!$D$2:$D$99,0))</f>
        <v>1</v>
      </c>
      <c r="I351" s="8" t="n">
        <f aca="false">INDEX(Mapping!$C$2:$C$99,MATCH(I$1&amp;"|"&amp;Customers!I351,Mapping!$D$2:$D$99,0))</f>
        <v>1</v>
      </c>
      <c r="J351" s="8" t="n">
        <f aca="false">INDEX(Mapping!$C$2:$C$99,MATCH(J$1&amp;"|"&amp;Customers!J351,Mapping!$D$2:$D$99,0))</f>
        <v>3</v>
      </c>
      <c r="K351" s="8" t="n">
        <f aca="false">INDEX(Mapping!$C$2:$C$99,MATCH(K$1&amp;"|"&amp;Customers!K351,Mapping!$D$2:$D$99,0))</f>
        <v>4</v>
      </c>
      <c r="L351" s="8" t="n">
        <f aca="false">INDEX(Mapping!$C$2:$C$99,MATCH(L$1&amp;"|"&amp;Customers!L351,Mapping!$D$2:$D$99,0))</f>
        <v>2</v>
      </c>
      <c r="M351" s="8" t="n">
        <f aca="false">INDEX(Mapping!$C$2:$C$99,MATCH(M$1&amp;"|"&amp;Customers!M351,Mapping!$D$2:$D$99,0))</f>
        <v>5</v>
      </c>
      <c r="N351" s="8" t="n">
        <f aca="false">INDEX(Mapping!$C$2:$C$99,MATCH(N$1&amp;"|"&amp;Customers!N351,Mapping!$D$2:$D$99,0))</f>
        <v>1</v>
      </c>
      <c r="O351" s="8" t="n">
        <f aca="false">INDEX(Mapping!$C$2:$C$99,MATCH(O$1&amp;"|"&amp;Customers!O351,Mapping!$D$2:$D$99,0))</f>
        <v>4</v>
      </c>
      <c r="P351" s="8" t="n">
        <f aca="false">INDEX(Mapping!$C$2:$C$99,MATCH(P$1&amp;"|"&amp;Customers!P351,Mapping!$D$2:$D$99,0))</f>
        <v>3</v>
      </c>
      <c r="Q351" s="8" t="n">
        <f aca="false">INDEX(Mapping!$C$2:$C$99,MATCH(Q$1&amp;"|"&amp;Customers!Q351,Mapping!$D$2:$D$99,0))</f>
        <v>1</v>
      </c>
      <c r="R351" s="8" t="n">
        <f aca="false">INDEX(Mapping!$C$2:$C$99,MATCH(R$1&amp;"|"&amp;Customers!R351,Mapping!$D$2:$D$99,0))</f>
        <v>2</v>
      </c>
      <c r="S351" s="8" t="n">
        <f aca="false">INDEX(Mapping!$C$2:$C$99,MATCH(S$1&amp;"|"&amp;Customers!S351,Mapping!$D$2:$D$99,0))</f>
        <v>3</v>
      </c>
      <c r="T351" s="8" t="n">
        <f aca="false">INDEX(Mapping!$C$2:$C$99,MATCH(T$1&amp;"|"&amp;Customers!T351,Mapping!$D$2:$D$99,0))</f>
        <v>1</v>
      </c>
      <c r="U351" s="8" t="n">
        <f aca="false">INDEX(Mapping!$C$2:$C$99,MATCH(U$1&amp;"|"&amp;Customers!U351,Mapping!$D$2:$D$99,0))</f>
        <v>2</v>
      </c>
      <c r="V351" s="8" t="n">
        <f aca="false">INDEX(Mapping!$C$2:$C$99,MATCH(V$1&amp;"|"&amp;Customers!V351,Mapping!$D$2:$D$99,0))</f>
        <v>1</v>
      </c>
      <c r="W351" s="17" t="n">
        <f aca="false">SUMPRODUCT($C351:$V351,Weights!$C$27:$V$27)</f>
        <v>2.15</v>
      </c>
      <c r="X351" s="18" t="n">
        <f aca="false">ROUND($W351,2)</f>
        <v>2.15</v>
      </c>
      <c r="Y351" s="8" t="str">
        <f aca="false">IF($X351&lt;=2,"Low",IF($X351&lt;=3.49,"Medium","High"))</f>
        <v>Medium</v>
      </c>
      <c r="Z351" s="8" t="str">
        <f aca="false">IF(OR($F351&gt;=3,$E351=5,$D351=5,$C351=5,$G351=5,$H351=5,$I351=5,$J351=5,Customers!$W351="Yes"),"Yes","No")</f>
        <v>No</v>
      </c>
      <c r="AA351" s="15" t="str">
        <f aca="false">IF($Z351="Yes","High",$Y351)</f>
        <v>Medium</v>
      </c>
      <c r="AB351" s="18" t="n">
        <f aca="false">SUMPRODUCT($C351:$G351,Weights!$C$28:$G$28)</f>
        <v>1.45</v>
      </c>
      <c r="AC351" s="18" t="n">
        <f aca="false">SUMPRODUCT($H351:$J351,Weights!$H$28:$J$28)</f>
        <v>1.8</v>
      </c>
      <c r="AD351" s="18" t="n">
        <f aca="false">SUMPRODUCT($K351:$N351,Weights!$K$28:$N$28)</f>
        <v>3.3</v>
      </c>
      <c r="AE351" s="18" t="n">
        <f aca="false">SUMPRODUCT($O351:$Q351,Weights!$O$28:$Q$28)</f>
        <v>3.05</v>
      </c>
      <c r="AF351" s="18" t="n">
        <f aca="false">SUMPRODUCT($R351:$V351,Weights!$R$28:$V$28)</f>
        <v>2</v>
      </c>
      <c r="AH351" s="18" t="n">
        <f aca="false">SUMPRODUCT($AB351:$AF351,Validation!$D$7:$H$7)</f>
        <v>2.2499999999998</v>
      </c>
      <c r="AI351" s="18" t="n">
        <f aca="false">SUMPRODUCT($AB351:$AF351,Validation!$D$8:$H$8)</f>
        <v>2.0500000000002</v>
      </c>
      <c r="AJ351" s="18" t="n">
        <f aca="false">SUMPRODUCT($AB351:$AF351,Validation!$D$9:$H$9)</f>
        <v>2.19666666666675</v>
      </c>
      <c r="AK351" s="18" t="n">
        <f aca="false">SUMPRODUCT($AB351:$AF351,Validation!$D$10:$H$10)</f>
        <v>2.10333333333325</v>
      </c>
      <c r="AL351" s="18" t="n">
        <f aca="false">SUMPRODUCT($AB351:$AF351,Validation!$D$11:$H$11)</f>
        <v>2.00625</v>
      </c>
      <c r="AM351" s="18" t="n">
        <f aca="false">SUMPRODUCT($AB351:$AF351,Validation!$D$12:$H$12)</f>
        <v>2.29375</v>
      </c>
      <c r="AN351" s="18" t="n">
        <f aca="false">SUMPRODUCT($AB351:$AF351,Validation!$D$13:$H$13)</f>
        <v>2.04999999999985</v>
      </c>
      <c r="AO351" s="18" t="n">
        <f aca="false">SUMPRODUCT($AB351:$AF351,Validation!$D$14:$H$14)</f>
        <v>2.25000000000015</v>
      </c>
      <c r="AP351" s="18" t="n">
        <f aca="false">SUMPRODUCT($AB351:$AF351,Validation!$D$15:$H$15)</f>
        <v>2.16764705882355</v>
      </c>
      <c r="AQ351" s="18" t="n">
        <f aca="false">SUMPRODUCT($AB351:$AF351,Validation!$D$16:$H$16)</f>
        <v>2.13235294117645</v>
      </c>
      <c r="AR351" s="8" t="n">
        <f aca="false">COUNTIF($C351:$V351,"&gt;=4")</f>
        <v>3</v>
      </c>
      <c r="AS351" s="8" t="str">
        <f aca="false">IF($X351&lt;=1.6,"Low",IF($X351&lt;=2.2,"Medium","High"))</f>
        <v>Medium</v>
      </c>
      <c r="AT351" s="8" t="str">
        <f aca="false">IF($AR351=0,"Low",IF($AR351&lt;3,"Medium","High"))</f>
        <v>High</v>
      </c>
      <c r="AU351" s="8" t="str">
        <f aca="false">IF(OR($AS351="High",$AT351="High"),"High",IF(OR($AS351="Medium",$AT351="Medium"),"Medium","Low"))</f>
        <v>High</v>
      </c>
      <c r="AV351" s="15" t="str">
        <f aca="false">IF($Z351="Yes","High",$AU351)</f>
        <v>High</v>
      </c>
    </row>
    <row r="352" customFormat="false" ht="15" hidden="false" customHeight="false" outlineLevel="0" collapsed="false">
      <c r="A352" s="7" t="str">
        <f aca="false">Customers!$A352</f>
        <v>NG-10353</v>
      </c>
      <c r="B352" s="7" t="str">
        <f aca="false">Customers!$B352</f>
        <v>Sole trader</v>
      </c>
      <c r="C352" s="8" t="n">
        <f aca="false">INDEX(Mapping!$C$2:$C$99,MATCH(C$1&amp;"|"&amp;Customers!C352,Mapping!$D$2:$D$99,0))</f>
        <v>2</v>
      </c>
      <c r="D352" s="8" t="n">
        <f aca="false">INDEX(Mapping!$C$2:$C$99,MATCH(D$1&amp;"|"&amp;Customers!D352,Mapping!$D$2:$D$99,0))</f>
        <v>1</v>
      </c>
      <c r="E352" s="8" t="n">
        <f aca="false">INDEX(Mapping!$C$2:$C$99,MATCH(E$1&amp;"|"&amp;Customers!E352,Mapping!$D$2:$D$99,0))</f>
        <v>2</v>
      </c>
      <c r="F352" s="8" t="n">
        <f aca="false">INDEX(Mapping!$C$2:$C$99,MATCH(F$1&amp;"|"&amp;Customers!F352,Mapping!$D$2:$D$99,0))</f>
        <v>1</v>
      </c>
      <c r="G352" s="8" t="n">
        <f aca="false">INDEX(Mapping!$C$2:$C$99,MATCH(G$1&amp;"|"&amp;Customers!G352,Mapping!$D$2:$D$99,0))</f>
        <v>1</v>
      </c>
      <c r="H352" s="8" t="n">
        <f aca="false">INDEX(Mapping!$C$2:$C$99,MATCH(H$1&amp;"|"&amp;Customers!H352,Mapping!$D$2:$D$99,0))</f>
        <v>1</v>
      </c>
      <c r="I352" s="8" t="n">
        <f aca="false">INDEX(Mapping!$C$2:$C$99,MATCH(I$1&amp;"|"&amp;Customers!I352,Mapping!$D$2:$D$99,0))</f>
        <v>1</v>
      </c>
      <c r="J352" s="8" t="n">
        <f aca="false">INDEX(Mapping!$C$2:$C$99,MATCH(J$1&amp;"|"&amp;Customers!J352,Mapping!$D$2:$D$99,0))</f>
        <v>1</v>
      </c>
      <c r="K352" s="8" t="n">
        <f aca="false">INDEX(Mapping!$C$2:$C$99,MATCH(K$1&amp;"|"&amp;Customers!K352,Mapping!$D$2:$D$99,0))</f>
        <v>5</v>
      </c>
      <c r="L352" s="8" t="n">
        <f aca="false">INDEX(Mapping!$C$2:$C$99,MATCH(L$1&amp;"|"&amp;Customers!L352,Mapping!$D$2:$D$99,0))</f>
        <v>5</v>
      </c>
      <c r="M352" s="8" t="n">
        <f aca="false">INDEX(Mapping!$C$2:$C$99,MATCH(M$1&amp;"|"&amp;Customers!M352,Mapping!$D$2:$D$99,0))</f>
        <v>1</v>
      </c>
      <c r="N352" s="8" t="n">
        <f aca="false">INDEX(Mapping!$C$2:$C$99,MATCH(N$1&amp;"|"&amp;Customers!N352,Mapping!$D$2:$D$99,0))</f>
        <v>1</v>
      </c>
      <c r="O352" s="8" t="n">
        <f aca="false">INDEX(Mapping!$C$2:$C$99,MATCH(O$1&amp;"|"&amp;Customers!O352,Mapping!$D$2:$D$99,0))</f>
        <v>2</v>
      </c>
      <c r="P352" s="8" t="n">
        <f aca="false">INDEX(Mapping!$C$2:$C$99,MATCH(P$1&amp;"|"&amp;Customers!P352,Mapping!$D$2:$D$99,0))</f>
        <v>3</v>
      </c>
      <c r="Q352" s="8" t="n">
        <f aca="false">INDEX(Mapping!$C$2:$C$99,MATCH(Q$1&amp;"|"&amp;Customers!Q352,Mapping!$D$2:$D$99,0))</f>
        <v>1</v>
      </c>
      <c r="R352" s="8" t="n">
        <f aca="false">INDEX(Mapping!$C$2:$C$99,MATCH(R$1&amp;"|"&amp;Customers!R352,Mapping!$D$2:$D$99,0))</f>
        <v>2</v>
      </c>
      <c r="S352" s="8" t="n">
        <f aca="false">INDEX(Mapping!$C$2:$C$99,MATCH(S$1&amp;"|"&amp;Customers!S352,Mapping!$D$2:$D$99,0))</f>
        <v>3</v>
      </c>
      <c r="T352" s="8" t="n">
        <f aca="false">INDEX(Mapping!$C$2:$C$99,MATCH(T$1&amp;"|"&amp;Customers!T352,Mapping!$D$2:$D$99,0))</f>
        <v>3</v>
      </c>
      <c r="U352" s="8" t="n">
        <f aca="false">INDEX(Mapping!$C$2:$C$99,MATCH(U$1&amp;"|"&amp;Customers!U352,Mapping!$D$2:$D$99,0))</f>
        <v>3</v>
      </c>
      <c r="V352" s="8" t="n">
        <f aca="false">INDEX(Mapping!$C$2:$C$99,MATCH(V$1&amp;"|"&amp;Customers!V352,Mapping!$D$2:$D$99,0))</f>
        <v>1</v>
      </c>
      <c r="W352" s="17" t="n">
        <f aca="false">SUMPRODUCT($C352:$V352,Weights!$C$27:$V$27)</f>
        <v>1.9625</v>
      </c>
      <c r="X352" s="18" t="n">
        <f aca="false">ROUND($W352,2)</f>
        <v>1.96</v>
      </c>
      <c r="Y352" s="8" t="str">
        <f aca="false">IF($X352&lt;=2,"Low",IF($X352&lt;=3.49,"Medium","High"))</f>
        <v>Low</v>
      </c>
      <c r="Z352" s="8" t="str">
        <f aca="false">IF(OR($F352&gt;=3,$E352=5,$D352=5,$C352=5,$G352=5,$H352=5,$I352=5,$J352=5,Customers!$W352="Yes"),"Yes","No")</f>
        <v>No</v>
      </c>
      <c r="AA352" s="15" t="str">
        <f aca="false">IF($Z352="Yes","High",$Y352)</f>
        <v>Low</v>
      </c>
      <c r="AB352" s="18" t="n">
        <f aca="false">SUMPRODUCT($C352:$G352,Weights!$C$28:$G$28)</f>
        <v>1.45</v>
      </c>
      <c r="AC352" s="18" t="n">
        <f aca="false">SUMPRODUCT($H352:$J352,Weights!$H$28:$J$28)</f>
        <v>1</v>
      </c>
      <c r="AD352" s="18" t="n">
        <f aca="false">SUMPRODUCT($K352:$N352,Weights!$K$28:$N$28)</f>
        <v>3.4</v>
      </c>
      <c r="AE352" s="18" t="n">
        <f aca="false">SUMPRODUCT($O352:$Q352,Weights!$O$28:$Q$28)</f>
        <v>2.15</v>
      </c>
      <c r="AF352" s="18" t="n">
        <f aca="false">SUMPRODUCT($R352:$V352,Weights!$R$28:$V$28)</f>
        <v>2.55</v>
      </c>
      <c r="AH352" s="18" t="n">
        <f aca="false">SUMPRODUCT($AB352:$AF352,Validation!$D$7:$H$7)</f>
        <v>2.03571428571425</v>
      </c>
      <c r="AI352" s="18" t="n">
        <f aca="false">SUMPRODUCT($AB352:$AF352,Validation!$D$8:$H$8)</f>
        <v>1.88928571428575</v>
      </c>
      <c r="AJ352" s="18" t="n">
        <f aca="false">SUMPRODUCT($AB352:$AF352,Validation!$D$9:$H$9)</f>
        <v>2.09083333333375</v>
      </c>
      <c r="AK352" s="18" t="n">
        <f aca="false">SUMPRODUCT($AB352:$AF352,Validation!$D$10:$H$10)</f>
        <v>1.83416666666625</v>
      </c>
      <c r="AL352" s="18" t="n">
        <f aca="false">SUMPRODUCT($AB352:$AF352,Validation!$D$11:$H$11)</f>
        <v>1.7828125</v>
      </c>
      <c r="AM352" s="18" t="n">
        <f aca="false">SUMPRODUCT($AB352:$AF352,Validation!$D$12:$H$12)</f>
        <v>2.1421875</v>
      </c>
      <c r="AN352" s="18" t="n">
        <f aca="false">SUMPRODUCT($AB352:$AF352,Validation!$D$13:$H$13)</f>
        <v>1.9416666666665</v>
      </c>
      <c r="AO352" s="18" t="n">
        <f aca="false">SUMPRODUCT($AB352:$AF352,Validation!$D$14:$H$14)</f>
        <v>1.9833333333335</v>
      </c>
      <c r="AP352" s="18" t="n">
        <f aca="false">SUMPRODUCT($AB352:$AF352,Validation!$D$15:$H$15)</f>
        <v>1.89338235294145</v>
      </c>
      <c r="AQ352" s="18" t="n">
        <f aca="false">SUMPRODUCT($AB352:$AF352,Validation!$D$16:$H$16)</f>
        <v>2.03161764705855</v>
      </c>
      <c r="AR352" s="8" t="n">
        <f aca="false">COUNTIF($C352:$V352,"&gt;=4")</f>
        <v>2</v>
      </c>
      <c r="AS352" s="8" t="str">
        <f aca="false">IF($X352&lt;=1.6,"Low",IF($X352&lt;=2.2,"Medium","High"))</f>
        <v>Medium</v>
      </c>
      <c r="AT352" s="8" t="str">
        <f aca="false">IF($AR352=0,"Low",IF($AR352&lt;3,"Medium","High"))</f>
        <v>Medium</v>
      </c>
      <c r="AU352" s="8" t="str">
        <f aca="false">IF(OR($AS352="High",$AT352="High"),"High",IF(OR($AS352="Medium",$AT352="Medium"),"Medium","Low"))</f>
        <v>Medium</v>
      </c>
      <c r="AV352" s="15" t="str">
        <f aca="false">IF($Z352="Yes","High",$AU352)</f>
        <v>Medium</v>
      </c>
    </row>
    <row r="353" customFormat="false" ht="15" hidden="false" customHeight="false" outlineLevel="0" collapsed="false">
      <c r="A353" s="7" t="str">
        <f aca="false">Customers!$A353</f>
        <v>NG-10364</v>
      </c>
      <c r="B353" s="7" t="str">
        <f aca="false">Customers!$B353</f>
        <v>Limited company</v>
      </c>
      <c r="C353" s="8" t="n">
        <f aca="false">INDEX(Mapping!$C$2:$C$99,MATCH(C$1&amp;"|"&amp;Customers!C353,Mapping!$D$2:$D$99,0))</f>
        <v>4</v>
      </c>
      <c r="D353" s="8" t="n">
        <f aca="false">INDEX(Mapping!$C$2:$C$99,MATCH(D$1&amp;"|"&amp;Customers!D353,Mapping!$D$2:$D$99,0))</f>
        <v>3</v>
      </c>
      <c r="E353" s="8" t="n">
        <f aca="false">INDEX(Mapping!$C$2:$C$99,MATCH(E$1&amp;"|"&amp;Customers!E353,Mapping!$D$2:$D$99,0))</f>
        <v>4</v>
      </c>
      <c r="F353" s="8" t="n">
        <f aca="false">INDEX(Mapping!$C$2:$C$99,MATCH(F$1&amp;"|"&amp;Customers!F353,Mapping!$D$2:$D$99,0))</f>
        <v>1</v>
      </c>
      <c r="G353" s="8" t="n">
        <f aca="false">INDEX(Mapping!$C$2:$C$99,MATCH(G$1&amp;"|"&amp;Customers!G353,Mapping!$D$2:$D$99,0))</f>
        <v>1</v>
      </c>
      <c r="H353" s="8" t="n">
        <f aca="false">INDEX(Mapping!$C$2:$C$99,MATCH(H$1&amp;"|"&amp;Customers!H353,Mapping!$D$2:$D$99,0))</f>
        <v>1</v>
      </c>
      <c r="I353" s="8" t="n">
        <f aca="false">INDEX(Mapping!$C$2:$C$99,MATCH(I$1&amp;"|"&amp;Customers!I353,Mapping!$D$2:$D$99,0))</f>
        <v>1</v>
      </c>
      <c r="J353" s="8" t="n">
        <f aca="false">INDEX(Mapping!$C$2:$C$99,MATCH(J$1&amp;"|"&amp;Customers!J353,Mapping!$D$2:$D$99,0))</f>
        <v>1</v>
      </c>
      <c r="K353" s="8" t="n">
        <f aca="false">INDEX(Mapping!$C$2:$C$99,MATCH(K$1&amp;"|"&amp;Customers!K353,Mapping!$D$2:$D$99,0))</f>
        <v>5</v>
      </c>
      <c r="L353" s="8" t="n">
        <f aca="false">INDEX(Mapping!$C$2:$C$99,MATCH(L$1&amp;"|"&amp;Customers!L353,Mapping!$D$2:$D$99,0))</f>
        <v>4</v>
      </c>
      <c r="M353" s="8" t="n">
        <f aca="false">INDEX(Mapping!$C$2:$C$99,MATCH(M$1&amp;"|"&amp;Customers!M353,Mapping!$D$2:$D$99,0))</f>
        <v>3</v>
      </c>
      <c r="N353" s="8" t="n">
        <f aca="false">INDEX(Mapping!$C$2:$C$99,MATCH(N$1&amp;"|"&amp;Customers!N353,Mapping!$D$2:$D$99,0))</f>
        <v>3</v>
      </c>
      <c r="O353" s="8" t="n">
        <f aca="false">INDEX(Mapping!$C$2:$C$99,MATCH(O$1&amp;"|"&amp;Customers!O353,Mapping!$D$2:$D$99,0))</f>
        <v>2</v>
      </c>
      <c r="P353" s="8" t="n">
        <f aca="false">INDEX(Mapping!$C$2:$C$99,MATCH(P$1&amp;"|"&amp;Customers!P353,Mapping!$D$2:$D$99,0))</f>
        <v>3</v>
      </c>
      <c r="Q353" s="8" t="n">
        <f aca="false">INDEX(Mapping!$C$2:$C$99,MATCH(Q$1&amp;"|"&amp;Customers!Q353,Mapping!$D$2:$D$99,0))</f>
        <v>1</v>
      </c>
      <c r="R353" s="8" t="n">
        <f aca="false">INDEX(Mapping!$C$2:$C$99,MATCH(R$1&amp;"|"&amp;Customers!R353,Mapping!$D$2:$D$99,0))</f>
        <v>2</v>
      </c>
      <c r="S353" s="8" t="n">
        <f aca="false">INDEX(Mapping!$C$2:$C$99,MATCH(S$1&amp;"|"&amp;Customers!S353,Mapping!$D$2:$D$99,0))</f>
        <v>1</v>
      </c>
      <c r="T353" s="8" t="n">
        <f aca="false">INDEX(Mapping!$C$2:$C$99,MATCH(T$1&amp;"|"&amp;Customers!T353,Mapping!$D$2:$D$99,0))</f>
        <v>3</v>
      </c>
      <c r="U353" s="8" t="n">
        <f aca="false">INDEX(Mapping!$C$2:$C$99,MATCH(U$1&amp;"|"&amp;Customers!U353,Mapping!$D$2:$D$99,0))</f>
        <v>2</v>
      </c>
      <c r="V353" s="8" t="n">
        <f aca="false">INDEX(Mapping!$C$2:$C$99,MATCH(V$1&amp;"|"&amp;Customers!V353,Mapping!$D$2:$D$99,0))</f>
        <v>1</v>
      </c>
      <c r="W353" s="17" t="n">
        <f aca="false">SUMPRODUCT($C353:$V353,Weights!$C$27:$V$27)</f>
        <v>2.35</v>
      </c>
      <c r="X353" s="18" t="n">
        <f aca="false">ROUND($W353,2)</f>
        <v>2.35</v>
      </c>
      <c r="Y353" s="8" t="str">
        <f aca="false">IF($X353&lt;=2,"Low",IF($X353&lt;=3.49,"Medium","High"))</f>
        <v>Medium</v>
      </c>
      <c r="Z353" s="8" t="str">
        <f aca="false">IF(OR($F353&gt;=3,$E353=5,$D353=5,$C353=5,$G353=5,$H353=5,$I353=5,$J353=5,Customers!$W353="Yes"),"Yes","No")</f>
        <v>No</v>
      </c>
      <c r="AA353" s="15" t="str">
        <f aca="false">IF($Z353="Yes","High",$Y353)</f>
        <v>Medium</v>
      </c>
      <c r="AB353" s="18" t="n">
        <f aca="false">SUMPRODUCT($C353:$G353,Weights!$C$28:$G$28)</f>
        <v>2.75</v>
      </c>
      <c r="AC353" s="18" t="n">
        <f aca="false">SUMPRODUCT($H353:$J353,Weights!$H$28:$J$28)</f>
        <v>1</v>
      </c>
      <c r="AD353" s="18" t="n">
        <f aca="false">SUMPRODUCT($K353:$N353,Weights!$K$28:$N$28)</f>
        <v>3.95</v>
      </c>
      <c r="AE353" s="18" t="n">
        <f aca="false">SUMPRODUCT($O353:$Q353,Weights!$O$28:$Q$28)</f>
        <v>2.15</v>
      </c>
      <c r="AF353" s="18" t="n">
        <f aca="false">SUMPRODUCT($R353:$V353,Weights!$R$28:$V$28)</f>
        <v>1.8</v>
      </c>
      <c r="AH353" s="18" t="n">
        <f aca="false">SUMPRODUCT($AB353:$AF353,Validation!$D$7:$H$7)</f>
        <v>2.29285714285655</v>
      </c>
      <c r="AI353" s="18" t="n">
        <f aca="false">SUMPRODUCT($AB353:$AF353,Validation!$D$8:$H$8)</f>
        <v>2.40714285714345</v>
      </c>
      <c r="AJ353" s="18" t="n">
        <f aca="false">SUMPRODUCT($AB353:$AF353,Validation!$D$9:$H$9)</f>
        <v>2.5300000000006</v>
      </c>
      <c r="AK353" s="18" t="n">
        <f aca="false">SUMPRODUCT($AB353:$AF353,Validation!$D$10:$H$10)</f>
        <v>2.1699999999994</v>
      </c>
      <c r="AL353" s="18" t="n">
        <f aca="false">SUMPRODUCT($AB353:$AF353,Validation!$D$11:$H$11)</f>
        <v>2.15</v>
      </c>
      <c r="AM353" s="18" t="n">
        <f aca="false">SUMPRODUCT($AB353:$AF353,Validation!$D$12:$H$12)</f>
        <v>2.55</v>
      </c>
      <c r="AN353" s="18" t="n">
        <f aca="false">SUMPRODUCT($AB353:$AF353,Validation!$D$13:$H$13)</f>
        <v>2.37222222222125</v>
      </c>
      <c r="AO353" s="18" t="n">
        <f aca="false">SUMPRODUCT($AB353:$AF353,Validation!$D$14:$H$14)</f>
        <v>2.32777777777875</v>
      </c>
      <c r="AP353" s="18" t="n">
        <f aca="false">SUMPRODUCT($AB353:$AF353,Validation!$D$15:$H$15)</f>
        <v>2.4147058823533</v>
      </c>
      <c r="AQ353" s="18" t="n">
        <f aca="false">SUMPRODUCT($AB353:$AF353,Validation!$D$16:$H$16)</f>
        <v>2.2852941176467</v>
      </c>
      <c r="AR353" s="8" t="n">
        <f aca="false">COUNTIF($C353:$V353,"&gt;=4")</f>
        <v>4</v>
      </c>
      <c r="AS353" s="8" t="str">
        <f aca="false">IF($X353&lt;=1.6,"Low",IF($X353&lt;=2.2,"Medium","High"))</f>
        <v>High</v>
      </c>
      <c r="AT353" s="8" t="str">
        <f aca="false">IF($AR353=0,"Low",IF($AR353&lt;3,"Medium","High"))</f>
        <v>High</v>
      </c>
      <c r="AU353" s="8" t="str">
        <f aca="false">IF(OR($AS353="High",$AT353="High"),"High",IF(OR($AS353="Medium",$AT353="Medium"),"Medium","Low"))</f>
        <v>High</v>
      </c>
      <c r="AV353" s="15" t="str">
        <f aca="false">IF($Z353="Yes","High",$AU353)</f>
        <v>High</v>
      </c>
    </row>
    <row r="354" customFormat="false" ht="15" hidden="false" customHeight="false" outlineLevel="0" collapsed="false">
      <c r="A354" s="7" t="str">
        <f aca="false">Customers!$A354</f>
        <v>NG-10260</v>
      </c>
      <c r="B354" s="7" t="str">
        <f aca="false">Customers!$B354</f>
        <v>Personal</v>
      </c>
      <c r="C354" s="8" t="n">
        <f aca="false">INDEX(Mapping!$C$2:$C$99,MATCH(C$1&amp;"|"&amp;Customers!C354,Mapping!$D$2:$D$99,0))</f>
        <v>1</v>
      </c>
      <c r="D354" s="8" t="n">
        <f aca="false">INDEX(Mapping!$C$2:$C$99,MATCH(D$1&amp;"|"&amp;Customers!D354,Mapping!$D$2:$D$99,0))</f>
        <v>1</v>
      </c>
      <c r="E354" s="8" t="n">
        <f aca="false">INDEX(Mapping!$C$2:$C$99,MATCH(E$1&amp;"|"&amp;Customers!E354,Mapping!$D$2:$D$99,0))</f>
        <v>1</v>
      </c>
      <c r="F354" s="8" t="n">
        <f aca="false">INDEX(Mapping!$C$2:$C$99,MATCH(F$1&amp;"|"&amp;Customers!F354,Mapping!$D$2:$D$99,0))</f>
        <v>1</v>
      </c>
      <c r="G354" s="8" t="n">
        <f aca="false">INDEX(Mapping!$C$2:$C$99,MATCH(G$1&amp;"|"&amp;Customers!G354,Mapping!$D$2:$D$99,0))</f>
        <v>1</v>
      </c>
      <c r="H354" s="8" t="n">
        <f aca="false">INDEX(Mapping!$C$2:$C$99,MATCH(H$1&amp;"|"&amp;Customers!H354,Mapping!$D$2:$D$99,0))</f>
        <v>1</v>
      </c>
      <c r="I354" s="8" t="n">
        <f aca="false">INDEX(Mapping!$C$2:$C$99,MATCH(I$1&amp;"|"&amp;Customers!I354,Mapping!$D$2:$D$99,0))</f>
        <v>1</v>
      </c>
      <c r="J354" s="8" t="n">
        <f aca="false">INDEX(Mapping!$C$2:$C$99,MATCH(J$1&amp;"|"&amp;Customers!J354,Mapping!$D$2:$D$99,0))</f>
        <v>1</v>
      </c>
      <c r="K354" s="8" t="n">
        <f aca="false">INDEX(Mapping!$C$2:$C$99,MATCH(K$1&amp;"|"&amp;Customers!K354,Mapping!$D$2:$D$99,0))</f>
        <v>3</v>
      </c>
      <c r="L354" s="8" t="n">
        <f aca="false">INDEX(Mapping!$C$2:$C$99,MATCH(L$1&amp;"|"&amp;Customers!L354,Mapping!$D$2:$D$99,0))</f>
        <v>4</v>
      </c>
      <c r="M354" s="8" t="n">
        <f aca="false">INDEX(Mapping!$C$2:$C$99,MATCH(M$1&amp;"|"&amp;Customers!M354,Mapping!$D$2:$D$99,0))</f>
        <v>2</v>
      </c>
      <c r="N354" s="8" t="n">
        <f aca="false">INDEX(Mapping!$C$2:$C$99,MATCH(N$1&amp;"|"&amp;Customers!N354,Mapping!$D$2:$D$99,0))</f>
        <v>1</v>
      </c>
      <c r="O354" s="8" t="n">
        <f aca="false">INDEX(Mapping!$C$2:$C$99,MATCH(O$1&amp;"|"&amp;Customers!O354,Mapping!$D$2:$D$99,0))</f>
        <v>3</v>
      </c>
      <c r="P354" s="8" t="n">
        <f aca="false">INDEX(Mapping!$C$2:$C$99,MATCH(P$1&amp;"|"&amp;Customers!P354,Mapping!$D$2:$D$99,0))</f>
        <v>3</v>
      </c>
      <c r="Q354" s="8" t="n">
        <f aca="false">INDEX(Mapping!$C$2:$C$99,MATCH(Q$1&amp;"|"&amp;Customers!Q354,Mapping!$D$2:$D$99,0))</f>
        <v>1</v>
      </c>
      <c r="R354" s="8" t="n">
        <f aca="false">INDEX(Mapping!$C$2:$C$99,MATCH(R$1&amp;"|"&amp;Customers!R354,Mapping!$D$2:$D$99,0))</f>
        <v>1</v>
      </c>
      <c r="S354" s="8" t="n">
        <f aca="false">INDEX(Mapping!$C$2:$C$99,MATCH(S$1&amp;"|"&amp;Customers!S354,Mapping!$D$2:$D$99,0))</f>
        <v>1</v>
      </c>
      <c r="T354" s="8" t="n">
        <f aca="false">INDEX(Mapping!$C$2:$C$99,MATCH(T$1&amp;"|"&amp;Customers!T354,Mapping!$D$2:$D$99,0))</f>
        <v>1</v>
      </c>
      <c r="U354" s="8" t="n">
        <f aca="false">INDEX(Mapping!$C$2:$C$99,MATCH(U$1&amp;"|"&amp;Customers!U354,Mapping!$D$2:$D$99,0))</f>
        <v>1</v>
      </c>
      <c r="V354" s="8" t="n">
        <f aca="false">INDEX(Mapping!$C$2:$C$99,MATCH(V$1&amp;"|"&amp;Customers!V354,Mapping!$D$2:$D$99,0))</f>
        <v>1</v>
      </c>
      <c r="W354" s="17" t="n">
        <f aca="false">SUMPRODUCT($C354:$V354,Weights!$C$27:$V$27)</f>
        <v>1.5</v>
      </c>
      <c r="X354" s="18" t="n">
        <f aca="false">ROUND($W354,2)</f>
        <v>1.5</v>
      </c>
      <c r="Y354" s="8" t="str">
        <f aca="false">IF($X354&lt;=2,"Low",IF($X354&lt;=3.49,"Medium","High"))</f>
        <v>Low</v>
      </c>
      <c r="Z354" s="8" t="str">
        <f aca="false">IF(OR($F354&gt;=3,$E354=5,$D354=5,$C354=5,$G354=5,$H354=5,$I354=5,$J354=5,Customers!$W354="Yes"),"Yes","No")</f>
        <v>No</v>
      </c>
      <c r="AA354" s="15" t="str">
        <f aca="false">IF($Z354="Yes","High",$Y354)</f>
        <v>Low</v>
      </c>
      <c r="AB354" s="18" t="n">
        <f aca="false">SUMPRODUCT($C354:$G354,Weights!$C$28:$G$28)</f>
        <v>1</v>
      </c>
      <c r="AC354" s="18" t="n">
        <f aca="false">SUMPRODUCT($H354:$J354,Weights!$H$28:$J$28)</f>
        <v>1</v>
      </c>
      <c r="AD354" s="18" t="n">
        <f aca="false">SUMPRODUCT($K354:$N354,Weights!$K$28:$N$28)</f>
        <v>2.7</v>
      </c>
      <c r="AE354" s="18" t="n">
        <f aca="false">SUMPRODUCT($O354:$Q354,Weights!$O$28:$Q$28)</f>
        <v>2.6</v>
      </c>
      <c r="AF354" s="18" t="n">
        <f aca="false">SUMPRODUCT($R354:$V354,Weights!$R$28:$V$28)</f>
        <v>1</v>
      </c>
      <c r="AH354" s="18" t="n">
        <f aca="false">SUMPRODUCT($AB354:$AF354,Validation!$D$7:$H$7)</f>
        <v>1.5714285714283</v>
      </c>
      <c r="AI354" s="18" t="n">
        <f aca="false">SUMPRODUCT($AB354:$AF354,Validation!$D$8:$H$8)</f>
        <v>1.4285714285717</v>
      </c>
      <c r="AJ354" s="18" t="n">
        <f aca="false">SUMPRODUCT($AB354:$AF354,Validation!$D$9:$H$9)</f>
        <v>1.5666666666667</v>
      </c>
      <c r="AK354" s="18" t="n">
        <f aca="false">SUMPRODUCT($AB354:$AF354,Validation!$D$10:$H$10)</f>
        <v>1.4333333333333</v>
      </c>
      <c r="AL354" s="18" t="n">
        <f aca="false">SUMPRODUCT($AB354:$AF354,Validation!$D$11:$H$11)</f>
        <v>1.35</v>
      </c>
      <c r="AM354" s="18" t="n">
        <f aca="false">SUMPRODUCT($AB354:$AF354,Validation!$D$12:$H$12)</f>
        <v>1.65</v>
      </c>
      <c r="AN354" s="18" t="n">
        <f aca="false">SUMPRODUCT($AB354:$AF354,Validation!$D$13:$H$13)</f>
        <v>1.3777777777774</v>
      </c>
      <c r="AO354" s="18" t="n">
        <f aca="false">SUMPRODUCT($AB354:$AF354,Validation!$D$14:$H$14)</f>
        <v>1.6222222222226</v>
      </c>
      <c r="AP354" s="18" t="n">
        <f aca="false">SUMPRODUCT($AB354:$AF354,Validation!$D$15:$H$15)</f>
        <v>1.5588235294117</v>
      </c>
      <c r="AQ354" s="18" t="n">
        <f aca="false">SUMPRODUCT($AB354:$AF354,Validation!$D$16:$H$16)</f>
        <v>1.4411764705883</v>
      </c>
      <c r="AR354" s="8" t="n">
        <f aca="false">COUNTIF($C354:$V354,"&gt;=4")</f>
        <v>1</v>
      </c>
      <c r="AS354" s="8" t="str">
        <f aca="false">IF($X354&lt;=1.6,"Low",IF($X354&lt;=2.2,"Medium","High"))</f>
        <v>Low</v>
      </c>
      <c r="AT354" s="8" t="str">
        <f aca="false">IF($AR354=0,"Low",IF($AR354&lt;3,"Medium","High"))</f>
        <v>Medium</v>
      </c>
      <c r="AU354" s="8" t="str">
        <f aca="false">IF(OR($AS354="High",$AT354="High"),"High",IF(OR($AS354="Medium",$AT354="Medium"),"Medium","Low"))</f>
        <v>Medium</v>
      </c>
      <c r="AV354" s="15" t="str">
        <f aca="false">IF($Z354="Yes","High",$AU354)</f>
        <v>Medium</v>
      </c>
    </row>
    <row r="355" customFormat="false" ht="15" hidden="false" customHeight="false" outlineLevel="0" collapsed="false">
      <c r="A355" s="7" t="str">
        <f aca="false">Customers!$A355</f>
        <v>NG-10394</v>
      </c>
      <c r="B355" s="7" t="str">
        <f aca="false">Customers!$B355</f>
        <v>Limited company</v>
      </c>
      <c r="C355" s="8" t="n">
        <f aca="false">INDEX(Mapping!$C$2:$C$99,MATCH(C$1&amp;"|"&amp;Customers!C355,Mapping!$D$2:$D$99,0))</f>
        <v>3</v>
      </c>
      <c r="D355" s="8" t="n">
        <f aca="false">INDEX(Mapping!$C$2:$C$99,MATCH(D$1&amp;"|"&amp;Customers!D355,Mapping!$D$2:$D$99,0))</f>
        <v>4</v>
      </c>
      <c r="E355" s="8" t="n">
        <f aca="false">INDEX(Mapping!$C$2:$C$99,MATCH(E$1&amp;"|"&amp;Customers!E355,Mapping!$D$2:$D$99,0))</f>
        <v>4</v>
      </c>
      <c r="F355" s="8" t="n">
        <f aca="false">INDEX(Mapping!$C$2:$C$99,MATCH(F$1&amp;"|"&amp;Customers!F355,Mapping!$D$2:$D$99,0))</f>
        <v>1</v>
      </c>
      <c r="G355" s="8" t="n">
        <f aca="false">INDEX(Mapping!$C$2:$C$99,MATCH(G$1&amp;"|"&amp;Customers!G355,Mapping!$D$2:$D$99,0))</f>
        <v>1</v>
      </c>
      <c r="H355" s="8" t="n">
        <f aca="false">INDEX(Mapping!$C$2:$C$99,MATCH(H$1&amp;"|"&amp;Customers!H355,Mapping!$D$2:$D$99,0))</f>
        <v>1</v>
      </c>
      <c r="I355" s="8" t="n">
        <f aca="false">INDEX(Mapping!$C$2:$C$99,MATCH(I$1&amp;"|"&amp;Customers!I355,Mapping!$D$2:$D$99,0))</f>
        <v>1</v>
      </c>
      <c r="J355" s="8" t="n">
        <f aca="false">INDEX(Mapping!$C$2:$C$99,MATCH(J$1&amp;"|"&amp;Customers!J355,Mapping!$D$2:$D$99,0))</f>
        <v>1</v>
      </c>
      <c r="K355" s="8" t="n">
        <f aca="false">INDEX(Mapping!$C$2:$C$99,MATCH(K$1&amp;"|"&amp;Customers!K355,Mapping!$D$2:$D$99,0))</f>
        <v>4</v>
      </c>
      <c r="L355" s="8" t="n">
        <f aca="false">INDEX(Mapping!$C$2:$C$99,MATCH(L$1&amp;"|"&amp;Customers!L355,Mapping!$D$2:$D$99,0))</f>
        <v>3</v>
      </c>
      <c r="M355" s="8" t="n">
        <f aca="false">INDEX(Mapping!$C$2:$C$99,MATCH(M$1&amp;"|"&amp;Customers!M355,Mapping!$D$2:$D$99,0))</f>
        <v>3</v>
      </c>
      <c r="N355" s="8" t="n">
        <f aca="false">INDEX(Mapping!$C$2:$C$99,MATCH(N$1&amp;"|"&amp;Customers!N355,Mapping!$D$2:$D$99,0))</f>
        <v>1</v>
      </c>
      <c r="O355" s="8" t="n">
        <f aca="false">INDEX(Mapping!$C$2:$C$99,MATCH(O$1&amp;"|"&amp;Customers!O355,Mapping!$D$2:$D$99,0))</f>
        <v>1</v>
      </c>
      <c r="P355" s="8" t="n">
        <f aca="false">INDEX(Mapping!$C$2:$C$99,MATCH(P$1&amp;"|"&amp;Customers!P355,Mapping!$D$2:$D$99,0))</f>
        <v>2</v>
      </c>
      <c r="Q355" s="8" t="n">
        <f aca="false">INDEX(Mapping!$C$2:$C$99,MATCH(Q$1&amp;"|"&amp;Customers!Q355,Mapping!$D$2:$D$99,0))</f>
        <v>1</v>
      </c>
      <c r="R355" s="8" t="n">
        <f aca="false">INDEX(Mapping!$C$2:$C$99,MATCH(R$1&amp;"|"&amp;Customers!R355,Mapping!$D$2:$D$99,0))</f>
        <v>4</v>
      </c>
      <c r="S355" s="8" t="n">
        <f aca="false">INDEX(Mapping!$C$2:$C$99,MATCH(S$1&amp;"|"&amp;Customers!S355,Mapping!$D$2:$D$99,0))</f>
        <v>3</v>
      </c>
      <c r="T355" s="8" t="n">
        <f aca="false">INDEX(Mapping!$C$2:$C$99,MATCH(T$1&amp;"|"&amp;Customers!T355,Mapping!$D$2:$D$99,0))</f>
        <v>2</v>
      </c>
      <c r="U355" s="8" t="n">
        <f aca="false">INDEX(Mapping!$C$2:$C$99,MATCH(U$1&amp;"|"&amp;Customers!U355,Mapping!$D$2:$D$99,0))</f>
        <v>3</v>
      </c>
      <c r="V355" s="8" t="n">
        <f aca="false">INDEX(Mapping!$C$2:$C$99,MATCH(V$1&amp;"|"&amp;Customers!V355,Mapping!$D$2:$D$99,0))</f>
        <v>1</v>
      </c>
      <c r="W355" s="17" t="n">
        <f aca="false">SUMPRODUCT($C355:$V355,Weights!$C$27:$V$27)</f>
        <v>2.2475</v>
      </c>
      <c r="X355" s="18" t="n">
        <f aca="false">ROUND($W355,2)</f>
        <v>2.25</v>
      </c>
      <c r="Y355" s="8" t="str">
        <f aca="false">IF($X355&lt;=2,"Low",IF($X355&lt;=3.49,"Medium","High"))</f>
        <v>Medium</v>
      </c>
      <c r="Z355" s="8" t="str">
        <f aca="false">IF(OR($F355&gt;=3,$E355=5,$D355=5,$C355=5,$G355=5,$H355=5,$I355=5,$J355=5,Customers!$W355="Yes"),"Yes","No")</f>
        <v>No</v>
      </c>
      <c r="AA355" s="15" t="str">
        <f aca="false">IF($Z355="Yes","High",$Y355)</f>
        <v>Medium</v>
      </c>
      <c r="AB355" s="18" t="n">
        <f aca="false">SUMPRODUCT($C355:$G355,Weights!$C$28:$G$28)</f>
        <v>2.75</v>
      </c>
      <c r="AC355" s="18" t="n">
        <f aca="false">SUMPRODUCT($H355:$J355,Weights!$H$28:$J$28)</f>
        <v>1</v>
      </c>
      <c r="AD355" s="18" t="n">
        <f aca="false">SUMPRODUCT($K355:$N355,Weights!$K$28:$N$28)</f>
        <v>3.05</v>
      </c>
      <c r="AE355" s="18" t="n">
        <f aca="false">SUMPRODUCT($O355:$Q355,Weights!$O$28:$Q$28)</f>
        <v>1.35</v>
      </c>
      <c r="AF355" s="18" t="n">
        <f aca="false">SUMPRODUCT($R355:$V355,Weights!$R$28:$V$28)</f>
        <v>2.85</v>
      </c>
      <c r="AH355" s="18" t="n">
        <f aca="false">SUMPRODUCT($AB355:$AF355,Validation!$D$7:$H$7)</f>
        <v>2.1757142857143</v>
      </c>
      <c r="AI355" s="18" t="n">
        <f aca="false">SUMPRODUCT($AB355:$AF355,Validation!$D$8:$H$8)</f>
        <v>2.3192857142857</v>
      </c>
      <c r="AJ355" s="18" t="n">
        <f aca="false">SUMPRODUCT($AB355:$AF355,Validation!$D$9:$H$9)</f>
        <v>2.4138333333339</v>
      </c>
      <c r="AK355" s="18" t="n">
        <f aca="false">SUMPRODUCT($AB355:$AF355,Validation!$D$10:$H$10)</f>
        <v>2.0811666666661</v>
      </c>
      <c r="AL355" s="18" t="n">
        <f aca="false">SUMPRODUCT($AB355:$AF355,Validation!$D$11:$H$11)</f>
        <v>2.1471875</v>
      </c>
      <c r="AM355" s="18" t="n">
        <f aca="false">SUMPRODUCT($AB355:$AF355,Validation!$D$12:$H$12)</f>
        <v>2.3478125</v>
      </c>
      <c r="AN355" s="18" t="n">
        <f aca="false">SUMPRODUCT($AB355:$AF355,Validation!$D$13:$H$13)</f>
        <v>2.3472222222218</v>
      </c>
      <c r="AO355" s="18" t="n">
        <f aca="false">SUMPRODUCT($AB355:$AF355,Validation!$D$14:$H$14)</f>
        <v>2.1477777777782</v>
      </c>
      <c r="AP355" s="18" t="n">
        <f aca="false">SUMPRODUCT($AB355:$AF355,Validation!$D$15:$H$15)</f>
        <v>2.1766176470592</v>
      </c>
      <c r="AQ355" s="18" t="n">
        <f aca="false">SUMPRODUCT($AB355:$AF355,Validation!$D$16:$H$16)</f>
        <v>2.3183823529408</v>
      </c>
      <c r="AR355" s="8" t="n">
        <f aca="false">COUNTIF($C355:$V355,"&gt;=4")</f>
        <v>4</v>
      </c>
      <c r="AS355" s="8" t="str">
        <f aca="false">IF($X355&lt;=1.6,"Low",IF($X355&lt;=2.2,"Medium","High"))</f>
        <v>High</v>
      </c>
      <c r="AT355" s="8" t="str">
        <f aca="false">IF($AR355=0,"Low",IF($AR355&lt;3,"Medium","High"))</f>
        <v>High</v>
      </c>
      <c r="AU355" s="8" t="str">
        <f aca="false">IF(OR($AS355="High",$AT355="High"),"High",IF(OR($AS355="Medium",$AT355="Medium"),"Medium","Low"))</f>
        <v>High</v>
      </c>
      <c r="AV355" s="15" t="str">
        <f aca="false">IF($Z355="Yes","High",$AU355)</f>
        <v>High</v>
      </c>
    </row>
    <row r="356" customFormat="false" ht="15" hidden="false" customHeight="false" outlineLevel="0" collapsed="false">
      <c r="A356" s="7" t="str">
        <f aca="false">Customers!$A356</f>
        <v>NG-10081</v>
      </c>
      <c r="B356" s="7" t="str">
        <f aca="false">Customers!$B356</f>
        <v>Personal</v>
      </c>
      <c r="C356" s="8" t="n">
        <f aca="false">INDEX(Mapping!$C$2:$C$99,MATCH(C$1&amp;"|"&amp;Customers!C356,Mapping!$D$2:$D$99,0))</f>
        <v>1</v>
      </c>
      <c r="D356" s="8" t="n">
        <f aca="false">INDEX(Mapping!$C$2:$C$99,MATCH(D$1&amp;"|"&amp;Customers!D356,Mapping!$D$2:$D$99,0))</f>
        <v>1</v>
      </c>
      <c r="E356" s="8" t="n">
        <f aca="false">INDEX(Mapping!$C$2:$C$99,MATCH(E$1&amp;"|"&amp;Customers!E356,Mapping!$D$2:$D$99,0))</f>
        <v>2</v>
      </c>
      <c r="F356" s="8" t="n">
        <f aca="false">INDEX(Mapping!$C$2:$C$99,MATCH(F$1&amp;"|"&amp;Customers!F356,Mapping!$D$2:$D$99,0))</f>
        <v>1</v>
      </c>
      <c r="G356" s="8" t="n">
        <f aca="false">INDEX(Mapping!$C$2:$C$99,MATCH(G$1&amp;"|"&amp;Customers!G356,Mapping!$D$2:$D$99,0))</f>
        <v>1</v>
      </c>
      <c r="H356" s="8" t="n">
        <f aca="false">INDEX(Mapping!$C$2:$C$99,MATCH(H$1&amp;"|"&amp;Customers!H356,Mapping!$D$2:$D$99,0))</f>
        <v>1</v>
      </c>
      <c r="I356" s="8" t="n">
        <f aca="false">INDEX(Mapping!$C$2:$C$99,MATCH(I$1&amp;"|"&amp;Customers!I356,Mapping!$D$2:$D$99,0))</f>
        <v>1</v>
      </c>
      <c r="J356" s="8" t="n">
        <f aca="false">INDEX(Mapping!$C$2:$C$99,MATCH(J$1&amp;"|"&amp;Customers!J356,Mapping!$D$2:$D$99,0))</f>
        <v>1</v>
      </c>
      <c r="K356" s="8" t="n">
        <f aca="false">INDEX(Mapping!$C$2:$C$99,MATCH(K$1&amp;"|"&amp;Customers!K356,Mapping!$D$2:$D$99,0))</f>
        <v>1</v>
      </c>
      <c r="L356" s="8" t="n">
        <f aca="false">INDEX(Mapping!$C$2:$C$99,MATCH(L$1&amp;"|"&amp;Customers!L356,Mapping!$D$2:$D$99,0))</f>
        <v>2</v>
      </c>
      <c r="M356" s="8" t="n">
        <f aca="false">INDEX(Mapping!$C$2:$C$99,MATCH(M$1&amp;"|"&amp;Customers!M356,Mapping!$D$2:$D$99,0))</f>
        <v>1</v>
      </c>
      <c r="N356" s="8" t="n">
        <f aca="false">INDEX(Mapping!$C$2:$C$99,MATCH(N$1&amp;"|"&amp;Customers!N356,Mapping!$D$2:$D$99,0))</f>
        <v>1</v>
      </c>
      <c r="O356" s="8" t="n">
        <f aca="false">INDEX(Mapping!$C$2:$C$99,MATCH(O$1&amp;"|"&amp;Customers!O356,Mapping!$D$2:$D$99,0))</f>
        <v>3</v>
      </c>
      <c r="P356" s="8" t="n">
        <f aca="false">INDEX(Mapping!$C$2:$C$99,MATCH(P$1&amp;"|"&amp;Customers!P356,Mapping!$D$2:$D$99,0))</f>
        <v>3</v>
      </c>
      <c r="Q356" s="8" t="n">
        <f aca="false">INDEX(Mapping!$C$2:$C$99,MATCH(Q$1&amp;"|"&amp;Customers!Q356,Mapping!$D$2:$D$99,0))</f>
        <v>1</v>
      </c>
      <c r="R356" s="8" t="n">
        <f aca="false">INDEX(Mapping!$C$2:$C$99,MATCH(R$1&amp;"|"&amp;Customers!R356,Mapping!$D$2:$D$99,0))</f>
        <v>1</v>
      </c>
      <c r="S356" s="8" t="n">
        <f aca="false">INDEX(Mapping!$C$2:$C$99,MATCH(S$1&amp;"|"&amp;Customers!S356,Mapping!$D$2:$D$99,0))</f>
        <v>2</v>
      </c>
      <c r="T356" s="8" t="n">
        <f aca="false">INDEX(Mapping!$C$2:$C$99,MATCH(T$1&amp;"|"&amp;Customers!T356,Mapping!$D$2:$D$99,0))</f>
        <v>1</v>
      </c>
      <c r="U356" s="8" t="n">
        <f aca="false">INDEX(Mapping!$C$2:$C$99,MATCH(U$1&amp;"|"&amp;Customers!U356,Mapping!$D$2:$D$99,0))</f>
        <v>2</v>
      </c>
      <c r="V356" s="8" t="n">
        <f aca="false">INDEX(Mapping!$C$2:$C$99,MATCH(V$1&amp;"|"&amp;Customers!V356,Mapping!$D$2:$D$99,0))</f>
        <v>1</v>
      </c>
      <c r="W356" s="17" t="n">
        <f aca="false">SUMPRODUCT($C356:$V356,Weights!$C$27:$V$27)</f>
        <v>1.3525</v>
      </c>
      <c r="X356" s="18" t="n">
        <f aca="false">ROUND($W356,2)</f>
        <v>1.35</v>
      </c>
      <c r="Y356" s="8" t="str">
        <f aca="false">IF($X356&lt;=2,"Low",IF($X356&lt;=3.49,"Medium","High"))</f>
        <v>Low</v>
      </c>
      <c r="Z356" s="8" t="str">
        <f aca="false">IF(OR($F356&gt;=3,$E356=5,$D356=5,$C356=5,$G356=5,$H356=5,$I356=5,$J356=5,Customers!$W356="Yes"),"Yes","No")</f>
        <v>No</v>
      </c>
      <c r="AA356" s="15" t="str">
        <f aca="false">IF($Z356="Yes","High",$Y356)</f>
        <v>Low</v>
      </c>
      <c r="AB356" s="18" t="n">
        <f aca="false">SUMPRODUCT($C356:$G356,Weights!$C$28:$G$28)</f>
        <v>1.25</v>
      </c>
      <c r="AC356" s="18" t="n">
        <f aca="false">SUMPRODUCT($H356:$J356,Weights!$H$28:$J$28)</f>
        <v>1</v>
      </c>
      <c r="AD356" s="18" t="n">
        <f aca="false">SUMPRODUCT($K356:$N356,Weights!$K$28:$N$28)</f>
        <v>1.25</v>
      </c>
      <c r="AE356" s="18" t="n">
        <f aca="false">SUMPRODUCT($O356:$Q356,Weights!$O$28:$Q$28)</f>
        <v>2.6</v>
      </c>
      <c r="AF356" s="18" t="n">
        <f aca="false">SUMPRODUCT($R356:$V356,Weights!$R$28:$V$28)</f>
        <v>1.45</v>
      </c>
      <c r="AH356" s="18" t="n">
        <f aca="false">SUMPRODUCT($AB356:$AF356,Validation!$D$7:$H$7)</f>
        <v>1.3671428571434</v>
      </c>
      <c r="AI356" s="18" t="n">
        <f aca="false">SUMPRODUCT($AB356:$AF356,Validation!$D$8:$H$8)</f>
        <v>1.3378571428566</v>
      </c>
      <c r="AJ356" s="18" t="n">
        <f aca="false">SUMPRODUCT($AB356:$AF356,Validation!$D$9:$H$9)</f>
        <v>1.39949999999955</v>
      </c>
      <c r="AK356" s="18" t="n">
        <f aca="false">SUMPRODUCT($AB356:$AF356,Validation!$D$10:$H$10)</f>
        <v>1.30550000000045</v>
      </c>
      <c r="AL356" s="18" t="n">
        <f aca="false">SUMPRODUCT($AB356:$AF356,Validation!$D$11:$H$11)</f>
        <v>1.3653125</v>
      </c>
      <c r="AM356" s="18" t="n">
        <f aca="false">SUMPRODUCT($AB356:$AF356,Validation!$D$12:$H$12)</f>
        <v>1.3396875</v>
      </c>
      <c r="AN356" s="18" t="n">
        <f aca="false">SUMPRODUCT($AB356:$AF356,Validation!$D$13:$H$13)</f>
        <v>1.2138888888889</v>
      </c>
      <c r="AO356" s="18" t="n">
        <f aca="false">SUMPRODUCT($AB356:$AF356,Validation!$D$14:$H$14)</f>
        <v>1.4911111111111</v>
      </c>
      <c r="AP356" s="18" t="n">
        <f aca="false">SUMPRODUCT($AB356:$AF356,Validation!$D$15:$H$15)</f>
        <v>1.3410294117642</v>
      </c>
      <c r="AQ356" s="18" t="n">
        <f aca="false">SUMPRODUCT($AB356:$AF356,Validation!$D$16:$H$16)</f>
        <v>1.3639705882358</v>
      </c>
      <c r="AR356" s="8" t="n">
        <f aca="false">COUNTIF($C356:$V356,"&gt;=4")</f>
        <v>0</v>
      </c>
      <c r="AS356" s="8" t="str">
        <f aca="false">IF($X356&lt;=1.6,"Low",IF($X356&lt;=2.2,"Medium","High"))</f>
        <v>Low</v>
      </c>
      <c r="AT356" s="8" t="str">
        <f aca="false">IF($AR356=0,"Low",IF($AR356&lt;3,"Medium","High"))</f>
        <v>Low</v>
      </c>
      <c r="AU356" s="8" t="str">
        <f aca="false">IF(OR($AS356="High",$AT356="High"),"High",IF(OR($AS356="Medium",$AT356="Medium"),"Medium","Low"))</f>
        <v>Low</v>
      </c>
      <c r="AV356" s="15" t="str">
        <f aca="false">IF($Z356="Yes","High",$AU356)</f>
        <v>Low</v>
      </c>
    </row>
    <row r="357" customFormat="false" ht="15" hidden="false" customHeight="false" outlineLevel="0" collapsed="false">
      <c r="A357" s="7" t="str">
        <f aca="false">Customers!$A357</f>
        <v>NG-10225</v>
      </c>
      <c r="B357" s="7" t="str">
        <f aca="false">Customers!$B357</f>
        <v>Personal</v>
      </c>
      <c r="C357" s="8" t="n">
        <f aca="false">INDEX(Mapping!$C$2:$C$99,MATCH(C$1&amp;"|"&amp;Customers!C357,Mapping!$D$2:$D$99,0))</f>
        <v>1</v>
      </c>
      <c r="D357" s="8" t="n">
        <f aca="false">INDEX(Mapping!$C$2:$C$99,MATCH(D$1&amp;"|"&amp;Customers!D357,Mapping!$D$2:$D$99,0))</f>
        <v>1</v>
      </c>
      <c r="E357" s="8" t="n">
        <f aca="false">INDEX(Mapping!$C$2:$C$99,MATCH(E$1&amp;"|"&amp;Customers!E357,Mapping!$D$2:$D$99,0))</f>
        <v>1</v>
      </c>
      <c r="F357" s="8" t="n">
        <f aca="false">INDEX(Mapping!$C$2:$C$99,MATCH(F$1&amp;"|"&amp;Customers!F357,Mapping!$D$2:$D$99,0))</f>
        <v>1</v>
      </c>
      <c r="G357" s="8" t="n">
        <f aca="false">INDEX(Mapping!$C$2:$C$99,MATCH(G$1&amp;"|"&amp;Customers!G357,Mapping!$D$2:$D$99,0))</f>
        <v>1</v>
      </c>
      <c r="H357" s="8" t="n">
        <f aca="false">INDEX(Mapping!$C$2:$C$99,MATCH(H$1&amp;"|"&amp;Customers!H357,Mapping!$D$2:$D$99,0))</f>
        <v>1</v>
      </c>
      <c r="I357" s="8" t="n">
        <f aca="false">INDEX(Mapping!$C$2:$C$99,MATCH(I$1&amp;"|"&amp;Customers!I357,Mapping!$D$2:$D$99,0))</f>
        <v>1</v>
      </c>
      <c r="J357" s="8" t="n">
        <f aca="false">INDEX(Mapping!$C$2:$C$99,MATCH(J$1&amp;"|"&amp;Customers!J357,Mapping!$D$2:$D$99,0))</f>
        <v>1</v>
      </c>
      <c r="K357" s="8" t="n">
        <f aca="false">INDEX(Mapping!$C$2:$C$99,MATCH(K$1&amp;"|"&amp;Customers!K357,Mapping!$D$2:$D$99,0))</f>
        <v>3</v>
      </c>
      <c r="L357" s="8" t="n">
        <f aca="false">INDEX(Mapping!$C$2:$C$99,MATCH(L$1&amp;"|"&amp;Customers!L357,Mapping!$D$2:$D$99,0))</f>
        <v>2</v>
      </c>
      <c r="M357" s="8" t="n">
        <f aca="false">INDEX(Mapping!$C$2:$C$99,MATCH(M$1&amp;"|"&amp;Customers!M357,Mapping!$D$2:$D$99,0))</f>
        <v>2</v>
      </c>
      <c r="N357" s="8" t="n">
        <f aca="false">INDEX(Mapping!$C$2:$C$99,MATCH(N$1&amp;"|"&amp;Customers!N357,Mapping!$D$2:$D$99,0))</f>
        <v>1</v>
      </c>
      <c r="O357" s="8" t="n">
        <f aca="false">INDEX(Mapping!$C$2:$C$99,MATCH(O$1&amp;"|"&amp;Customers!O357,Mapping!$D$2:$D$99,0))</f>
        <v>3</v>
      </c>
      <c r="P357" s="8" t="n">
        <f aca="false">INDEX(Mapping!$C$2:$C$99,MATCH(P$1&amp;"|"&amp;Customers!P357,Mapping!$D$2:$D$99,0))</f>
        <v>4</v>
      </c>
      <c r="Q357" s="8" t="n">
        <f aca="false">INDEX(Mapping!$C$2:$C$99,MATCH(Q$1&amp;"|"&amp;Customers!Q357,Mapping!$D$2:$D$99,0))</f>
        <v>1</v>
      </c>
      <c r="R357" s="8" t="n">
        <f aca="false">INDEX(Mapping!$C$2:$C$99,MATCH(R$1&amp;"|"&amp;Customers!R357,Mapping!$D$2:$D$99,0))</f>
        <v>1</v>
      </c>
      <c r="S357" s="8" t="n">
        <f aca="false">INDEX(Mapping!$C$2:$C$99,MATCH(S$1&amp;"|"&amp;Customers!S357,Mapping!$D$2:$D$99,0))</f>
        <v>2</v>
      </c>
      <c r="T357" s="8" t="n">
        <f aca="false">INDEX(Mapping!$C$2:$C$99,MATCH(T$1&amp;"|"&amp;Customers!T357,Mapping!$D$2:$D$99,0))</f>
        <v>1</v>
      </c>
      <c r="U357" s="8" t="n">
        <f aca="false">INDEX(Mapping!$C$2:$C$99,MATCH(U$1&amp;"|"&amp;Customers!U357,Mapping!$D$2:$D$99,0))</f>
        <v>1</v>
      </c>
      <c r="V357" s="8" t="n">
        <f aca="false">INDEX(Mapping!$C$2:$C$99,MATCH(V$1&amp;"|"&amp;Customers!V357,Mapping!$D$2:$D$99,0))</f>
        <v>2</v>
      </c>
      <c r="W357" s="17" t="n">
        <f aca="false">SUMPRODUCT($C357:$V357,Weights!$C$27:$V$27)</f>
        <v>1.495</v>
      </c>
      <c r="X357" s="18" t="n">
        <f aca="false">ROUND($W357,2)</f>
        <v>1.5</v>
      </c>
      <c r="Y357" s="8" t="str">
        <f aca="false">IF($X357&lt;=2,"Low",IF($X357&lt;=3.49,"Medium","High"))</f>
        <v>Low</v>
      </c>
      <c r="Z357" s="8" t="str">
        <f aca="false">IF(OR($F357&gt;=3,$E357=5,$D357=5,$C357=5,$G357=5,$H357=5,$I357=5,$J357=5,Customers!$W357="Yes"),"Yes","No")</f>
        <v>No</v>
      </c>
      <c r="AA357" s="15" t="str">
        <f aca="false">IF($Z357="Yes","High",$Y357)</f>
        <v>Low</v>
      </c>
      <c r="AB357" s="18" t="n">
        <f aca="false">SUMPRODUCT($C357:$G357,Weights!$C$28:$G$28)</f>
        <v>1</v>
      </c>
      <c r="AC357" s="18" t="n">
        <f aca="false">SUMPRODUCT($H357:$J357,Weights!$H$28:$J$28)</f>
        <v>1</v>
      </c>
      <c r="AD357" s="18" t="n">
        <f aca="false">SUMPRODUCT($K357:$N357,Weights!$K$28:$N$28)</f>
        <v>2.2</v>
      </c>
      <c r="AE357" s="18" t="n">
        <f aca="false">SUMPRODUCT($O357:$Q357,Weights!$O$28:$Q$28)</f>
        <v>2.95</v>
      </c>
      <c r="AF357" s="18" t="n">
        <f aca="false">SUMPRODUCT($R357:$V357,Weights!$R$28:$V$28)</f>
        <v>1.4</v>
      </c>
      <c r="AH357" s="18" t="n">
        <f aca="false">SUMPRODUCT($AB357:$AF357,Validation!$D$7:$H$7)</f>
        <v>1.5657142857145</v>
      </c>
      <c r="AI357" s="18" t="n">
        <f aca="false">SUMPRODUCT($AB357:$AF357,Validation!$D$8:$H$8)</f>
        <v>1.4242857142855</v>
      </c>
      <c r="AJ357" s="18" t="n">
        <f aca="false">SUMPRODUCT($AB357:$AF357,Validation!$D$9:$H$9)</f>
        <v>1.56099999999975</v>
      </c>
      <c r="AK357" s="18" t="n">
        <f aca="false">SUMPRODUCT($AB357:$AF357,Validation!$D$10:$H$10)</f>
        <v>1.42900000000025</v>
      </c>
      <c r="AL357" s="18" t="n">
        <f aca="false">SUMPRODUCT($AB357:$AF357,Validation!$D$11:$H$11)</f>
        <v>1.406875</v>
      </c>
      <c r="AM357" s="18" t="n">
        <f aca="false">SUMPRODUCT($AB357:$AF357,Validation!$D$12:$H$12)</f>
        <v>1.583125</v>
      </c>
      <c r="AN357" s="18" t="n">
        <f aca="false">SUMPRODUCT($AB357:$AF357,Validation!$D$13:$H$13)</f>
        <v>1.3333333333332</v>
      </c>
      <c r="AO357" s="18" t="n">
        <f aca="false">SUMPRODUCT($AB357:$AF357,Validation!$D$14:$H$14)</f>
        <v>1.6566666666668</v>
      </c>
      <c r="AP357" s="18" t="n">
        <f aca="false">SUMPRODUCT($AB357:$AF357,Validation!$D$15:$H$15)</f>
        <v>1.5061764705879</v>
      </c>
      <c r="AQ357" s="18" t="n">
        <f aca="false">SUMPRODUCT($AB357:$AF357,Validation!$D$16:$H$16)</f>
        <v>1.4838235294121</v>
      </c>
      <c r="AR357" s="8" t="n">
        <f aca="false">COUNTIF($C357:$V357,"&gt;=4")</f>
        <v>1</v>
      </c>
      <c r="AS357" s="8" t="str">
        <f aca="false">IF($X357&lt;=1.6,"Low",IF($X357&lt;=2.2,"Medium","High"))</f>
        <v>Low</v>
      </c>
      <c r="AT357" s="8" t="str">
        <f aca="false">IF($AR357=0,"Low",IF($AR357&lt;3,"Medium","High"))</f>
        <v>Medium</v>
      </c>
      <c r="AU357" s="8" t="str">
        <f aca="false">IF(OR($AS357="High",$AT357="High"),"High",IF(OR($AS357="Medium",$AT357="Medium"),"Medium","Low"))</f>
        <v>Medium</v>
      </c>
      <c r="AV357" s="15" t="str">
        <f aca="false">IF($Z357="Yes","High",$AU357)</f>
        <v>Medium</v>
      </c>
    </row>
    <row r="358" customFormat="false" ht="15" hidden="false" customHeight="false" outlineLevel="0" collapsed="false">
      <c r="A358" s="7" t="str">
        <f aca="false">Customers!$A358</f>
        <v>NG-10098</v>
      </c>
      <c r="B358" s="7" t="str">
        <f aca="false">Customers!$B358</f>
        <v>Personal</v>
      </c>
      <c r="C358" s="8" t="n">
        <f aca="false">INDEX(Mapping!$C$2:$C$99,MATCH(C$1&amp;"|"&amp;Customers!C358,Mapping!$D$2:$D$99,0))</f>
        <v>1</v>
      </c>
      <c r="D358" s="8" t="n">
        <f aca="false">INDEX(Mapping!$C$2:$C$99,MATCH(D$1&amp;"|"&amp;Customers!D358,Mapping!$D$2:$D$99,0))</f>
        <v>1</v>
      </c>
      <c r="E358" s="8" t="n">
        <f aca="false">INDEX(Mapping!$C$2:$C$99,MATCH(E$1&amp;"|"&amp;Customers!E358,Mapping!$D$2:$D$99,0))</f>
        <v>1</v>
      </c>
      <c r="F358" s="8" t="n">
        <f aca="false">INDEX(Mapping!$C$2:$C$99,MATCH(F$1&amp;"|"&amp;Customers!F358,Mapping!$D$2:$D$99,0))</f>
        <v>1</v>
      </c>
      <c r="G358" s="8" t="n">
        <f aca="false">INDEX(Mapping!$C$2:$C$99,MATCH(G$1&amp;"|"&amp;Customers!G358,Mapping!$D$2:$D$99,0))</f>
        <v>1</v>
      </c>
      <c r="H358" s="8" t="n">
        <f aca="false">INDEX(Mapping!$C$2:$C$99,MATCH(H$1&amp;"|"&amp;Customers!H358,Mapping!$D$2:$D$99,0))</f>
        <v>1</v>
      </c>
      <c r="I358" s="8" t="n">
        <f aca="false">INDEX(Mapping!$C$2:$C$99,MATCH(I$1&amp;"|"&amp;Customers!I358,Mapping!$D$2:$D$99,0))</f>
        <v>1</v>
      </c>
      <c r="J358" s="8" t="n">
        <f aca="false">INDEX(Mapping!$C$2:$C$99,MATCH(J$1&amp;"|"&amp;Customers!J358,Mapping!$D$2:$D$99,0))</f>
        <v>1</v>
      </c>
      <c r="K358" s="8" t="n">
        <f aca="false">INDEX(Mapping!$C$2:$C$99,MATCH(K$1&amp;"|"&amp;Customers!K358,Mapping!$D$2:$D$99,0))</f>
        <v>3</v>
      </c>
      <c r="L358" s="8" t="n">
        <f aca="false">INDEX(Mapping!$C$2:$C$99,MATCH(L$1&amp;"|"&amp;Customers!L358,Mapping!$D$2:$D$99,0))</f>
        <v>3</v>
      </c>
      <c r="M358" s="8" t="n">
        <f aca="false">INDEX(Mapping!$C$2:$C$99,MATCH(M$1&amp;"|"&amp;Customers!M358,Mapping!$D$2:$D$99,0))</f>
        <v>1</v>
      </c>
      <c r="N358" s="8" t="n">
        <f aca="false">INDEX(Mapping!$C$2:$C$99,MATCH(N$1&amp;"|"&amp;Customers!N358,Mapping!$D$2:$D$99,0))</f>
        <v>1</v>
      </c>
      <c r="O358" s="8" t="n">
        <f aca="false">INDEX(Mapping!$C$2:$C$99,MATCH(O$1&amp;"|"&amp;Customers!O358,Mapping!$D$2:$D$99,0))</f>
        <v>3</v>
      </c>
      <c r="P358" s="8" t="n">
        <f aca="false">INDEX(Mapping!$C$2:$C$99,MATCH(P$1&amp;"|"&amp;Customers!P358,Mapping!$D$2:$D$99,0))</f>
        <v>2</v>
      </c>
      <c r="Q358" s="8" t="n">
        <f aca="false">INDEX(Mapping!$C$2:$C$99,MATCH(Q$1&amp;"|"&amp;Customers!Q358,Mapping!$D$2:$D$99,0))</f>
        <v>1</v>
      </c>
      <c r="R358" s="8" t="n">
        <f aca="false">INDEX(Mapping!$C$2:$C$99,MATCH(R$1&amp;"|"&amp;Customers!R358,Mapping!$D$2:$D$99,0))</f>
        <v>2</v>
      </c>
      <c r="S358" s="8" t="n">
        <f aca="false">INDEX(Mapping!$C$2:$C$99,MATCH(S$1&amp;"|"&amp;Customers!S358,Mapping!$D$2:$D$99,0))</f>
        <v>2</v>
      </c>
      <c r="T358" s="8" t="n">
        <f aca="false">INDEX(Mapping!$C$2:$C$99,MATCH(T$1&amp;"|"&amp;Customers!T358,Mapping!$D$2:$D$99,0))</f>
        <v>1</v>
      </c>
      <c r="U358" s="8" t="n">
        <f aca="false">INDEX(Mapping!$C$2:$C$99,MATCH(U$1&amp;"|"&amp;Customers!U358,Mapping!$D$2:$D$99,0))</f>
        <v>1</v>
      </c>
      <c r="V358" s="8" t="n">
        <f aca="false">INDEX(Mapping!$C$2:$C$99,MATCH(V$1&amp;"|"&amp;Customers!V358,Mapping!$D$2:$D$99,0))</f>
        <v>1</v>
      </c>
      <c r="W358" s="17" t="n">
        <f aca="false">SUMPRODUCT($C358:$V358,Weights!$C$27:$V$27)</f>
        <v>1.4475</v>
      </c>
      <c r="X358" s="18" t="n">
        <f aca="false">ROUND($W358,2)</f>
        <v>1.45</v>
      </c>
      <c r="Y358" s="8" t="str">
        <f aca="false">IF($X358&lt;=2,"Low",IF($X358&lt;=3.49,"Medium","High"))</f>
        <v>Low</v>
      </c>
      <c r="Z358" s="8" t="str">
        <f aca="false">IF(OR($F358&gt;=3,$E358=5,$D358=5,$C358=5,$G358=5,$H358=5,$I358=5,$J358=5,Customers!$W358="Yes"),"Yes","No")</f>
        <v>No</v>
      </c>
      <c r="AA358" s="15" t="str">
        <f aca="false">IF($Z358="Yes","High",$Y358)</f>
        <v>Low</v>
      </c>
      <c r="AB358" s="18" t="n">
        <f aca="false">SUMPRODUCT($C358:$G358,Weights!$C$28:$G$28)</f>
        <v>1</v>
      </c>
      <c r="AC358" s="18" t="n">
        <f aca="false">SUMPRODUCT($H358:$J358,Weights!$H$28:$J$28)</f>
        <v>1</v>
      </c>
      <c r="AD358" s="18" t="n">
        <f aca="false">SUMPRODUCT($K358:$N358,Weights!$K$28:$N$28)</f>
        <v>2.2</v>
      </c>
      <c r="AE358" s="18" t="n">
        <f aca="false">SUMPRODUCT($O358:$Q358,Weights!$O$28:$Q$28)</f>
        <v>2.25</v>
      </c>
      <c r="AF358" s="18" t="n">
        <f aca="false">SUMPRODUCT($R358:$V358,Weights!$R$28:$V$28)</f>
        <v>1.55</v>
      </c>
      <c r="AH358" s="18" t="n">
        <f aca="false">SUMPRODUCT($AB358:$AF358,Validation!$D$7:$H$7)</f>
        <v>1.51142857142865</v>
      </c>
      <c r="AI358" s="18" t="n">
        <f aca="false">SUMPRODUCT($AB358:$AF358,Validation!$D$8:$H$8)</f>
        <v>1.38357142857135</v>
      </c>
      <c r="AJ358" s="18" t="n">
        <f aca="false">SUMPRODUCT($AB358:$AF358,Validation!$D$9:$H$9)</f>
        <v>1.50716666666665</v>
      </c>
      <c r="AK358" s="18" t="n">
        <f aca="false">SUMPRODUCT($AB358:$AF358,Validation!$D$10:$H$10)</f>
        <v>1.38783333333335</v>
      </c>
      <c r="AL358" s="18" t="n">
        <f aca="false">SUMPRODUCT($AB358:$AF358,Validation!$D$11:$H$11)</f>
        <v>1.3534375</v>
      </c>
      <c r="AM358" s="18" t="n">
        <f aca="false">SUMPRODUCT($AB358:$AF358,Validation!$D$12:$H$12)</f>
        <v>1.5415625</v>
      </c>
      <c r="AN358" s="18" t="n">
        <f aca="false">SUMPRODUCT($AB358:$AF358,Validation!$D$13:$H$13)</f>
        <v>1.35833333333325</v>
      </c>
      <c r="AO358" s="18" t="n">
        <f aca="false">SUMPRODUCT($AB358:$AF358,Validation!$D$14:$H$14)</f>
        <v>1.53666666666675</v>
      </c>
      <c r="AP358" s="18" t="n">
        <f aca="false">SUMPRODUCT($AB358:$AF358,Validation!$D$15:$H$15)</f>
        <v>1.4354411764705</v>
      </c>
      <c r="AQ358" s="18" t="n">
        <f aca="false">SUMPRODUCT($AB358:$AF358,Validation!$D$16:$H$16)</f>
        <v>1.4595588235295</v>
      </c>
      <c r="AR358" s="8" t="n">
        <f aca="false">COUNTIF($C358:$V358,"&gt;=4")</f>
        <v>0</v>
      </c>
      <c r="AS358" s="8" t="str">
        <f aca="false">IF($X358&lt;=1.6,"Low",IF($X358&lt;=2.2,"Medium","High"))</f>
        <v>Low</v>
      </c>
      <c r="AT358" s="8" t="str">
        <f aca="false">IF($AR358=0,"Low",IF($AR358&lt;3,"Medium","High"))</f>
        <v>Low</v>
      </c>
      <c r="AU358" s="8" t="str">
        <f aca="false">IF(OR($AS358="High",$AT358="High"),"High",IF(OR($AS358="Medium",$AT358="Medium"),"Medium","Low"))</f>
        <v>Low</v>
      </c>
      <c r="AV358" s="15" t="str">
        <f aca="false">IF($Z358="Yes","High",$AU358)</f>
        <v>Low</v>
      </c>
    </row>
    <row r="359" customFormat="false" ht="15" hidden="false" customHeight="false" outlineLevel="0" collapsed="false">
      <c r="A359" s="7" t="str">
        <f aca="false">Customers!$A359</f>
        <v>NG-10152</v>
      </c>
      <c r="B359" s="7" t="str">
        <f aca="false">Customers!$B359</f>
        <v>Personal</v>
      </c>
      <c r="C359" s="8" t="n">
        <f aca="false">INDEX(Mapping!$C$2:$C$99,MATCH(C$1&amp;"|"&amp;Customers!C359,Mapping!$D$2:$D$99,0))</f>
        <v>1</v>
      </c>
      <c r="D359" s="8" t="n">
        <f aca="false">INDEX(Mapping!$C$2:$C$99,MATCH(D$1&amp;"|"&amp;Customers!D359,Mapping!$D$2:$D$99,0))</f>
        <v>1</v>
      </c>
      <c r="E359" s="8" t="n">
        <f aca="false">INDEX(Mapping!$C$2:$C$99,MATCH(E$1&amp;"|"&amp;Customers!E359,Mapping!$D$2:$D$99,0))</f>
        <v>1</v>
      </c>
      <c r="F359" s="8" t="n">
        <f aca="false">INDEX(Mapping!$C$2:$C$99,MATCH(F$1&amp;"|"&amp;Customers!F359,Mapping!$D$2:$D$99,0))</f>
        <v>1</v>
      </c>
      <c r="G359" s="8" t="n">
        <f aca="false">INDEX(Mapping!$C$2:$C$99,MATCH(G$1&amp;"|"&amp;Customers!G359,Mapping!$D$2:$D$99,0))</f>
        <v>1</v>
      </c>
      <c r="H359" s="8" t="n">
        <f aca="false">INDEX(Mapping!$C$2:$C$99,MATCH(H$1&amp;"|"&amp;Customers!H359,Mapping!$D$2:$D$99,0))</f>
        <v>1</v>
      </c>
      <c r="I359" s="8" t="n">
        <f aca="false">INDEX(Mapping!$C$2:$C$99,MATCH(I$1&amp;"|"&amp;Customers!I359,Mapping!$D$2:$D$99,0))</f>
        <v>1</v>
      </c>
      <c r="J359" s="8" t="n">
        <f aca="false">INDEX(Mapping!$C$2:$C$99,MATCH(J$1&amp;"|"&amp;Customers!J359,Mapping!$D$2:$D$99,0))</f>
        <v>1</v>
      </c>
      <c r="K359" s="8" t="n">
        <f aca="false">INDEX(Mapping!$C$2:$C$99,MATCH(K$1&amp;"|"&amp;Customers!K359,Mapping!$D$2:$D$99,0))</f>
        <v>3</v>
      </c>
      <c r="L359" s="8" t="n">
        <f aca="false">INDEX(Mapping!$C$2:$C$99,MATCH(L$1&amp;"|"&amp;Customers!L359,Mapping!$D$2:$D$99,0))</f>
        <v>2</v>
      </c>
      <c r="M359" s="8" t="n">
        <f aca="false">INDEX(Mapping!$C$2:$C$99,MATCH(M$1&amp;"|"&amp;Customers!M359,Mapping!$D$2:$D$99,0))</f>
        <v>2</v>
      </c>
      <c r="N359" s="8" t="n">
        <f aca="false">INDEX(Mapping!$C$2:$C$99,MATCH(N$1&amp;"|"&amp;Customers!N359,Mapping!$D$2:$D$99,0))</f>
        <v>1</v>
      </c>
      <c r="O359" s="8" t="n">
        <f aca="false">INDEX(Mapping!$C$2:$C$99,MATCH(O$1&amp;"|"&amp;Customers!O359,Mapping!$D$2:$D$99,0))</f>
        <v>4</v>
      </c>
      <c r="P359" s="8" t="n">
        <f aca="false">INDEX(Mapping!$C$2:$C$99,MATCH(P$1&amp;"|"&amp;Customers!P359,Mapping!$D$2:$D$99,0))</f>
        <v>4</v>
      </c>
      <c r="Q359" s="8" t="n">
        <f aca="false">INDEX(Mapping!$C$2:$C$99,MATCH(Q$1&amp;"|"&amp;Customers!Q359,Mapping!$D$2:$D$99,0))</f>
        <v>1</v>
      </c>
      <c r="R359" s="8" t="n">
        <f aca="false">INDEX(Mapping!$C$2:$C$99,MATCH(R$1&amp;"|"&amp;Customers!R359,Mapping!$D$2:$D$99,0))</f>
        <v>1</v>
      </c>
      <c r="S359" s="8" t="n">
        <f aca="false">INDEX(Mapping!$C$2:$C$99,MATCH(S$1&amp;"|"&amp;Customers!S359,Mapping!$D$2:$D$99,0))</f>
        <v>2</v>
      </c>
      <c r="T359" s="8" t="n">
        <f aca="false">INDEX(Mapping!$C$2:$C$99,MATCH(T$1&amp;"|"&amp;Customers!T359,Mapping!$D$2:$D$99,0))</f>
        <v>1</v>
      </c>
      <c r="U359" s="8" t="n">
        <f aca="false">INDEX(Mapping!$C$2:$C$99,MATCH(U$1&amp;"|"&amp;Customers!U359,Mapping!$D$2:$D$99,0))</f>
        <v>1</v>
      </c>
      <c r="V359" s="8" t="n">
        <f aca="false">INDEX(Mapping!$C$2:$C$99,MATCH(V$1&amp;"|"&amp;Customers!V359,Mapping!$D$2:$D$99,0))</f>
        <v>1</v>
      </c>
      <c r="W359" s="17" t="n">
        <f aca="false">SUMPRODUCT($C359:$V359,Weights!$C$27:$V$27)</f>
        <v>1.525</v>
      </c>
      <c r="X359" s="18" t="n">
        <f aca="false">ROUND($W359,2)</f>
        <v>1.53</v>
      </c>
      <c r="Y359" s="8" t="str">
        <f aca="false">IF($X359&lt;=2,"Low",IF($X359&lt;=3.49,"Medium","High"))</f>
        <v>Low</v>
      </c>
      <c r="Z359" s="8" t="str">
        <f aca="false">IF(OR($F359&gt;=3,$E359=5,$D359=5,$C359=5,$G359=5,$H359=5,$I359=5,$J359=5,Customers!$W359="Yes"),"Yes","No")</f>
        <v>No</v>
      </c>
      <c r="AA359" s="15" t="str">
        <f aca="false">IF($Z359="Yes","High",$Y359)</f>
        <v>Low</v>
      </c>
      <c r="AB359" s="18" t="n">
        <f aca="false">SUMPRODUCT($C359:$G359,Weights!$C$28:$G$28)</f>
        <v>1</v>
      </c>
      <c r="AC359" s="18" t="n">
        <f aca="false">SUMPRODUCT($H359:$J359,Weights!$H$28:$J$28)</f>
        <v>1</v>
      </c>
      <c r="AD359" s="18" t="n">
        <f aca="false">SUMPRODUCT($K359:$N359,Weights!$K$28:$N$28)</f>
        <v>2.2</v>
      </c>
      <c r="AE359" s="18" t="n">
        <f aca="false">SUMPRODUCT($O359:$Q359,Weights!$O$28:$Q$28)</f>
        <v>3.4</v>
      </c>
      <c r="AF359" s="18" t="n">
        <f aca="false">SUMPRODUCT($R359:$V359,Weights!$R$28:$V$28)</f>
        <v>1.3</v>
      </c>
      <c r="AH359" s="18" t="n">
        <f aca="false">SUMPRODUCT($AB359:$AF359,Validation!$D$7:$H$7)</f>
        <v>1.6000000000003</v>
      </c>
      <c r="AI359" s="18" t="n">
        <f aca="false">SUMPRODUCT($AB359:$AF359,Validation!$D$8:$H$8)</f>
        <v>1.4499999999997</v>
      </c>
      <c r="AJ359" s="18" t="n">
        <f aca="false">SUMPRODUCT($AB359:$AF359,Validation!$D$9:$H$9)</f>
        <v>1.5949999999996</v>
      </c>
      <c r="AK359" s="18" t="n">
        <f aca="false">SUMPRODUCT($AB359:$AF359,Validation!$D$10:$H$10)</f>
        <v>1.4550000000004</v>
      </c>
      <c r="AL359" s="18" t="n">
        <f aca="false">SUMPRODUCT($AB359:$AF359,Validation!$D$11:$H$11)</f>
        <v>1.440625</v>
      </c>
      <c r="AM359" s="18" t="n">
        <f aca="false">SUMPRODUCT($AB359:$AF359,Validation!$D$12:$H$12)</f>
        <v>1.609375</v>
      </c>
      <c r="AN359" s="18" t="n">
        <f aca="false">SUMPRODUCT($AB359:$AF359,Validation!$D$13:$H$13)</f>
        <v>1.3166666666665</v>
      </c>
      <c r="AO359" s="18" t="n">
        <f aca="false">SUMPRODUCT($AB359:$AF359,Validation!$D$14:$H$14)</f>
        <v>1.7333333333335</v>
      </c>
      <c r="AP359" s="18" t="n">
        <f aca="false">SUMPRODUCT($AB359:$AF359,Validation!$D$15:$H$15)</f>
        <v>1.5514705882348</v>
      </c>
      <c r="AQ359" s="18" t="n">
        <f aca="false">SUMPRODUCT($AB359:$AF359,Validation!$D$16:$H$16)</f>
        <v>1.4985294117652</v>
      </c>
      <c r="AR359" s="8" t="n">
        <f aca="false">COUNTIF($C359:$V359,"&gt;=4")</f>
        <v>2</v>
      </c>
      <c r="AS359" s="8" t="str">
        <f aca="false">IF($X359&lt;=1.6,"Low",IF($X359&lt;=2.2,"Medium","High"))</f>
        <v>Low</v>
      </c>
      <c r="AT359" s="8" t="str">
        <f aca="false">IF($AR359=0,"Low",IF($AR359&lt;3,"Medium","High"))</f>
        <v>Medium</v>
      </c>
      <c r="AU359" s="8" t="str">
        <f aca="false">IF(OR($AS359="High",$AT359="High"),"High",IF(OR($AS359="Medium",$AT359="Medium"),"Medium","Low"))</f>
        <v>Medium</v>
      </c>
      <c r="AV359" s="15" t="str">
        <f aca="false">IF($Z359="Yes","High",$AU359)</f>
        <v>Medium</v>
      </c>
    </row>
    <row r="360" customFormat="false" ht="15" hidden="false" customHeight="false" outlineLevel="0" collapsed="false">
      <c r="A360" s="7" t="str">
        <f aca="false">Customers!$A360</f>
        <v>NG-10033</v>
      </c>
      <c r="B360" s="7" t="str">
        <f aca="false">Customers!$B360</f>
        <v>Personal</v>
      </c>
      <c r="C360" s="8" t="n">
        <f aca="false">INDEX(Mapping!$C$2:$C$99,MATCH(C$1&amp;"|"&amp;Customers!C360,Mapping!$D$2:$D$99,0))</f>
        <v>1</v>
      </c>
      <c r="D360" s="8" t="n">
        <f aca="false">INDEX(Mapping!$C$2:$C$99,MATCH(D$1&amp;"|"&amp;Customers!D360,Mapping!$D$2:$D$99,0))</f>
        <v>1</v>
      </c>
      <c r="E360" s="8" t="n">
        <f aca="false">INDEX(Mapping!$C$2:$C$99,MATCH(E$1&amp;"|"&amp;Customers!E360,Mapping!$D$2:$D$99,0))</f>
        <v>1</v>
      </c>
      <c r="F360" s="8" t="n">
        <f aca="false">INDEX(Mapping!$C$2:$C$99,MATCH(F$1&amp;"|"&amp;Customers!F360,Mapping!$D$2:$D$99,0))</f>
        <v>1</v>
      </c>
      <c r="G360" s="8" t="n">
        <f aca="false">INDEX(Mapping!$C$2:$C$99,MATCH(G$1&amp;"|"&amp;Customers!G360,Mapping!$D$2:$D$99,0))</f>
        <v>1</v>
      </c>
      <c r="H360" s="8" t="n">
        <f aca="false">INDEX(Mapping!$C$2:$C$99,MATCH(H$1&amp;"|"&amp;Customers!H360,Mapping!$D$2:$D$99,0))</f>
        <v>1</v>
      </c>
      <c r="I360" s="8" t="n">
        <f aca="false">INDEX(Mapping!$C$2:$C$99,MATCH(I$1&amp;"|"&amp;Customers!I360,Mapping!$D$2:$D$99,0))</f>
        <v>1</v>
      </c>
      <c r="J360" s="8" t="n">
        <f aca="false">INDEX(Mapping!$C$2:$C$99,MATCH(J$1&amp;"|"&amp;Customers!J360,Mapping!$D$2:$D$99,0))</f>
        <v>1</v>
      </c>
      <c r="K360" s="8" t="n">
        <f aca="false">INDEX(Mapping!$C$2:$C$99,MATCH(K$1&amp;"|"&amp;Customers!K360,Mapping!$D$2:$D$99,0))</f>
        <v>2</v>
      </c>
      <c r="L360" s="8" t="n">
        <f aca="false">INDEX(Mapping!$C$2:$C$99,MATCH(L$1&amp;"|"&amp;Customers!L360,Mapping!$D$2:$D$99,0))</f>
        <v>2</v>
      </c>
      <c r="M360" s="8" t="n">
        <f aca="false">INDEX(Mapping!$C$2:$C$99,MATCH(M$1&amp;"|"&amp;Customers!M360,Mapping!$D$2:$D$99,0))</f>
        <v>3</v>
      </c>
      <c r="N360" s="8" t="n">
        <f aca="false">INDEX(Mapping!$C$2:$C$99,MATCH(N$1&amp;"|"&amp;Customers!N360,Mapping!$D$2:$D$99,0))</f>
        <v>3</v>
      </c>
      <c r="O360" s="8" t="n">
        <f aca="false">INDEX(Mapping!$C$2:$C$99,MATCH(O$1&amp;"|"&amp;Customers!O360,Mapping!$D$2:$D$99,0))</f>
        <v>3</v>
      </c>
      <c r="P360" s="8" t="n">
        <f aca="false">INDEX(Mapping!$C$2:$C$99,MATCH(P$1&amp;"|"&amp;Customers!P360,Mapping!$D$2:$D$99,0))</f>
        <v>4</v>
      </c>
      <c r="Q360" s="8" t="n">
        <f aca="false">INDEX(Mapping!$C$2:$C$99,MATCH(Q$1&amp;"|"&amp;Customers!Q360,Mapping!$D$2:$D$99,0))</f>
        <v>2</v>
      </c>
      <c r="R360" s="8" t="n">
        <f aca="false">INDEX(Mapping!$C$2:$C$99,MATCH(R$1&amp;"|"&amp;Customers!R360,Mapping!$D$2:$D$99,0))</f>
        <v>1</v>
      </c>
      <c r="S360" s="8" t="n">
        <f aca="false">INDEX(Mapping!$C$2:$C$99,MATCH(S$1&amp;"|"&amp;Customers!S360,Mapping!$D$2:$D$99,0))</f>
        <v>2</v>
      </c>
      <c r="T360" s="8" t="n">
        <f aca="false">INDEX(Mapping!$C$2:$C$99,MATCH(T$1&amp;"|"&amp;Customers!T360,Mapping!$D$2:$D$99,0))</f>
        <v>1</v>
      </c>
      <c r="U360" s="8" t="n">
        <f aca="false">INDEX(Mapping!$C$2:$C$99,MATCH(U$1&amp;"|"&amp;Customers!U360,Mapping!$D$2:$D$99,0))</f>
        <v>1</v>
      </c>
      <c r="V360" s="8" t="n">
        <f aca="false">INDEX(Mapping!$C$2:$C$99,MATCH(V$1&amp;"|"&amp;Customers!V360,Mapping!$D$2:$D$99,0))</f>
        <v>1</v>
      </c>
      <c r="W360" s="17" t="n">
        <f aca="false">SUMPRODUCT($C360:$V360,Weights!$C$27:$V$27)</f>
        <v>1.54</v>
      </c>
      <c r="X360" s="18" t="n">
        <f aca="false">ROUND($W360,2)</f>
        <v>1.54</v>
      </c>
      <c r="Y360" s="8" t="str">
        <f aca="false">IF($X360&lt;=2,"Low",IF($X360&lt;=3.49,"Medium","High"))</f>
        <v>Low</v>
      </c>
      <c r="Z360" s="8" t="str">
        <f aca="false">IF(OR($F360&gt;=3,$E360=5,$D360=5,$C360=5,$G360=5,$H360=5,$I360=5,$J360=5,Customers!$W360="Yes"),"Yes","No")</f>
        <v>No</v>
      </c>
      <c r="AA360" s="15" t="str">
        <f aca="false">IF($Z360="Yes","High",$Y360)</f>
        <v>Low</v>
      </c>
      <c r="AB360" s="18" t="n">
        <f aca="false">SUMPRODUCT($C360:$G360,Weights!$C$28:$G$28)</f>
        <v>1</v>
      </c>
      <c r="AC360" s="18" t="n">
        <f aca="false">SUMPRODUCT($H360:$J360,Weights!$H$28:$J$28)</f>
        <v>1</v>
      </c>
      <c r="AD360" s="18" t="n">
        <f aca="false">SUMPRODUCT($K360:$N360,Weights!$K$28:$N$28)</f>
        <v>2.4</v>
      </c>
      <c r="AE360" s="18" t="n">
        <f aca="false">SUMPRODUCT($O360:$Q360,Weights!$O$28:$Q$28)</f>
        <v>3.15</v>
      </c>
      <c r="AF360" s="18" t="n">
        <f aca="false">SUMPRODUCT($R360:$V360,Weights!$R$28:$V$28)</f>
        <v>1.3</v>
      </c>
      <c r="AH360" s="18" t="n">
        <f aca="false">SUMPRODUCT($AB360:$AF360,Validation!$D$7:$H$7)</f>
        <v>1.617142857143</v>
      </c>
      <c r="AI360" s="18" t="n">
        <f aca="false">SUMPRODUCT($AB360:$AF360,Validation!$D$8:$H$8)</f>
        <v>1.462857142857</v>
      </c>
      <c r="AJ360" s="18" t="n">
        <f aca="false">SUMPRODUCT($AB360:$AF360,Validation!$D$9:$H$9)</f>
        <v>1.61199999999975</v>
      </c>
      <c r="AK360" s="18" t="n">
        <f aca="false">SUMPRODUCT($AB360:$AF360,Validation!$D$10:$H$10)</f>
        <v>1.46800000000025</v>
      </c>
      <c r="AL360" s="18" t="n">
        <f aca="false">SUMPRODUCT($AB360:$AF360,Validation!$D$11:$H$11)</f>
        <v>1.4325</v>
      </c>
      <c r="AM360" s="18" t="n">
        <f aca="false">SUMPRODUCT($AB360:$AF360,Validation!$D$12:$H$12)</f>
        <v>1.6475</v>
      </c>
      <c r="AN360" s="18" t="n">
        <f aca="false">SUMPRODUCT($AB360:$AF360,Validation!$D$13:$H$13)</f>
        <v>1.3611111111109</v>
      </c>
      <c r="AO360" s="18" t="n">
        <f aca="false">SUMPRODUCT($AB360:$AF360,Validation!$D$14:$H$14)</f>
        <v>1.7188888888891</v>
      </c>
      <c r="AP360" s="18" t="n">
        <f aca="false">SUMPRODUCT($AB360:$AF360,Validation!$D$15:$H$15)</f>
        <v>1.5682352941173</v>
      </c>
      <c r="AQ360" s="18" t="n">
        <f aca="false">SUMPRODUCT($AB360:$AF360,Validation!$D$16:$H$16)</f>
        <v>1.5117647058827</v>
      </c>
      <c r="AR360" s="8" t="n">
        <f aca="false">COUNTIF($C360:$V360,"&gt;=4")</f>
        <v>1</v>
      </c>
      <c r="AS360" s="8" t="str">
        <f aca="false">IF($X360&lt;=1.6,"Low",IF($X360&lt;=2.2,"Medium","High"))</f>
        <v>Low</v>
      </c>
      <c r="AT360" s="8" t="str">
        <f aca="false">IF($AR360=0,"Low",IF($AR360&lt;3,"Medium","High"))</f>
        <v>Medium</v>
      </c>
      <c r="AU360" s="8" t="str">
        <f aca="false">IF(OR($AS360="High",$AT360="High"),"High",IF(OR($AS360="Medium",$AT360="Medium"),"Medium","Low"))</f>
        <v>Medium</v>
      </c>
      <c r="AV360" s="15" t="str">
        <f aca="false">IF($Z360="Yes","High",$AU360)</f>
        <v>Medium</v>
      </c>
    </row>
    <row r="361" customFormat="false" ht="15" hidden="false" customHeight="false" outlineLevel="0" collapsed="false">
      <c r="A361" s="7" t="str">
        <f aca="false">Customers!$A361</f>
        <v>NG-10014</v>
      </c>
      <c r="B361" s="7" t="str">
        <f aca="false">Customers!$B361</f>
        <v>Personal</v>
      </c>
      <c r="C361" s="8" t="n">
        <f aca="false">INDEX(Mapping!$C$2:$C$99,MATCH(C$1&amp;"|"&amp;Customers!C361,Mapping!$D$2:$D$99,0))</f>
        <v>1</v>
      </c>
      <c r="D361" s="8" t="n">
        <f aca="false">INDEX(Mapping!$C$2:$C$99,MATCH(D$1&amp;"|"&amp;Customers!D361,Mapping!$D$2:$D$99,0))</f>
        <v>1</v>
      </c>
      <c r="E361" s="8" t="n">
        <f aca="false">INDEX(Mapping!$C$2:$C$99,MATCH(E$1&amp;"|"&amp;Customers!E361,Mapping!$D$2:$D$99,0))</f>
        <v>1</v>
      </c>
      <c r="F361" s="8" t="n">
        <f aca="false">INDEX(Mapping!$C$2:$C$99,MATCH(F$1&amp;"|"&amp;Customers!F361,Mapping!$D$2:$D$99,0))</f>
        <v>1</v>
      </c>
      <c r="G361" s="8" t="n">
        <f aca="false">INDEX(Mapping!$C$2:$C$99,MATCH(G$1&amp;"|"&amp;Customers!G361,Mapping!$D$2:$D$99,0))</f>
        <v>1</v>
      </c>
      <c r="H361" s="8" t="n">
        <f aca="false">INDEX(Mapping!$C$2:$C$99,MATCH(H$1&amp;"|"&amp;Customers!H361,Mapping!$D$2:$D$99,0))</f>
        <v>1</v>
      </c>
      <c r="I361" s="8" t="n">
        <f aca="false">INDEX(Mapping!$C$2:$C$99,MATCH(I$1&amp;"|"&amp;Customers!I361,Mapping!$D$2:$D$99,0))</f>
        <v>1</v>
      </c>
      <c r="J361" s="8" t="n">
        <f aca="false">INDEX(Mapping!$C$2:$C$99,MATCH(J$1&amp;"|"&amp;Customers!J361,Mapping!$D$2:$D$99,0))</f>
        <v>1</v>
      </c>
      <c r="K361" s="8" t="n">
        <f aca="false">INDEX(Mapping!$C$2:$C$99,MATCH(K$1&amp;"|"&amp;Customers!K361,Mapping!$D$2:$D$99,0))</f>
        <v>3</v>
      </c>
      <c r="L361" s="8" t="n">
        <f aca="false">INDEX(Mapping!$C$2:$C$99,MATCH(L$1&amp;"|"&amp;Customers!L361,Mapping!$D$2:$D$99,0))</f>
        <v>3</v>
      </c>
      <c r="M361" s="8" t="n">
        <f aca="false">INDEX(Mapping!$C$2:$C$99,MATCH(M$1&amp;"|"&amp;Customers!M361,Mapping!$D$2:$D$99,0))</f>
        <v>4</v>
      </c>
      <c r="N361" s="8" t="n">
        <f aca="false">INDEX(Mapping!$C$2:$C$99,MATCH(N$1&amp;"|"&amp;Customers!N361,Mapping!$D$2:$D$99,0))</f>
        <v>1</v>
      </c>
      <c r="O361" s="8" t="n">
        <f aca="false">INDEX(Mapping!$C$2:$C$99,MATCH(O$1&amp;"|"&amp;Customers!O361,Mapping!$D$2:$D$99,0))</f>
        <v>1</v>
      </c>
      <c r="P361" s="8" t="n">
        <f aca="false">INDEX(Mapping!$C$2:$C$99,MATCH(P$1&amp;"|"&amp;Customers!P361,Mapping!$D$2:$D$99,0))</f>
        <v>3</v>
      </c>
      <c r="Q361" s="8" t="n">
        <f aca="false">INDEX(Mapping!$C$2:$C$99,MATCH(Q$1&amp;"|"&amp;Customers!Q361,Mapping!$D$2:$D$99,0))</f>
        <v>1</v>
      </c>
      <c r="R361" s="8" t="n">
        <f aca="false">INDEX(Mapping!$C$2:$C$99,MATCH(R$1&amp;"|"&amp;Customers!R361,Mapping!$D$2:$D$99,0))</f>
        <v>1</v>
      </c>
      <c r="S361" s="8" t="n">
        <f aca="false">INDEX(Mapping!$C$2:$C$99,MATCH(S$1&amp;"|"&amp;Customers!S361,Mapping!$D$2:$D$99,0))</f>
        <v>1</v>
      </c>
      <c r="T361" s="8" t="n">
        <f aca="false">INDEX(Mapping!$C$2:$C$99,MATCH(T$1&amp;"|"&amp;Customers!T361,Mapping!$D$2:$D$99,0))</f>
        <v>1</v>
      </c>
      <c r="U361" s="8" t="n">
        <f aca="false">INDEX(Mapping!$C$2:$C$99,MATCH(U$1&amp;"|"&amp;Customers!U361,Mapping!$D$2:$D$99,0))</f>
        <v>1</v>
      </c>
      <c r="V361" s="8" t="n">
        <f aca="false">INDEX(Mapping!$C$2:$C$99,MATCH(V$1&amp;"|"&amp;Customers!V361,Mapping!$D$2:$D$99,0))</f>
        <v>1</v>
      </c>
      <c r="W361" s="17" t="n">
        <f aca="false">SUMPRODUCT($C361:$V361,Weights!$C$27:$V$27)</f>
        <v>1.46</v>
      </c>
      <c r="X361" s="18" t="n">
        <f aca="false">ROUND($W361,2)</f>
        <v>1.46</v>
      </c>
      <c r="Y361" s="8" t="str">
        <f aca="false">IF($X361&lt;=2,"Low",IF($X361&lt;=3.49,"Medium","High"))</f>
        <v>Low</v>
      </c>
      <c r="Z361" s="8" t="str">
        <f aca="false">IF(OR($F361&gt;=3,$E361=5,$D361=5,$C361=5,$G361=5,$H361=5,$I361=5,$J361=5,Customers!$W361="Yes"),"Yes","No")</f>
        <v>No</v>
      </c>
      <c r="AA361" s="15" t="str">
        <f aca="false">IF($Z361="Yes","High",$Y361)</f>
        <v>Low</v>
      </c>
      <c r="AB361" s="18" t="n">
        <f aca="false">SUMPRODUCT($C361:$G361,Weights!$C$28:$G$28)</f>
        <v>1</v>
      </c>
      <c r="AC361" s="18" t="n">
        <f aca="false">SUMPRODUCT($H361:$J361,Weights!$H$28:$J$28)</f>
        <v>1</v>
      </c>
      <c r="AD361" s="18" t="n">
        <f aca="false">SUMPRODUCT($K361:$N361,Weights!$K$28:$N$28)</f>
        <v>2.95</v>
      </c>
      <c r="AE361" s="18" t="n">
        <f aca="false">SUMPRODUCT($O361:$Q361,Weights!$O$28:$Q$28)</f>
        <v>1.7</v>
      </c>
      <c r="AF361" s="18" t="n">
        <f aca="false">SUMPRODUCT($R361:$V361,Weights!$R$28:$V$28)</f>
        <v>1</v>
      </c>
      <c r="AH361" s="18" t="n">
        <f aca="false">SUMPRODUCT($AB361:$AF361,Validation!$D$7:$H$7)</f>
        <v>1.52571428571365</v>
      </c>
      <c r="AI361" s="18" t="n">
        <f aca="false">SUMPRODUCT($AB361:$AF361,Validation!$D$8:$H$8)</f>
        <v>1.39428571428635</v>
      </c>
      <c r="AJ361" s="18" t="n">
        <f aca="false">SUMPRODUCT($AB361:$AF361,Validation!$D$9:$H$9)</f>
        <v>1.52133333333375</v>
      </c>
      <c r="AK361" s="18" t="n">
        <f aca="false">SUMPRODUCT($AB361:$AF361,Validation!$D$10:$H$10)</f>
        <v>1.39866666666625</v>
      </c>
      <c r="AL361" s="18" t="n">
        <f aca="false">SUMPRODUCT($AB361:$AF361,Validation!$D$11:$H$11)</f>
        <v>1.27375</v>
      </c>
      <c r="AM361" s="18" t="n">
        <f aca="false">SUMPRODUCT($AB361:$AF361,Validation!$D$12:$H$12)</f>
        <v>1.64625</v>
      </c>
      <c r="AN361" s="18" t="n">
        <f aca="false">SUMPRODUCT($AB361:$AF361,Validation!$D$13:$H$13)</f>
        <v>1.4333333333329</v>
      </c>
      <c r="AO361" s="18" t="n">
        <f aca="false">SUMPRODUCT($AB361:$AF361,Validation!$D$14:$H$14)</f>
        <v>1.4866666666671</v>
      </c>
      <c r="AP361" s="18" t="n">
        <f aca="false">SUMPRODUCT($AB361:$AF361,Validation!$D$15:$H$15)</f>
        <v>1.51411764705915</v>
      </c>
      <c r="AQ361" s="18" t="n">
        <f aca="false">SUMPRODUCT($AB361:$AF361,Validation!$D$16:$H$16)</f>
        <v>1.40588235294085</v>
      </c>
      <c r="AR361" s="8" t="n">
        <f aca="false">COUNTIF($C361:$V361,"&gt;=4")</f>
        <v>1</v>
      </c>
      <c r="AS361" s="8" t="str">
        <f aca="false">IF($X361&lt;=1.6,"Low",IF($X361&lt;=2.2,"Medium","High"))</f>
        <v>Low</v>
      </c>
      <c r="AT361" s="8" t="str">
        <f aca="false">IF($AR361=0,"Low",IF($AR361&lt;3,"Medium","High"))</f>
        <v>Medium</v>
      </c>
      <c r="AU361" s="8" t="str">
        <f aca="false">IF(OR($AS361="High",$AT361="High"),"High",IF(OR($AS361="Medium",$AT361="Medium"),"Medium","Low"))</f>
        <v>Medium</v>
      </c>
      <c r="AV361" s="15" t="str">
        <f aca="false">IF($Z361="Yes","High",$AU361)</f>
        <v>Medium</v>
      </c>
    </row>
    <row r="362" customFormat="false" ht="15" hidden="false" customHeight="false" outlineLevel="0" collapsed="false">
      <c r="A362" s="7" t="str">
        <f aca="false">Customers!$A362</f>
        <v>NG-10109</v>
      </c>
      <c r="B362" s="7" t="str">
        <f aca="false">Customers!$B362</f>
        <v>Personal</v>
      </c>
      <c r="C362" s="8" t="n">
        <f aca="false">INDEX(Mapping!$C$2:$C$99,MATCH(C$1&amp;"|"&amp;Customers!C362,Mapping!$D$2:$D$99,0))</f>
        <v>1</v>
      </c>
      <c r="D362" s="8" t="n">
        <f aca="false">INDEX(Mapping!$C$2:$C$99,MATCH(D$1&amp;"|"&amp;Customers!D362,Mapping!$D$2:$D$99,0))</f>
        <v>1</v>
      </c>
      <c r="E362" s="8" t="n">
        <f aca="false">INDEX(Mapping!$C$2:$C$99,MATCH(E$1&amp;"|"&amp;Customers!E362,Mapping!$D$2:$D$99,0))</f>
        <v>3</v>
      </c>
      <c r="F362" s="8" t="n">
        <f aca="false">INDEX(Mapping!$C$2:$C$99,MATCH(F$1&amp;"|"&amp;Customers!F362,Mapping!$D$2:$D$99,0))</f>
        <v>1</v>
      </c>
      <c r="G362" s="8" t="n">
        <f aca="false">INDEX(Mapping!$C$2:$C$99,MATCH(G$1&amp;"|"&amp;Customers!G362,Mapping!$D$2:$D$99,0))</f>
        <v>1</v>
      </c>
      <c r="H362" s="8" t="n">
        <f aca="false">INDEX(Mapping!$C$2:$C$99,MATCH(H$1&amp;"|"&amp;Customers!H362,Mapping!$D$2:$D$99,0))</f>
        <v>1</v>
      </c>
      <c r="I362" s="8" t="n">
        <f aca="false">INDEX(Mapping!$C$2:$C$99,MATCH(I$1&amp;"|"&amp;Customers!I362,Mapping!$D$2:$D$99,0))</f>
        <v>1</v>
      </c>
      <c r="J362" s="8" t="n">
        <f aca="false">INDEX(Mapping!$C$2:$C$99,MATCH(J$1&amp;"|"&amp;Customers!J362,Mapping!$D$2:$D$99,0))</f>
        <v>2</v>
      </c>
      <c r="K362" s="8" t="n">
        <f aca="false">INDEX(Mapping!$C$2:$C$99,MATCH(K$1&amp;"|"&amp;Customers!K362,Mapping!$D$2:$D$99,0))</f>
        <v>3</v>
      </c>
      <c r="L362" s="8" t="n">
        <f aca="false">INDEX(Mapping!$C$2:$C$99,MATCH(L$1&amp;"|"&amp;Customers!L362,Mapping!$D$2:$D$99,0))</f>
        <v>2</v>
      </c>
      <c r="M362" s="8" t="n">
        <f aca="false">INDEX(Mapping!$C$2:$C$99,MATCH(M$1&amp;"|"&amp;Customers!M362,Mapping!$D$2:$D$99,0))</f>
        <v>1</v>
      </c>
      <c r="N362" s="8" t="n">
        <f aca="false">INDEX(Mapping!$C$2:$C$99,MATCH(N$1&amp;"|"&amp;Customers!N362,Mapping!$D$2:$D$99,0))</f>
        <v>1</v>
      </c>
      <c r="O362" s="8" t="n">
        <f aca="false">INDEX(Mapping!$C$2:$C$99,MATCH(O$1&amp;"|"&amp;Customers!O362,Mapping!$D$2:$D$99,0))</f>
        <v>4</v>
      </c>
      <c r="P362" s="8" t="n">
        <f aca="false">INDEX(Mapping!$C$2:$C$99,MATCH(P$1&amp;"|"&amp;Customers!P362,Mapping!$D$2:$D$99,0))</f>
        <v>3</v>
      </c>
      <c r="Q362" s="8" t="n">
        <f aca="false">INDEX(Mapping!$C$2:$C$99,MATCH(Q$1&amp;"|"&amp;Customers!Q362,Mapping!$D$2:$D$99,0))</f>
        <v>1</v>
      </c>
      <c r="R362" s="8" t="n">
        <f aca="false">INDEX(Mapping!$C$2:$C$99,MATCH(R$1&amp;"|"&amp;Customers!R362,Mapping!$D$2:$D$99,0))</f>
        <v>1</v>
      </c>
      <c r="S362" s="8" t="n">
        <f aca="false">INDEX(Mapping!$C$2:$C$99,MATCH(S$1&amp;"|"&amp;Customers!S362,Mapping!$D$2:$D$99,0))</f>
        <v>2</v>
      </c>
      <c r="T362" s="8" t="n">
        <f aca="false">INDEX(Mapping!$C$2:$C$99,MATCH(T$1&amp;"|"&amp;Customers!T362,Mapping!$D$2:$D$99,0))</f>
        <v>1</v>
      </c>
      <c r="U362" s="8" t="n">
        <f aca="false">INDEX(Mapping!$C$2:$C$99,MATCH(U$1&amp;"|"&amp;Customers!U362,Mapping!$D$2:$D$99,0))</f>
        <v>1</v>
      </c>
      <c r="V362" s="8" t="n">
        <f aca="false">INDEX(Mapping!$C$2:$C$99,MATCH(V$1&amp;"|"&amp;Customers!V362,Mapping!$D$2:$D$99,0))</f>
        <v>1</v>
      </c>
      <c r="W362" s="17" t="n">
        <f aca="false">SUMPRODUCT($C362:$V362,Weights!$C$27:$V$27)</f>
        <v>1.69</v>
      </c>
      <c r="X362" s="18" t="n">
        <f aca="false">ROUND($W362,2)</f>
        <v>1.69</v>
      </c>
      <c r="Y362" s="8" t="str">
        <f aca="false">IF($X362&lt;=2,"Low",IF($X362&lt;=3.49,"Medium","High"))</f>
        <v>Low</v>
      </c>
      <c r="Z362" s="8" t="str">
        <f aca="false">IF(OR($F362&gt;=3,$E362=5,$D362=5,$C362=5,$G362=5,$H362=5,$I362=5,$J362=5,Customers!$W362="Yes"),"Yes","No")</f>
        <v>No</v>
      </c>
      <c r="AA362" s="15" t="str">
        <f aca="false">IF($Z362="Yes","High",$Y362)</f>
        <v>Low</v>
      </c>
      <c r="AB362" s="18" t="n">
        <f aca="false">SUMPRODUCT($C362:$G362,Weights!$C$28:$G$28)</f>
        <v>1.5</v>
      </c>
      <c r="AC362" s="18" t="n">
        <f aca="false">SUMPRODUCT($H362:$J362,Weights!$H$28:$J$28)</f>
        <v>1.4</v>
      </c>
      <c r="AD362" s="18" t="n">
        <f aca="false">SUMPRODUCT($K362:$N362,Weights!$K$28:$N$28)</f>
        <v>1.95</v>
      </c>
      <c r="AE362" s="18" t="n">
        <f aca="false">SUMPRODUCT($O362:$Q362,Weights!$O$28:$Q$28)</f>
        <v>3.05</v>
      </c>
      <c r="AF362" s="18" t="n">
        <f aca="false">SUMPRODUCT($R362:$V362,Weights!$R$28:$V$28)</f>
        <v>1.3</v>
      </c>
      <c r="AH362" s="18" t="n">
        <f aca="false">SUMPRODUCT($AB362:$AF362,Validation!$D$7:$H$7)</f>
        <v>1.71714285714305</v>
      </c>
      <c r="AI362" s="18" t="n">
        <f aca="false">SUMPRODUCT($AB362:$AF362,Validation!$D$8:$H$8)</f>
        <v>1.66285714285695</v>
      </c>
      <c r="AJ362" s="18" t="n">
        <f aca="false">SUMPRODUCT($AB362:$AF362,Validation!$D$9:$H$9)</f>
        <v>1.7286666666663</v>
      </c>
      <c r="AK362" s="18" t="n">
        <f aca="false">SUMPRODUCT($AB362:$AF362,Validation!$D$10:$H$10)</f>
        <v>1.6513333333337</v>
      </c>
      <c r="AL362" s="18" t="n">
        <f aca="false">SUMPRODUCT($AB362:$AF362,Validation!$D$11:$H$11)</f>
        <v>1.6575</v>
      </c>
      <c r="AM362" s="18" t="n">
        <f aca="false">SUMPRODUCT($AB362:$AF362,Validation!$D$12:$H$12)</f>
        <v>1.7225</v>
      </c>
      <c r="AN362" s="18" t="n">
        <f aca="false">SUMPRODUCT($AB362:$AF362,Validation!$D$13:$H$13)</f>
        <v>1.5388888888887</v>
      </c>
      <c r="AO362" s="18" t="n">
        <f aca="false">SUMPRODUCT($AB362:$AF362,Validation!$D$14:$H$14)</f>
        <v>1.8411111111113</v>
      </c>
      <c r="AP362" s="18" t="n">
        <f aca="false">SUMPRODUCT($AB362:$AF362,Validation!$D$15:$H$15)</f>
        <v>1.73588235294075</v>
      </c>
      <c r="AQ362" s="18" t="n">
        <f aca="false">SUMPRODUCT($AB362:$AF362,Validation!$D$16:$H$16)</f>
        <v>1.64411764705925</v>
      </c>
      <c r="AR362" s="8" t="n">
        <f aca="false">COUNTIF($C362:$V362,"&gt;=4")</f>
        <v>1</v>
      </c>
      <c r="AS362" s="8" t="str">
        <f aca="false">IF($X362&lt;=1.6,"Low",IF($X362&lt;=2.2,"Medium","High"))</f>
        <v>Medium</v>
      </c>
      <c r="AT362" s="8" t="str">
        <f aca="false">IF($AR362=0,"Low",IF($AR362&lt;3,"Medium","High"))</f>
        <v>Medium</v>
      </c>
      <c r="AU362" s="8" t="str">
        <f aca="false">IF(OR($AS362="High",$AT362="High"),"High",IF(OR($AS362="Medium",$AT362="Medium"),"Medium","Low"))</f>
        <v>Medium</v>
      </c>
      <c r="AV362" s="15" t="str">
        <f aca="false">IF($Z362="Yes","High",$AU362)</f>
        <v>Medium</v>
      </c>
    </row>
    <row r="363" customFormat="false" ht="15" hidden="false" customHeight="false" outlineLevel="0" collapsed="false">
      <c r="A363" s="7" t="str">
        <f aca="false">Customers!$A363</f>
        <v>NG-10191</v>
      </c>
      <c r="B363" s="7" t="str">
        <f aca="false">Customers!$B363</f>
        <v>Personal</v>
      </c>
      <c r="C363" s="8" t="n">
        <f aca="false">INDEX(Mapping!$C$2:$C$99,MATCH(C$1&amp;"|"&amp;Customers!C363,Mapping!$D$2:$D$99,0))</f>
        <v>1</v>
      </c>
      <c r="D363" s="8" t="n">
        <f aca="false">INDEX(Mapping!$C$2:$C$99,MATCH(D$1&amp;"|"&amp;Customers!D363,Mapping!$D$2:$D$99,0))</f>
        <v>1</v>
      </c>
      <c r="E363" s="8" t="n">
        <f aca="false">INDEX(Mapping!$C$2:$C$99,MATCH(E$1&amp;"|"&amp;Customers!E363,Mapping!$D$2:$D$99,0))</f>
        <v>1</v>
      </c>
      <c r="F363" s="8" t="n">
        <f aca="false">INDEX(Mapping!$C$2:$C$99,MATCH(F$1&amp;"|"&amp;Customers!F363,Mapping!$D$2:$D$99,0))</f>
        <v>1</v>
      </c>
      <c r="G363" s="8" t="n">
        <f aca="false">INDEX(Mapping!$C$2:$C$99,MATCH(G$1&amp;"|"&amp;Customers!G363,Mapping!$D$2:$D$99,0))</f>
        <v>1</v>
      </c>
      <c r="H363" s="8" t="n">
        <f aca="false">INDEX(Mapping!$C$2:$C$99,MATCH(H$1&amp;"|"&amp;Customers!H363,Mapping!$D$2:$D$99,0))</f>
        <v>1</v>
      </c>
      <c r="I363" s="8" t="n">
        <f aca="false">INDEX(Mapping!$C$2:$C$99,MATCH(I$1&amp;"|"&amp;Customers!I363,Mapping!$D$2:$D$99,0))</f>
        <v>1</v>
      </c>
      <c r="J363" s="8" t="n">
        <f aca="false">INDEX(Mapping!$C$2:$C$99,MATCH(J$1&amp;"|"&amp;Customers!J363,Mapping!$D$2:$D$99,0))</f>
        <v>1</v>
      </c>
      <c r="K363" s="8" t="n">
        <f aca="false">INDEX(Mapping!$C$2:$C$99,MATCH(K$1&amp;"|"&amp;Customers!K363,Mapping!$D$2:$D$99,0))</f>
        <v>3</v>
      </c>
      <c r="L363" s="8" t="n">
        <f aca="false">INDEX(Mapping!$C$2:$C$99,MATCH(L$1&amp;"|"&amp;Customers!L363,Mapping!$D$2:$D$99,0))</f>
        <v>3</v>
      </c>
      <c r="M363" s="8" t="n">
        <f aca="false">INDEX(Mapping!$C$2:$C$99,MATCH(M$1&amp;"|"&amp;Customers!M363,Mapping!$D$2:$D$99,0))</f>
        <v>3</v>
      </c>
      <c r="N363" s="8" t="n">
        <f aca="false">INDEX(Mapping!$C$2:$C$99,MATCH(N$1&amp;"|"&amp;Customers!N363,Mapping!$D$2:$D$99,0))</f>
        <v>1</v>
      </c>
      <c r="O363" s="8" t="n">
        <f aca="false">INDEX(Mapping!$C$2:$C$99,MATCH(O$1&amp;"|"&amp;Customers!O363,Mapping!$D$2:$D$99,0))</f>
        <v>3</v>
      </c>
      <c r="P363" s="8" t="n">
        <f aca="false">INDEX(Mapping!$C$2:$C$99,MATCH(P$1&amp;"|"&amp;Customers!P363,Mapping!$D$2:$D$99,0))</f>
        <v>3</v>
      </c>
      <c r="Q363" s="8" t="n">
        <f aca="false">INDEX(Mapping!$C$2:$C$99,MATCH(Q$1&amp;"|"&amp;Customers!Q363,Mapping!$D$2:$D$99,0))</f>
        <v>1</v>
      </c>
      <c r="R363" s="8" t="n">
        <f aca="false">INDEX(Mapping!$C$2:$C$99,MATCH(R$1&amp;"|"&amp;Customers!R363,Mapping!$D$2:$D$99,0))</f>
        <v>1</v>
      </c>
      <c r="S363" s="8" t="n">
        <f aca="false">INDEX(Mapping!$C$2:$C$99,MATCH(S$1&amp;"|"&amp;Customers!S363,Mapping!$D$2:$D$99,0))</f>
        <v>2</v>
      </c>
      <c r="T363" s="8" t="n">
        <f aca="false">INDEX(Mapping!$C$2:$C$99,MATCH(T$1&amp;"|"&amp;Customers!T363,Mapping!$D$2:$D$99,0))</f>
        <v>1</v>
      </c>
      <c r="U363" s="8" t="n">
        <f aca="false">INDEX(Mapping!$C$2:$C$99,MATCH(U$1&amp;"|"&amp;Customers!U363,Mapping!$D$2:$D$99,0))</f>
        <v>1</v>
      </c>
      <c r="V363" s="8" t="n">
        <f aca="false">INDEX(Mapping!$C$2:$C$99,MATCH(V$1&amp;"|"&amp;Customers!V363,Mapping!$D$2:$D$99,0))</f>
        <v>1</v>
      </c>
      <c r="W363" s="17" t="n">
        <f aca="false">SUMPRODUCT($C363:$V363,Weights!$C$27:$V$27)</f>
        <v>1.545</v>
      </c>
      <c r="X363" s="18" t="n">
        <f aca="false">ROUND($W363,2)</f>
        <v>1.55</v>
      </c>
      <c r="Y363" s="8" t="str">
        <f aca="false">IF($X363&lt;=2,"Low",IF($X363&lt;=3.49,"Medium","High"))</f>
        <v>Low</v>
      </c>
      <c r="Z363" s="8" t="str">
        <f aca="false">IF(OR($F363&gt;=3,$E363=5,$D363=5,$C363=5,$G363=5,$H363=5,$I363=5,$J363=5,Customers!$W363="Yes"),"Yes","No")</f>
        <v>No</v>
      </c>
      <c r="AA363" s="15" t="str">
        <f aca="false">IF($Z363="Yes","High",$Y363)</f>
        <v>Low</v>
      </c>
      <c r="AB363" s="18" t="n">
        <f aca="false">SUMPRODUCT($C363:$G363,Weights!$C$28:$G$28)</f>
        <v>1</v>
      </c>
      <c r="AC363" s="18" t="n">
        <f aca="false">SUMPRODUCT($H363:$J363,Weights!$H$28:$J$28)</f>
        <v>1</v>
      </c>
      <c r="AD363" s="18" t="n">
        <f aca="false">SUMPRODUCT($K363:$N363,Weights!$K$28:$N$28)</f>
        <v>2.7</v>
      </c>
      <c r="AE363" s="18" t="n">
        <f aca="false">SUMPRODUCT($O363:$Q363,Weights!$O$28:$Q$28)</f>
        <v>2.6</v>
      </c>
      <c r="AF363" s="18" t="n">
        <f aca="false">SUMPRODUCT($R363:$V363,Weights!$R$28:$V$28)</f>
        <v>1.3</v>
      </c>
      <c r="AH363" s="18" t="n">
        <f aca="false">SUMPRODUCT($AB363:$AF363,Validation!$D$7:$H$7)</f>
        <v>1.622857142857</v>
      </c>
      <c r="AI363" s="18" t="n">
        <f aca="false">SUMPRODUCT($AB363:$AF363,Validation!$D$8:$H$8)</f>
        <v>1.467142857143</v>
      </c>
      <c r="AJ363" s="18" t="n">
        <f aca="false">SUMPRODUCT($AB363:$AF363,Validation!$D$9:$H$9)</f>
        <v>1.6176666666667</v>
      </c>
      <c r="AK363" s="18" t="n">
        <f aca="false">SUMPRODUCT($AB363:$AF363,Validation!$D$10:$H$10)</f>
        <v>1.4723333333333</v>
      </c>
      <c r="AL363" s="18" t="n">
        <f aca="false">SUMPRODUCT($AB363:$AF363,Validation!$D$11:$H$11)</f>
        <v>1.400625</v>
      </c>
      <c r="AM363" s="18" t="n">
        <f aca="false">SUMPRODUCT($AB363:$AF363,Validation!$D$12:$H$12)</f>
        <v>1.689375</v>
      </c>
      <c r="AN363" s="18" t="n">
        <f aca="false">SUMPRODUCT($AB363:$AF363,Validation!$D$13:$H$13)</f>
        <v>1.4277777777775</v>
      </c>
      <c r="AO363" s="18" t="n">
        <f aca="false">SUMPRODUCT($AB363:$AF363,Validation!$D$14:$H$14)</f>
        <v>1.6622222222225</v>
      </c>
      <c r="AP363" s="18" t="n">
        <f aca="false">SUMPRODUCT($AB363:$AF363,Validation!$D$15:$H$15)</f>
        <v>1.5738235294117</v>
      </c>
      <c r="AQ363" s="18" t="n">
        <f aca="false">SUMPRODUCT($AB363:$AF363,Validation!$D$16:$H$16)</f>
        <v>1.5161764705883</v>
      </c>
      <c r="AR363" s="8" t="n">
        <f aca="false">COUNTIF($C363:$V363,"&gt;=4")</f>
        <v>0</v>
      </c>
      <c r="AS363" s="8" t="str">
        <f aca="false">IF($X363&lt;=1.6,"Low",IF($X363&lt;=2.2,"Medium","High"))</f>
        <v>Low</v>
      </c>
      <c r="AT363" s="8" t="str">
        <f aca="false">IF($AR363=0,"Low",IF($AR363&lt;3,"Medium","High"))</f>
        <v>Low</v>
      </c>
      <c r="AU363" s="8" t="str">
        <f aca="false">IF(OR($AS363="High",$AT363="High"),"High",IF(OR($AS363="Medium",$AT363="Medium"),"Medium","Low"))</f>
        <v>Low</v>
      </c>
      <c r="AV363" s="15" t="str">
        <f aca="false">IF($Z363="Yes","High",$AU363)</f>
        <v>Low</v>
      </c>
    </row>
    <row r="364" customFormat="false" ht="15" hidden="false" customHeight="false" outlineLevel="0" collapsed="false">
      <c r="A364" s="7" t="str">
        <f aca="false">Customers!$A364</f>
        <v>NG-10388</v>
      </c>
      <c r="B364" s="7" t="str">
        <f aca="false">Customers!$B364</f>
        <v>Limited company</v>
      </c>
      <c r="C364" s="8" t="n">
        <f aca="false">INDEX(Mapping!$C$2:$C$99,MATCH(C$1&amp;"|"&amp;Customers!C364,Mapping!$D$2:$D$99,0))</f>
        <v>4</v>
      </c>
      <c r="D364" s="8" t="n">
        <f aca="false">INDEX(Mapping!$C$2:$C$99,MATCH(D$1&amp;"|"&amp;Customers!D364,Mapping!$D$2:$D$99,0))</f>
        <v>2</v>
      </c>
      <c r="E364" s="8" t="n">
        <f aca="false">INDEX(Mapping!$C$2:$C$99,MATCH(E$1&amp;"|"&amp;Customers!E364,Mapping!$D$2:$D$99,0))</f>
        <v>2</v>
      </c>
      <c r="F364" s="8" t="n">
        <f aca="false">INDEX(Mapping!$C$2:$C$99,MATCH(F$1&amp;"|"&amp;Customers!F364,Mapping!$D$2:$D$99,0))</f>
        <v>1</v>
      </c>
      <c r="G364" s="8" t="n">
        <f aca="false">INDEX(Mapping!$C$2:$C$99,MATCH(G$1&amp;"|"&amp;Customers!G364,Mapping!$D$2:$D$99,0))</f>
        <v>1</v>
      </c>
      <c r="H364" s="8" t="n">
        <f aca="false">INDEX(Mapping!$C$2:$C$99,MATCH(H$1&amp;"|"&amp;Customers!H364,Mapping!$D$2:$D$99,0))</f>
        <v>1</v>
      </c>
      <c r="I364" s="8" t="n">
        <f aca="false">INDEX(Mapping!$C$2:$C$99,MATCH(I$1&amp;"|"&amp;Customers!I364,Mapping!$D$2:$D$99,0))</f>
        <v>1</v>
      </c>
      <c r="J364" s="8" t="n">
        <f aca="false">INDEX(Mapping!$C$2:$C$99,MATCH(J$1&amp;"|"&amp;Customers!J364,Mapping!$D$2:$D$99,0))</f>
        <v>1</v>
      </c>
      <c r="K364" s="8" t="n">
        <f aca="false">INDEX(Mapping!$C$2:$C$99,MATCH(K$1&amp;"|"&amp;Customers!K364,Mapping!$D$2:$D$99,0))</f>
        <v>4</v>
      </c>
      <c r="L364" s="8" t="n">
        <f aca="false">INDEX(Mapping!$C$2:$C$99,MATCH(L$1&amp;"|"&amp;Customers!L364,Mapping!$D$2:$D$99,0))</f>
        <v>4</v>
      </c>
      <c r="M364" s="8" t="n">
        <f aca="false">INDEX(Mapping!$C$2:$C$99,MATCH(M$1&amp;"|"&amp;Customers!M364,Mapping!$D$2:$D$99,0))</f>
        <v>2</v>
      </c>
      <c r="N364" s="8" t="n">
        <f aca="false">INDEX(Mapping!$C$2:$C$99,MATCH(N$1&amp;"|"&amp;Customers!N364,Mapping!$D$2:$D$99,0))</f>
        <v>4</v>
      </c>
      <c r="O364" s="8" t="n">
        <f aca="false">INDEX(Mapping!$C$2:$C$99,MATCH(O$1&amp;"|"&amp;Customers!O364,Mapping!$D$2:$D$99,0))</f>
        <v>3</v>
      </c>
      <c r="P364" s="8" t="n">
        <f aca="false">INDEX(Mapping!$C$2:$C$99,MATCH(P$1&amp;"|"&amp;Customers!P364,Mapping!$D$2:$D$99,0))</f>
        <v>1</v>
      </c>
      <c r="Q364" s="8" t="n">
        <f aca="false">INDEX(Mapping!$C$2:$C$99,MATCH(Q$1&amp;"|"&amp;Customers!Q364,Mapping!$D$2:$D$99,0))</f>
        <v>3</v>
      </c>
      <c r="R364" s="8" t="n">
        <f aca="false">INDEX(Mapping!$C$2:$C$99,MATCH(R$1&amp;"|"&amp;Customers!R364,Mapping!$D$2:$D$99,0))</f>
        <v>3</v>
      </c>
      <c r="S364" s="8" t="n">
        <f aca="false">INDEX(Mapping!$C$2:$C$99,MATCH(S$1&amp;"|"&amp;Customers!S364,Mapping!$D$2:$D$99,0))</f>
        <v>5</v>
      </c>
      <c r="T364" s="8" t="n">
        <f aca="false">INDEX(Mapping!$C$2:$C$99,MATCH(T$1&amp;"|"&amp;Customers!T364,Mapping!$D$2:$D$99,0))</f>
        <v>2</v>
      </c>
      <c r="U364" s="8" t="n">
        <f aca="false">INDEX(Mapping!$C$2:$C$99,MATCH(U$1&amp;"|"&amp;Customers!U364,Mapping!$D$2:$D$99,0))</f>
        <v>3</v>
      </c>
      <c r="V364" s="8" t="n">
        <f aca="false">INDEX(Mapping!$C$2:$C$99,MATCH(V$1&amp;"|"&amp;Customers!V364,Mapping!$D$2:$D$99,0))</f>
        <v>2</v>
      </c>
      <c r="W364" s="17" t="n">
        <f aca="false">SUMPRODUCT($C364:$V364,Weights!$C$27:$V$27)</f>
        <v>2.29</v>
      </c>
      <c r="X364" s="18" t="n">
        <f aca="false">ROUND($W364,2)</f>
        <v>2.29</v>
      </c>
      <c r="Y364" s="8" t="str">
        <f aca="false">IF($X364&lt;=2,"Low",IF($X364&lt;=3.49,"Medium","High"))</f>
        <v>Medium</v>
      </c>
      <c r="Z364" s="8" t="str">
        <f aca="false">IF(OR($F364&gt;=3,$E364=5,$D364=5,$C364=5,$G364=5,$H364=5,$I364=5,$J364=5,Customers!$W364="Yes"),"Yes","No")</f>
        <v>No</v>
      </c>
      <c r="AA364" s="15" t="str">
        <f aca="false">IF($Z364="Yes","High",$Y364)</f>
        <v>Medium</v>
      </c>
      <c r="AB364" s="18" t="n">
        <f aca="false">SUMPRODUCT($C364:$G364,Weights!$C$28:$G$28)</f>
        <v>2.05</v>
      </c>
      <c r="AC364" s="18" t="n">
        <f aca="false">SUMPRODUCT($H364:$J364,Weights!$H$28:$J$28)</f>
        <v>1</v>
      </c>
      <c r="AD364" s="18" t="n">
        <f aca="false">SUMPRODUCT($K364:$N364,Weights!$K$28:$N$28)</f>
        <v>3.5</v>
      </c>
      <c r="AE364" s="18" t="n">
        <f aca="false">SUMPRODUCT($O364:$Q364,Weights!$O$28:$Q$28)</f>
        <v>2.3</v>
      </c>
      <c r="AF364" s="18" t="n">
        <f aca="false">SUMPRODUCT($R364:$V364,Weights!$R$28:$V$28)</f>
        <v>3.3</v>
      </c>
      <c r="AH364" s="18" t="n">
        <f aca="false">SUMPRODUCT($AB364:$AF364,Validation!$D$7:$H$7)</f>
        <v>2.324285714286</v>
      </c>
      <c r="AI364" s="18" t="n">
        <f aca="false">SUMPRODUCT($AB364:$AF364,Validation!$D$8:$H$8)</f>
        <v>2.255714285714</v>
      </c>
      <c r="AJ364" s="18" t="n">
        <f aca="false">SUMPRODUCT($AB364:$AF364,Validation!$D$9:$H$9)</f>
        <v>2.4620000000004</v>
      </c>
      <c r="AK364" s="18" t="n">
        <f aca="false">SUMPRODUCT($AB364:$AF364,Validation!$D$10:$H$10)</f>
        <v>2.1179999999996</v>
      </c>
      <c r="AL364" s="18" t="n">
        <f aca="false">SUMPRODUCT($AB364:$AF364,Validation!$D$11:$H$11)</f>
        <v>2.13875</v>
      </c>
      <c r="AM364" s="18" t="n">
        <f aca="false">SUMPRODUCT($AB364:$AF364,Validation!$D$12:$H$12)</f>
        <v>2.44125</v>
      </c>
      <c r="AN364" s="18" t="n">
        <f aca="false">SUMPRODUCT($AB364:$AF364,Validation!$D$13:$H$13)</f>
        <v>2.28888888888875</v>
      </c>
      <c r="AO364" s="18" t="n">
        <f aca="false">SUMPRODUCT($AB364:$AF364,Validation!$D$14:$H$14)</f>
        <v>2.29111111111125</v>
      </c>
      <c r="AP364" s="18" t="n">
        <f aca="false">SUMPRODUCT($AB364:$AF364,Validation!$D$15:$H$15)</f>
        <v>2.17117647058845</v>
      </c>
      <c r="AQ364" s="18" t="n">
        <f aca="false">SUMPRODUCT($AB364:$AF364,Validation!$D$16:$H$16)</f>
        <v>2.40882352941155</v>
      </c>
      <c r="AR364" s="8" t="n">
        <f aca="false">COUNTIF($C364:$V364,"&gt;=4")</f>
        <v>5</v>
      </c>
      <c r="AS364" s="8" t="str">
        <f aca="false">IF($X364&lt;=1.6,"Low",IF($X364&lt;=2.2,"Medium","High"))</f>
        <v>High</v>
      </c>
      <c r="AT364" s="8" t="str">
        <f aca="false">IF($AR364=0,"Low",IF($AR364&lt;3,"Medium","High"))</f>
        <v>High</v>
      </c>
      <c r="AU364" s="8" t="str">
        <f aca="false">IF(OR($AS364="High",$AT364="High"),"High",IF(OR($AS364="Medium",$AT364="Medium"),"Medium","Low"))</f>
        <v>High</v>
      </c>
      <c r="AV364" s="15" t="str">
        <f aca="false">IF($Z364="Yes","High",$AU364)</f>
        <v>High</v>
      </c>
    </row>
    <row r="365" customFormat="false" ht="15" hidden="false" customHeight="false" outlineLevel="0" collapsed="false">
      <c r="A365" s="7" t="str">
        <f aca="false">Customers!$A365</f>
        <v>NG-10251</v>
      </c>
      <c r="B365" s="7" t="str">
        <f aca="false">Customers!$B365</f>
        <v>Personal</v>
      </c>
      <c r="C365" s="8" t="n">
        <f aca="false">INDEX(Mapping!$C$2:$C$99,MATCH(C$1&amp;"|"&amp;Customers!C365,Mapping!$D$2:$D$99,0))</f>
        <v>1</v>
      </c>
      <c r="D365" s="8" t="n">
        <f aca="false">INDEX(Mapping!$C$2:$C$99,MATCH(D$1&amp;"|"&amp;Customers!D365,Mapping!$D$2:$D$99,0))</f>
        <v>1</v>
      </c>
      <c r="E365" s="8" t="n">
        <f aca="false">INDEX(Mapping!$C$2:$C$99,MATCH(E$1&amp;"|"&amp;Customers!E365,Mapping!$D$2:$D$99,0))</f>
        <v>1</v>
      </c>
      <c r="F365" s="8" t="n">
        <f aca="false">INDEX(Mapping!$C$2:$C$99,MATCH(F$1&amp;"|"&amp;Customers!F365,Mapping!$D$2:$D$99,0))</f>
        <v>1</v>
      </c>
      <c r="G365" s="8" t="n">
        <f aca="false">INDEX(Mapping!$C$2:$C$99,MATCH(G$1&amp;"|"&amp;Customers!G365,Mapping!$D$2:$D$99,0))</f>
        <v>1</v>
      </c>
      <c r="H365" s="8" t="n">
        <f aca="false">INDEX(Mapping!$C$2:$C$99,MATCH(H$1&amp;"|"&amp;Customers!H365,Mapping!$D$2:$D$99,0))</f>
        <v>1</v>
      </c>
      <c r="I365" s="8" t="n">
        <f aca="false">INDEX(Mapping!$C$2:$C$99,MATCH(I$1&amp;"|"&amp;Customers!I365,Mapping!$D$2:$D$99,0))</f>
        <v>1</v>
      </c>
      <c r="J365" s="8" t="n">
        <f aca="false">INDEX(Mapping!$C$2:$C$99,MATCH(J$1&amp;"|"&amp;Customers!J365,Mapping!$D$2:$D$99,0))</f>
        <v>1</v>
      </c>
      <c r="K365" s="8" t="n">
        <f aca="false">INDEX(Mapping!$C$2:$C$99,MATCH(K$1&amp;"|"&amp;Customers!K365,Mapping!$D$2:$D$99,0))</f>
        <v>3</v>
      </c>
      <c r="L365" s="8" t="n">
        <f aca="false">INDEX(Mapping!$C$2:$C$99,MATCH(L$1&amp;"|"&amp;Customers!L365,Mapping!$D$2:$D$99,0))</f>
        <v>2</v>
      </c>
      <c r="M365" s="8" t="n">
        <f aca="false">INDEX(Mapping!$C$2:$C$99,MATCH(M$1&amp;"|"&amp;Customers!M365,Mapping!$D$2:$D$99,0))</f>
        <v>1</v>
      </c>
      <c r="N365" s="8" t="n">
        <f aca="false">INDEX(Mapping!$C$2:$C$99,MATCH(N$1&amp;"|"&amp;Customers!N365,Mapping!$D$2:$D$99,0))</f>
        <v>1</v>
      </c>
      <c r="O365" s="8" t="n">
        <f aca="false">INDEX(Mapping!$C$2:$C$99,MATCH(O$1&amp;"|"&amp;Customers!O365,Mapping!$D$2:$D$99,0))</f>
        <v>3</v>
      </c>
      <c r="P365" s="8" t="n">
        <f aca="false">INDEX(Mapping!$C$2:$C$99,MATCH(P$1&amp;"|"&amp;Customers!P365,Mapping!$D$2:$D$99,0))</f>
        <v>2</v>
      </c>
      <c r="Q365" s="8" t="n">
        <f aca="false">INDEX(Mapping!$C$2:$C$99,MATCH(Q$1&amp;"|"&amp;Customers!Q365,Mapping!$D$2:$D$99,0))</f>
        <v>1</v>
      </c>
      <c r="R365" s="8" t="n">
        <f aca="false">INDEX(Mapping!$C$2:$C$99,MATCH(R$1&amp;"|"&amp;Customers!R365,Mapping!$D$2:$D$99,0))</f>
        <v>1</v>
      </c>
      <c r="S365" s="8" t="n">
        <f aca="false">INDEX(Mapping!$C$2:$C$99,MATCH(S$1&amp;"|"&amp;Customers!S365,Mapping!$D$2:$D$99,0))</f>
        <v>1</v>
      </c>
      <c r="T365" s="8" t="n">
        <f aca="false">INDEX(Mapping!$C$2:$C$99,MATCH(T$1&amp;"|"&amp;Customers!T365,Mapping!$D$2:$D$99,0))</f>
        <v>1</v>
      </c>
      <c r="U365" s="8" t="n">
        <f aca="false">INDEX(Mapping!$C$2:$C$99,MATCH(U$1&amp;"|"&amp;Customers!U365,Mapping!$D$2:$D$99,0))</f>
        <v>1</v>
      </c>
      <c r="V365" s="8" t="n">
        <f aca="false">INDEX(Mapping!$C$2:$C$99,MATCH(V$1&amp;"|"&amp;Customers!V365,Mapping!$D$2:$D$99,0))</f>
        <v>2</v>
      </c>
      <c r="W365" s="17" t="n">
        <f aca="false">SUMPRODUCT($C365:$V365,Weights!$C$27:$V$27)</f>
        <v>1.33</v>
      </c>
      <c r="X365" s="18" t="n">
        <f aca="false">ROUND($W365,2)</f>
        <v>1.33</v>
      </c>
      <c r="Y365" s="8" t="str">
        <f aca="false">IF($X365&lt;=2,"Low",IF($X365&lt;=3.49,"Medium","High"))</f>
        <v>Low</v>
      </c>
      <c r="Z365" s="8" t="str">
        <f aca="false">IF(OR($F365&gt;=3,$E365=5,$D365=5,$C365=5,$G365=5,$H365=5,$I365=5,$J365=5,Customers!$W365="Yes"),"Yes","No")</f>
        <v>No</v>
      </c>
      <c r="AA365" s="15" t="str">
        <f aca="false">IF($Z365="Yes","High",$Y365)</f>
        <v>Low</v>
      </c>
      <c r="AB365" s="18" t="n">
        <f aca="false">SUMPRODUCT($C365:$G365,Weights!$C$28:$G$28)</f>
        <v>1</v>
      </c>
      <c r="AC365" s="18" t="n">
        <f aca="false">SUMPRODUCT($H365:$J365,Weights!$H$28:$J$28)</f>
        <v>1</v>
      </c>
      <c r="AD365" s="18" t="n">
        <f aca="false">SUMPRODUCT($K365:$N365,Weights!$K$28:$N$28)</f>
        <v>1.95</v>
      </c>
      <c r="AE365" s="18" t="n">
        <f aca="false">SUMPRODUCT($O365:$Q365,Weights!$O$28:$Q$28)</f>
        <v>2.25</v>
      </c>
      <c r="AF365" s="18" t="n">
        <f aca="false">SUMPRODUCT($R365:$V365,Weights!$R$28:$V$28)</f>
        <v>1.1</v>
      </c>
      <c r="AH365" s="18" t="n">
        <f aca="false">SUMPRODUCT($AB365:$AF365,Validation!$D$7:$H$7)</f>
        <v>1.37714285714285</v>
      </c>
      <c r="AI365" s="18" t="n">
        <f aca="false">SUMPRODUCT($AB365:$AF365,Validation!$D$8:$H$8)</f>
        <v>1.28285714285715</v>
      </c>
      <c r="AJ365" s="18" t="n">
        <f aca="false">SUMPRODUCT($AB365:$AF365,Validation!$D$9:$H$9)</f>
        <v>1.3739999999999</v>
      </c>
      <c r="AK365" s="18" t="n">
        <f aca="false">SUMPRODUCT($AB365:$AF365,Validation!$D$10:$H$10)</f>
        <v>1.2860000000001</v>
      </c>
      <c r="AL365" s="18" t="n">
        <f aca="false">SUMPRODUCT($AB365:$AF365,Validation!$D$11:$H$11)</f>
        <v>1.2525</v>
      </c>
      <c r="AM365" s="18" t="n">
        <f aca="false">SUMPRODUCT($AB365:$AF365,Validation!$D$12:$H$12)</f>
        <v>1.4075</v>
      </c>
      <c r="AN365" s="18" t="n">
        <f aca="false">SUMPRODUCT($AB365:$AF365,Validation!$D$13:$H$13)</f>
        <v>1.2277777777776</v>
      </c>
      <c r="AO365" s="18" t="n">
        <f aca="false">SUMPRODUCT($AB365:$AF365,Validation!$D$14:$H$14)</f>
        <v>1.4322222222224</v>
      </c>
      <c r="AP365" s="18" t="n">
        <f aca="false">SUMPRODUCT($AB365:$AF365,Validation!$D$15:$H$15)</f>
        <v>1.35705882352925</v>
      </c>
      <c r="AQ365" s="18" t="n">
        <f aca="false">SUMPRODUCT($AB365:$AF365,Validation!$D$16:$H$16)</f>
        <v>1.30294117647075</v>
      </c>
      <c r="AR365" s="8" t="n">
        <f aca="false">COUNTIF($C365:$V365,"&gt;=4")</f>
        <v>0</v>
      </c>
      <c r="AS365" s="8" t="str">
        <f aca="false">IF($X365&lt;=1.6,"Low",IF($X365&lt;=2.2,"Medium","High"))</f>
        <v>Low</v>
      </c>
      <c r="AT365" s="8" t="str">
        <f aca="false">IF($AR365=0,"Low",IF($AR365&lt;3,"Medium","High"))</f>
        <v>Low</v>
      </c>
      <c r="AU365" s="8" t="str">
        <f aca="false">IF(OR($AS365="High",$AT365="High"),"High",IF(OR($AS365="Medium",$AT365="Medium"),"Medium","Low"))</f>
        <v>Low</v>
      </c>
      <c r="AV365" s="15" t="str">
        <f aca="false">IF($Z365="Yes","High",$AU365)</f>
        <v>Low</v>
      </c>
    </row>
    <row r="366" customFormat="false" ht="15" hidden="false" customHeight="false" outlineLevel="0" collapsed="false">
      <c r="A366" s="7" t="str">
        <f aca="false">Customers!$A366</f>
        <v>NG-10249</v>
      </c>
      <c r="B366" s="7" t="str">
        <f aca="false">Customers!$B366</f>
        <v>Personal</v>
      </c>
      <c r="C366" s="8" t="n">
        <f aca="false">INDEX(Mapping!$C$2:$C$99,MATCH(C$1&amp;"|"&amp;Customers!C366,Mapping!$D$2:$D$99,0))</f>
        <v>1</v>
      </c>
      <c r="D366" s="8" t="n">
        <f aca="false">INDEX(Mapping!$C$2:$C$99,MATCH(D$1&amp;"|"&amp;Customers!D366,Mapping!$D$2:$D$99,0))</f>
        <v>1</v>
      </c>
      <c r="E366" s="8" t="n">
        <f aca="false">INDEX(Mapping!$C$2:$C$99,MATCH(E$1&amp;"|"&amp;Customers!E366,Mapping!$D$2:$D$99,0))</f>
        <v>3</v>
      </c>
      <c r="F366" s="8" t="n">
        <f aca="false">INDEX(Mapping!$C$2:$C$99,MATCH(F$1&amp;"|"&amp;Customers!F366,Mapping!$D$2:$D$99,0))</f>
        <v>1</v>
      </c>
      <c r="G366" s="8" t="n">
        <f aca="false">INDEX(Mapping!$C$2:$C$99,MATCH(G$1&amp;"|"&amp;Customers!G366,Mapping!$D$2:$D$99,0))</f>
        <v>1</v>
      </c>
      <c r="H366" s="8" t="n">
        <f aca="false">INDEX(Mapping!$C$2:$C$99,MATCH(H$1&amp;"|"&amp;Customers!H366,Mapping!$D$2:$D$99,0))</f>
        <v>1</v>
      </c>
      <c r="I366" s="8" t="n">
        <f aca="false">INDEX(Mapping!$C$2:$C$99,MATCH(I$1&amp;"|"&amp;Customers!I366,Mapping!$D$2:$D$99,0))</f>
        <v>1</v>
      </c>
      <c r="J366" s="8" t="n">
        <f aca="false">INDEX(Mapping!$C$2:$C$99,MATCH(J$1&amp;"|"&amp;Customers!J366,Mapping!$D$2:$D$99,0))</f>
        <v>1</v>
      </c>
      <c r="K366" s="8" t="n">
        <f aca="false">INDEX(Mapping!$C$2:$C$99,MATCH(K$1&amp;"|"&amp;Customers!K366,Mapping!$D$2:$D$99,0))</f>
        <v>2</v>
      </c>
      <c r="L366" s="8" t="n">
        <f aca="false">INDEX(Mapping!$C$2:$C$99,MATCH(L$1&amp;"|"&amp;Customers!L366,Mapping!$D$2:$D$99,0))</f>
        <v>1</v>
      </c>
      <c r="M366" s="8" t="n">
        <f aca="false">INDEX(Mapping!$C$2:$C$99,MATCH(M$1&amp;"|"&amp;Customers!M366,Mapping!$D$2:$D$99,0))</f>
        <v>3</v>
      </c>
      <c r="N366" s="8" t="n">
        <f aca="false">INDEX(Mapping!$C$2:$C$99,MATCH(N$1&amp;"|"&amp;Customers!N366,Mapping!$D$2:$D$99,0))</f>
        <v>1</v>
      </c>
      <c r="O366" s="8" t="n">
        <f aca="false">INDEX(Mapping!$C$2:$C$99,MATCH(O$1&amp;"|"&amp;Customers!O366,Mapping!$D$2:$D$99,0))</f>
        <v>3</v>
      </c>
      <c r="P366" s="8" t="n">
        <f aca="false">INDEX(Mapping!$C$2:$C$99,MATCH(P$1&amp;"|"&amp;Customers!P366,Mapping!$D$2:$D$99,0))</f>
        <v>3</v>
      </c>
      <c r="Q366" s="8" t="n">
        <f aca="false">INDEX(Mapping!$C$2:$C$99,MATCH(Q$1&amp;"|"&amp;Customers!Q366,Mapping!$D$2:$D$99,0))</f>
        <v>2</v>
      </c>
      <c r="R366" s="8" t="n">
        <f aca="false">INDEX(Mapping!$C$2:$C$99,MATCH(R$1&amp;"|"&amp;Customers!R366,Mapping!$D$2:$D$99,0))</f>
        <v>1</v>
      </c>
      <c r="S366" s="8" t="n">
        <f aca="false">INDEX(Mapping!$C$2:$C$99,MATCH(S$1&amp;"|"&amp;Customers!S366,Mapping!$D$2:$D$99,0))</f>
        <v>2</v>
      </c>
      <c r="T366" s="8" t="n">
        <f aca="false">INDEX(Mapping!$C$2:$C$99,MATCH(T$1&amp;"|"&amp;Customers!T366,Mapping!$D$2:$D$99,0))</f>
        <v>3</v>
      </c>
      <c r="U366" s="8" t="n">
        <f aca="false">INDEX(Mapping!$C$2:$C$99,MATCH(U$1&amp;"|"&amp;Customers!U366,Mapping!$D$2:$D$99,0))</f>
        <v>1</v>
      </c>
      <c r="V366" s="8" t="n">
        <f aca="false">INDEX(Mapping!$C$2:$C$99,MATCH(V$1&amp;"|"&amp;Customers!V366,Mapping!$D$2:$D$99,0))</f>
        <v>1</v>
      </c>
      <c r="W366" s="17" t="n">
        <f aca="false">SUMPRODUCT($C366:$V366,Weights!$C$27:$V$27)</f>
        <v>1.605</v>
      </c>
      <c r="X366" s="18" t="n">
        <f aca="false">ROUND($W366,2)</f>
        <v>1.61</v>
      </c>
      <c r="Y366" s="8" t="str">
        <f aca="false">IF($X366&lt;=2,"Low",IF($X366&lt;=3.49,"Medium","High"))</f>
        <v>Low</v>
      </c>
      <c r="Z366" s="8" t="str">
        <f aca="false">IF(OR($F366&gt;=3,$E366=5,$D366=5,$C366=5,$G366=5,$H366=5,$I366=5,$J366=5,Customers!$W366="Yes"),"Yes","No")</f>
        <v>No</v>
      </c>
      <c r="AA366" s="15" t="str">
        <f aca="false">IF($Z366="Yes","High",$Y366)</f>
        <v>Low</v>
      </c>
      <c r="AB366" s="18" t="n">
        <f aca="false">SUMPRODUCT($C366:$G366,Weights!$C$28:$G$28)</f>
        <v>1.5</v>
      </c>
      <c r="AC366" s="18" t="n">
        <f aca="false">SUMPRODUCT($H366:$J366,Weights!$H$28:$J$28)</f>
        <v>1</v>
      </c>
      <c r="AD366" s="18" t="n">
        <f aca="false">SUMPRODUCT($K366:$N366,Weights!$K$28:$N$28)</f>
        <v>1.85</v>
      </c>
      <c r="AE366" s="18" t="n">
        <f aca="false">SUMPRODUCT($O366:$Q366,Weights!$O$28:$Q$28)</f>
        <v>2.8</v>
      </c>
      <c r="AF366" s="18" t="n">
        <f aca="false">SUMPRODUCT($R366:$V366,Weights!$R$28:$V$28)</f>
        <v>1.7</v>
      </c>
      <c r="AH366" s="18" t="n">
        <f aca="false">SUMPRODUCT($AB366:$AF366,Validation!$D$7:$H$7)</f>
        <v>1.62000000000045</v>
      </c>
      <c r="AI366" s="18" t="n">
        <f aca="false">SUMPRODUCT($AB366:$AF366,Validation!$D$8:$H$8)</f>
        <v>1.58999999999955</v>
      </c>
      <c r="AJ366" s="18" t="n">
        <f aca="false">SUMPRODUCT($AB366:$AF366,Validation!$D$9:$H$9)</f>
        <v>1.68566666666635</v>
      </c>
      <c r="AK366" s="18" t="n">
        <f aca="false">SUMPRODUCT($AB366:$AF366,Validation!$D$10:$H$10)</f>
        <v>1.52433333333365</v>
      </c>
      <c r="AL366" s="18" t="n">
        <f aca="false">SUMPRODUCT($AB366:$AF366,Validation!$D$11:$H$11)</f>
        <v>1.574375</v>
      </c>
      <c r="AM366" s="18" t="n">
        <f aca="false">SUMPRODUCT($AB366:$AF366,Validation!$D$12:$H$12)</f>
        <v>1.635625</v>
      </c>
      <c r="AN366" s="18" t="n">
        <f aca="false">SUMPRODUCT($AB366:$AF366,Validation!$D$13:$H$13)</f>
        <v>1.4722222222221</v>
      </c>
      <c r="AO366" s="18" t="n">
        <f aca="false">SUMPRODUCT($AB366:$AF366,Validation!$D$14:$H$14)</f>
        <v>1.7377777777779</v>
      </c>
      <c r="AP366" s="18" t="n">
        <f aca="false">SUMPRODUCT($AB366:$AF366,Validation!$D$15:$H$15)</f>
        <v>1.59382352941135</v>
      </c>
      <c r="AQ366" s="18" t="n">
        <f aca="false">SUMPRODUCT($AB366:$AF366,Validation!$D$16:$H$16)</f>
        <v>1.61617647058865</v>
      </c>
      <c r="AR366" s="8" t="n">
        <f aca="false">COUNTIF($C366:$V366,"&gt;=4")</f>
        <v>0</v>
      </c>
      <c r="AS366" s="8" t="str">
        <f aca="false">IF($X366&lt;=1.6,"Low",IF($X366&lt;=2.2,"Medium","High"))</f>
        <v>Medium</v>
      </c>
      <c r="AT366" s="8" t="str">
        <f aca="false">IF($AR366=0,"Low",IF($AR366&lt;3,"Medium","High"))</f>
        <v>Low</v>
      </c>
      <c r="AU366" s="8" t="str">
        <f aca="false">IF(OR($AS366="High",$AT366="High"),"High",IF(OR($AS366="Medium",$AT366="Medium"),"Medium","Low"))</f>
        <v>Medium</v>
      </c>
      <c r="AV366" s="15" t="str">
        <f aca="false">IF($Z366="Yes","High",$AU366)</f>
        <v>Medium</v>
      </c>
    </row>
    <row r="367" customFormat="false" ht="15" hidden="false" customHeight="false" outlineLevel="0" collapsed="false">
      <c r="A367" s="7" t="str">
        <f aca="false">Customers!$A367</f>
        <v>NG-10224</v>
      </c>
      <c r="B367" s="7" t="str">
        <f aca="false">Customers!$B367</f>
        <v>Personal</v>
      </c>
      <c r="C367" s="8" t="n">
        <f aca="false">INDEX(Mapping!$C$2:$C$99,MATCH(C$1&amp;"|"&amp;Customers!C367,Mapping!$D$2:$D$99,0))</f>
        <v>2</v>
      </c>
      <c r="D367" s="8" t="n">
        <f aca="false">INDEX(Mapping!$C$2:$C$99,MATCH(D$1&amp;"|"&amp;Customers!D367,Mapping!$D$2:$D$99,0))</f>
        <v>1</v>
      </c>
      <c r="E367" s="8" t="n">
        <f aca="false">INDEX(Mapping!$C$2:$C$99,MATCH(E$1&amp;"|"&amp;Customers!E367,Mapping!$D$2:$D$99,0))</f>
        <v>1</v>
      </c>
      <c r="F367" s="8" t="n">
        <f aca="false">INDEX(Mapping!$C$2:$C$99,MATCH(F$1&amp;"|"&amp;Customers!F367,Mapping!$D$2:$D$99,0))</f>
        <v>1</v>
      </c>
      <c r="G367" s="8" t="n">
        <f aca="false">INDEX(Mapping!$C$2:$C$99,MATCH(G$1&amp;"|"&amp;Customers!G367,Mapping!$D$2:$D$99,0))</f>
        <v>1</v>
      </c>
      <c r="H367" s="8" t="n">
        <f aca="false">INDEX(Mapping!$C$2:$C$99,MATCH(H$1&amp;"|"&amp;Customers!H367,Mapping!$D$2:$D$99,0))</f>
        <v>1</v>
      </c>
      <c r="I367" s="8" t="n">
        <f aca="false">INDEX(Mapping!$C$2:$C$99,MATCH(I$1&amp;"|"&amp;Customers!I367,Mapping!$D$2:$D$99,0))</f>
        <v>1</v>
      </c>
      <c r="J367" s="8" t="n">
        <f aca="false">INDEX(Mapping!$C$2:$C$99,MATCH(J$1&amp;"|"&amp;Customers!J367,Mapping!$D$2:$D$99,0))</f>
        <v>1</v>
      </c>
      <c r="K367" s="8" t="n">
        <f aca="false">INDEX(Mapping!$C$2:$C$99,MATCH(K$1&amp;"|"&amp;Customers!K367,Mapping!$D$2:$D$99,0))</f>
        <v>2</v>
      </c>
      <c r="L367" s="8" t="n">
        <f aca="false">INDEX(Mapping!$C$2:$C$99,MATCH(L$1&amp;"|"&amp;Customers!L367,Mapping!$D$2:$D$99,0))</f>
        <v>4</v>
      </c>
      <c r="M367" s="8" t="n">
        <f aca="false">INDEX(Mapping!$C$2:$C$99,MATCH(M$1&amp;"|"&amp;Customers!M367,Mapping!$D$2:$D$99,0))</f>
        <v>2</v>
      </c>
      <c r="N367" s="8" t="n">
        <f aca="false">INDEX(Mapping!$C$2:$C$99,MATCH(N$1&amp;"|"&amp;Customers!N367,Mapping!$D$2:$D$99,0))</f>
        <v>1</v>
      </c>
      <c r="O367" s="8" t="n">
        <f aca="false">INDEX(Mapping!$C$2:$C$99,MATCH(O$1&amp;"|"&amp;Customers!O367,Mapping!$D$2:$D$99,0))</f>
        <v>4</v>
      </c>
      <c r="P367" s="8" t="n">
        <f aca="false">INDEX(Mapping!$C$2:$C$99,MATCH(P$1&amp;"|"&amp;Customers!P367,Mapping!$D$2:$D$99,0))</f>
        <v>3</v>
      </c>
      <c r="Q367" s="8" t="n">
        <f aca="false">INDEX(Mapping!$C$2:$C$99,MATCH(Q$1&amp;"|"&amp;Customers!Q367,Mapping!$D$2:$D$99,0))</f>
        <v>2</v>
      </c>
      <c r="R367" s="8" t="n">
        <f aca="false">INDEX(Mapping!$C$2:$C$99,MATCH(R$1&amp;"|"&amp;Customers!R367,Mapping!$D$2:$D$99,0))</f>
        <v>1</v>
      </c>
      <c r="S367" s="8" t="n">
        <f aca="false">INDEX(Mapping!$C$2:$C$99,MATCH(S$1&amp;"|"&amp;Customers!S367,Mapping!$D$2:$D$99,0))</f>
        <v>1</v>
      </c>
      <c r="T367" s="8" t="n">
        <f aca="false">INDEX(Mapping!$C$2:$C$99,MATCH(T$1&amp;"|"&amp;Customers!T367,Mapping!$D$2:$D$99,0))</f>
        <v>1</v>
      </c>
      <c r="U367" s="8" t="n">
        <f aca="false">INDEX(Mapping!$C$2:$C$99,MATCH(U$1&amp;"|"&amp;Customers!U367,Mapping!$D$2:$D$99,0))</f>
        <v>1</v>
      </c>
      <c r="V367" s="8" t="n">
        <f aca="false">INDEX(Mapping!$C$2:$C$99,MATCH(V$1&amp;"|"&amp;Customers!V367,Mapping!$D$2:$D$99,0))</f>
        <v>1</v>
      </c>
      <c r="W367" s="17" t="n">
        <f aca="false">SUMPRODUCT($C367:$V367,Weights!$C$27:$V$27)</f>
        <v>1.555</v>
      </c>
      <c r="X367" s="18" t="n">
        <f aca="false">ROUND($W367,2)</f>
        <v>1.56</v>
      </c>
      <c r="Y367" s="8" t="str">
        <f aca="false">IF($X367&lt;=2,"Low",IF($X367&lt;=3.49,"Medium","High"))</f>
        <v>Low</v>
      </c>
      <c r="Z367" s="8" t="str">
        <f aca="false">IF(OR($F367&gt;=3,$E367=5,$D367=5,$C367=5,$G367=5,$H367=5,$I367=5,$J367=5,Customers!$W367="Yes"),"Yes","No")</f>
        <v>No</v>
      </c>
      <c r="AA367" s="15" t="str">
        <f aca="false">IF($Z367="Yes","High",$Y367)</f>
        <v>Low</v>
      </c>
      <c r="AB367" s="18" t="n">
        <f aca="false">SUMPRODUCT($C367:$G367,Weights!$C$28:$G$28)</f>
        <v>1.2</v>
      </c>
      <c r="AC367" s="18" t="n">
        <f aca="false">SUMPRODUCT($H367:$J367,Weights!$H$28:$J$28)</f>
        <v>1</v>
      </c>
      <c r="AD367" s="18" t="n">
        <f aca="false">SUMPRODUCT($K367:$N367,Weights!$K$28:$N$28)</f>
        <v>2.35</v>
      </c>
      <c r="AE367" s="18" t="n">
        <f aca="false">SUMPRODUCT($O367:$Q367,Weights!$O$28:$Q$28)</f>
        <v>3.25</v>
      </c>
      <c r="AF367" s="18" t="n">
        <f aca="false">SUMPRODUCT($R367:$V367,Weights!$R$28:$V$28)</f>
        <v>1</v>
      </c>
      <c r="AH367" s="18" t="n">
        <f aca="false">SUMPRODUCT($AB367:$AF367,Validation!$D$7:$H$7)</f>
        <v>1.60571428571435</v>
      </c>
      <c r="AI367" s="18" t="n">
        <f aca="false">SUMPRODUCT($AB367:$AF367,Validation!$D$8:$H$8)</f>
        <v>1.50428571428565</v>
      </c>
      <c r="AJ367" s="18" t="n">
        <f aca="false">SUMPRODUCT($AB367:$AF367,Validation!$D$9:$H$9)</f>
        <v>1.6289999999997</v>
      </c>
      <c r="AK367" s="18" t="n">
        <f aca="false">SUMPRODUCT($AB367:$AF367,Validation!$D$10:$H$10)</f>
        <v>1.4810000000003</v>
      </c>
      <c r="AL367" s="18" t="n">
        <f aca="false">SUMPRODUCT($AB367:$AF367,Validation!$D$11:$H$11)</f>
        <v>1.455625</v>
      </c>
      <c r="AM367" s="18" t="n">
        <f aca="false">SUMPRODUCT($AB367:$AF367,Validation!$D$12:$H$12)</f>
        <v>1.654375</v>
      </c>
      <c r="AN367" s="18" t="n">
        <f aca="false">SUMPRODUCT($AB367:$AF367,Validation!$D$13:$H$13)</f>
        <v>1.3666666666663</v>
      </c>
      <c r="AO367" s="18" t="n">
        <f aca="false">SUMPRODUCT($AB367:$AF367,Validation!$D$14:$H$14)</f>
        <v>1.7433333333337</v>
      </c>
      <c r="AP367" s="18" t="n">
        <f aca="false">SUMPRODUCT($AB367:$AF367,Validation!$D$15:$H$15)</f>
        <v>1.62029411764665</v>
      </c>
      <c r="AQ367" s="18" t="n">
        <f aca="false">SUMPRODUCT($AB367:$AF367,Validation!$D$16:$H$16)</f>
        <v>1.48970588235335</v>
      </c>
      <c r="AR367" s="8" t="n">
        <f aca="false">COUNTIF($C367:$V367,"&gt;=4")</f>
        <v>2</v>
      </c>
      <c r="AS367" s="8" t="str">
        <f aca="false">IF($X367&lt;=1.6,"Low",IF($X367&lt;=2.2,"Medium","High"))</f>
        <v>Low</v>
      </c>
      <c r="AT367" s="8" t="str">
        <f aca="false">IF($AR367=0,"Low",IF($AR367&lt;3,"Medium","High"))</f>
        <v>Medium</v>
      </c>
      <c r="AU367" s="8" t="str">
        <f aca="false">IF(OR($AS367="High",$AT367="High"),"High",IF(OR($AS367="Medium",$AT367="Medium"),"Medium","Low"))</f>
        <v>Medium</v>
      </c>
      <c r="AV367" s="15" t="str">
        <f aca="false">IF($Z367="Yes","High",$AU367)</f>
        <v>Medium</v>
      </c>
    </row>
    <row r="368" customFormat="false" ht="15" hidden="false" customHeight="false" outlineLevel="0" collapsed="false">
      <c r="A368" s="7" t="str">
        <f aca="false">Customers!$A368</f>
        <v>NG-10057</v>
      </c>
      <c r="B368" s="7" t="str">
        <f aca="false">Customers!$B368</f>
        <v>Personal</v>
      </c>
      <c r="C368" s="8" t="n">
        <f aca="false">INDEX(Mapping!$C$2:$C$99,MATCH(C$1&amp;"|"&amp;Customers!C368,Mapping!$D$2:$D$99,0))</f>
        <v>1</v>
      </c>
      <c r="D368" s="8" t="n">
        <f aca="false">INDEX(Mapping!$C$2:$C$99,MATCH(D$1&amp;"|"&amp;Customers!D368,Mapping!$D$2:$D$99,0))</f>
        <v>1</v>
      </c>
      <c r="E368" s="8" t="n">
        <f aca="false">INDEX(Mapping!$C$2:$C$99,MATCH(E$1&amp;"|"&amp;Customers!E368,Mapping!$D$2:$D$99,0))</f>
        <v>2</v>
      </c>
      <c r="F368" s="8" t="n">
        <f aca="false">INDEX(Mapping!$C$2:$C$99,MATCH(F$1&amp;"|"&amp;Customers!F368,Mapping!$D$2:$D$99,0))</f>
        <v>1</v>
      </c>
      <c r="G368" s="8" t="n">
        <f aca="false">INDEX(Mapping!$C$2:$C$99,MATCH(G$1&amp;"|"&amp;Customers!G368,Mapping!$D$2:$D$99,0))</f>
        <v>1</v>
      </c>
      <c r="H368" s="8" t="n">
        <f aca="false">INDEX(Mapping!$C$2:$C$99,MATCH(H$1&amp;"|"&amp;Customers!H368,Mapping!$D$2:$D$99,0))</f>
        <v>1</v>
      </c>
      <c r="I368" s="8" t="n">
        <f aca="false">INDEX(Mapping!$C$2:$C$99,MATCH(I$1&amp;"|"&amp;Customers!I368,Mapping!$D$2:$D$99,0))</f>
        <v>1</v>
      </c>
      <c r="J368" s="8" t="n">
        <f aca="false">INDEX(Mapping!$C$2:$C$99,MATCH(J$1&amp;"|"&amp;Customers!J368,Mapping!$D$2:$D$99,0))</f>
        <v>1</v>
      </c>
      <c r="K368" s="8" t="n">
        <f aca="false">INDEX(Mapping!$C$2:$C$99,MATCH(K$1&amp;"|"&amp;Customers!K368,Mapping!$D$2:$D$99,0))</f>
        <v>3</v>
      </c>
      <c r="L368" s="8" t="n">
        <f aca="false">INDEX(Mapping!$C$2:$C$99,MATCH(L$1&amp;"|"&amp;Customers!L368,Mapping!$D$2:$D$99,0))</f>
        <v>1</v>
      </c>
      <c r="M368" s="8" t="n">
        <f aca="false">INDEX(Mapping!$C$2:$C$99,MATCH(M$1&amp;"|"&amp;Customers!M368,Mapping!$D$2:$D$99,0))</f>
        <v>3</v>
      </c>
      <c r="N368" s="8" t="n">
        <f aca="false">INDEX(Mapping!$C$2:$C$99,MATCH(N$1&amp;"|"&amp;Customers!N368,Mapping!$D$2:$D$99,0))</f>
        <v>1</v>
      </c>
      <c r="O368" s="8" t="n">
        <f aca="false">INDEX(Mapping!$C$2:$C$99,MATCH(O$1&amp;"|"&amp;Customers!O368,Mapping!$D$2:$D$99,0))</f>
        <v>3</v>
      </c>
      <c r="P368" s="8" t="n">
        <f aca="false">INDEX(Mapping!$C$2:$C$99,MATCH(P$1&amp;"|"&amp;Customers!P368,Mapping!$D$2:$D$99,0))</f>
        <v>3</v>
      </c>
      <c r="Q368" s="8" t="n">
        <f aca="false">INDEX(Mapping!$C$2:$C$99,MATCH(Q$1&amp;"|"&amp;Customers!Q368,Mapping!$D$2:$D$99,0))</f>
        <v>1</v>
      </c>
      <c r="R368" s="8" t="n">
        <f aca="false">INDEX(Mapping!$C$2:$C$99,MATCH(R$1&amp;"|"&amp;Customers!R368,Mapping!$D$2:$D$99,0))</f>
        <v>1</v>
      </c>
      <c r="S368" s="8" t="n">
        <f aca="false">INDEX(Mapping!$C$2:$C$99,MATCH(S$1&amp;"|"&amp;Customers!S368,Mapping!$D$2:$D$99,0))</f>
        <v>3</v>
      </c>
      <c r="T368" s="8" t="n">
        <f aca="false">INDEX(Mapping!$C$2:$C$99,MATCH(T$1&amp;"|"&amp;Customers!T368,Mapping!$D$2:$D$99,0))</f>
        <v>1</v>
      </c>
      <c r="U368" s="8" t="n">
        <f aca="false">INDEX(Mapping!$C$2:$C$99,MATCH(U$1&amp;"|"&amp;Customers!U368,Mapping!$D$2:$D$99,0))</f>
        <v>1</v>
      </c>
      <c r="V368" s="8" t="n">
        <f aca="false">INDEX(Mapping!$C$2:$C$99,MATCH(V$1&amp;"|"&amp;Customers!V368,Mapping!$D$2:$D$99,0))</f>
        <v>1</v>
      </c>
      <c r="W368" s="17" t="n">
        <f aca="false">SUMPRODUCT($C368:$V368,Weights!$C$27:$V$27)</f>
        <v>1.565</v>
      </c>
      <c r="X368" s="18" t="n">
        <f aca="false">ROUND($W368,2)</f>
        <v>1.57</v>
      </c>
      <c r="Y368" s="8" t="str">
        <f aca="false">IF($X368&lt;=2,"Low",IF($X368&lt;=3.49,"Medium","High"))</f>
        <v>Low</v>
      </c>
      <c r="Z368" s="8" t="str">
        <f aca="false">IF(OR($F368&gt;=3,$E368=5,$D368=5,$C368=5,$G368=5,$H368=5,$I368=5,$J368=5,Customers!$W368="Yes"),"Yes","No")</f>
        <v>No</v>
      </c>
      <c r="AA368" s="15" t="str">
        <f aca="false">IF($Z368="Yes","High",$Y368)</f>
        <v>Low</v>
      </c>
      <c r="AB368" s="18" t="n">
        <f aca="false">SUMPRODUCT($C368:$G368,Weights!$C$28:$G$28)</f>
        <v>1.25</v>
      </c>
      <c r="AC368" s="18" t="n">
        <f aca="false">SUMPRODUCT($H368:$J368,Weights!$H$28:$J$28)</f>
        <v>1</v>
      </c>
      <c r="AD368" s="18" t="n">
        <f aca="false">SUMPRODUCT($K368:$N368,Weights!$K$28:$N$28)</f>
        <v>2.2</v>
      </c>
      <c r="AE368" s="18" t="n">
        <f aca="false">SUMPRODUCT($O368:$Q368,Weights!$O$28:$Q$28)</f>
        <v>2.6</v>
      </c>
      <c r="AF368" s="18" t="n">
        <f aca="false">SUMPRODUCT($R368:$V368,Weights!$R$28:$V$28)</f>
        <v>1.6</v>
      </c>
      <c r="AH368" s="18" t="n">
        <f aca="false">SUMPRODUCT($AB368:$AF368,Validation!$D$7:$H$7)</f>
        <v>1.6100000000002</v>
      </c>
      <c r="AI368" s="18" t="n">
        <f aca="false">SUMPRODUCT($AB368:$AF368,Validation!$D$8:$H$8)</f>
        <v>1.5199999999998</v>
      </c>
      <c r="AJ368" s="18" t="n">
        <f aca="false">SUMPRODUCT($AB368:$AF368,Validation!$D$9:$H$9)</f>
        <v>1.6403333333332</v>
      </c>
      <c r="AK368" s="18" t="n">
        <f aca="false">SUMPRODUCT($AB368:$AF368,Validation!$D$10:$H$10)</f>
        <v>1.4896666666668</v>
      </c>
      <c r="AL368" s="18" t="n">
        <f aca="false">SUMPRODUCT($AB368:$AF368,Validation!$D$11:$H$11)</f>
        <v>1.485625</v>
      </c>
      <c r="AM368" s="18" t="n">
        <f aca="false">SUMPRODUCT($AB368:$AF368,Validation!$D$12:$H$12)</f>
        <v>1.644375</v>
      </c>
      <c r="AN368" s="18" t="n">
        <f aca="false">SUMPRODUCT($AB368:$AF368,Validation!$D$13:$H$13)</f>
        <v>1.44999999999985</v>
      </c>
      <c r="AO368" s="18" t="n">
        <f aca="false">SUMPRODUCT($AB368:$AF368,Validation!$D$14:$H$14)</f>
        <v>1.68000000000015</v>
      </c>
      <c r="AP368" s="18" t="n">
        <f aca="false">SUMPRODUCT($AB368:$AF368,Validation!$D$15:$H$15)</f>
        <v>1.56088235294095</v>
      </c>
      <c r="AQ368" s="18" t="n">
        <f aca="false">SUMPRODUCT($AB368:$AF368,Validation!$D$16:$H$16)</f>
        <v>1.56911764705905</v>
      </c>
      <c r="AR368" s="8" t="n">
        <f aca="false">COUNTIF($C368:$V368,"&gt;=4")</f>
        <v>0</v>
      </c>
      <c r="AS368" s="8" t="str">
        <f aca="false">IF($X368&lt;=1.6,"Low",IF($X368&lt;=2.2,"Medium","High"))</f>
        <v>Low</v>
      </c>
      <c r="AT368" s="8" t="str">
        <f aca="false">IF($AR368=0,"Low",IF($AR368&lt;3,"Medium","High"))</f>
        <v>Low</v>
      </c>
      <c r="AU368" s="8" t="str">
        <f aca="false">IF(OR($AS368="High",$AT368="High"),"High",IF(OR($AS368="Medium",$AT368="Medium"),"Medium","Low"))</f>
        <v>Low</v>
      </c>
      <c r="AV368" s="15" t="str">
        <f aca="false">IF($Z368="Yes","High",$AU368)</f>
        <v>Low</v>
      </c>
    </row>
    <row r="369" customFormat="false" ht="15" hidden="false" customHeight="false" outlineLevel="0" collapsed="false">
      <c r="A369" s="7" t="str">
        <f aca="false">Customers!$A369</f>
        <v>NG-10273</v>
      </c>
      <c r="B369" s="7" t="str">
        <f aca="false">Customers!$B369</f>
        <v>Personal</v>
      </c>
      <c r="C369" s="8" t="n">
        <f aca="false">INDEX(Mapping!$C$2:$C$99,MATCH(C$1&amp;"|"&amp;Customers!C369,Mapping!$D$2:$D$99,0))</f>
        <v>1</v>
      </c>
      <c r="D369" s="8" t="n">
        <f aca="false">INDEX(Mapping!$C$2:$C$99,MATCH(D$1&amp;"|"&amp;Customers!D369,Mapping!$D$2:$D$99,0))</f>
        <v>1</v>
      </c>
      <c r="E369" s="8" t="n">
        <f aca="false">INDEX(Mapping!$C$2:$C$99,MATCH(E$1&amp;"|"&amp;Customers!E369,Mapping!$D$2:$D$99,0))</f>
        <v>1</v>
      </c>
      <c r="F369" s="8" t="n">
        <f aca="false">INDEX(Mapping!$C$2:$C$99,MATCH(F$1&amp;"|"&amp;Customers!F369,Mapping!$D$2:$D$99,0))</f>
        <v>1</v>
      </c>
      <c r="G369" s="8" t="n">
        <f aca="false">INDEX(Mapping!$C$2:$C$99,MATCH(G$1&amp;"|"&amp;Customers!G369,Mapping!$D$2:$D$99,0))</f>
        <v>1</v>
      </c>
      <c r="H369" s="8" t="n">
        <f aca="false">INDEX(Mapping!$C$2:$C$99,MATCH(H$1&amp;"|"&amp;Customers!H369,Mapping!$D$2:$D$99,0))</f>
        <v>1</v>
      </c>
      <c r="I369" s="8" t="n">
        <f aca="false">INDEX(Mapping!$C$2:$C$99,MATCH(I$1&amp;"|"&amp;Customers!I369,Mapping!$D$2:$D$99,0))</f>
        <v>2</v>
      </c>
      <c r="J369" s="8" t="n">
        <f aca="false">INDEX(Mapping!$C$2:$C$99,MATCH(J$1&amp;"|"&amp;Customers!J369,Mapping!$D$2:$D$99,0))</f>
        <v>2</v>
      </c>
      <c r="K369" s="8" t="n">
        <f aca="false">INDEX(Mapping!$C$2:$C$99,MATCH(K$1&amp;"|"&amp;Customers!K369,Mapping!$D$2:$D$99,0))</f>
        <v>3</v>
      </c>
      <c r="L369" s="8" t="n">
        <f aca="false">INDEX(Mapping!$C$2:$C$99,MATCH(L$1&amp;"|"&amp;Customers!L369,Mapping!$D$2:$D$99,0))</f>
        <v>1</v>
      </c>
      <c r="M369" s="8" t="n">
        <f aca="false">INDEX(Mapping!$C$2:$C$99,MATCH(M$1&amp;"|"&amp;Customers!M369,Mapping!$D$2:$D$99,0))</f>
        <v>2</v>
      </c>
      <c r="N369" s="8" t="n">
        <f aca="false">INDEX(Mapping!$C$2:$C$99,MATCH(N$1&amp;"|"&amp;Customers!N369,Mapping!$D$2:$D$99,0))</f>
        <v>1</v>
      </c>
      <c r="O369" s="8" t="n">
        <f aca="false">INDEX(Mapping!$C$2:$C$99,MATCH(O$1&amp;"|"&amp;Customers!O369,Mapping!$D$2:$D$99,0))</f>
        <v>3</v>
      </c>
      <c r="P369" s="8" t="n">
        <f aca="false">INDEX(Mapping!$C$2:$C$99,MATCH(P$1&amp;"|"&amp;Customers!P369,Mapping!$D$2:$D$99,0))</f>
        <v>1</v>
      </c>
      <c r="Q369" s="8" t="n">
        <f aca="false">INDEX(Mapping!$C$2:$C$99,MATCH(Q$1&amp;"|"&amp;Customers!Q369,Mapping!$D$2:$D$99,0))</f>
        <v>1</v>
      </c>
      <c r="R369" s="8" t="n">
        <f aca="false">INDEX(Mapping!$C$2:$C$99,MATCH(R$1&amp;"|"&amp;Customers!R369,Mapping!$D$2:$D$99,0))</f>
        <v>1</v>
      </c>
      <c r="S369" s="8" t="n">
        <f aca="false">INDEX(Mapping!$C$2:$C$99,MATCH(S$1&amp;"|"&amp;Customers!S369,Mapping!$D$2:$D$99,0))</f>
        <v>2</v>
      </c>
      <c r="T369" s="8" t="n">
        <f aca="false">INDEX(Mapping!$C$2:$C$99,MATCH(T$1&amp;"|"&amp;Customers!T369,Mapping!$D$2:$D$99,0))</f>
        <v>1</v>
      </c>
      <c r="U369" s="8" t="n">
        <f aca="false">INDEX(Mapping!$C$2:$C$99,MATCH(U$1&amp;"|"&amp;Customers!U369,Mapping!$D$2:$D$99,0))</f>
        <v>1</v>
      </c>
      <c r="V369" s="8" t="n">
        <f aca="false">INDEX(Mapping!$C$2:$C$99,MATCH(V$1&amp;"|"&amp;Customers!V369,Mapping!$D$2:$D$99,0))</f>
        <v>1</v>
      </c>
      <c r="W369" s="17" t="n">
        <f aca="false">SUMPRODUCT($C369:$V369,Weights!$C$27:$V$27)</f>
        <v>1.475</v>
      </c>
      <c r="X369" s="18" t="n">
        <f aca="false">ROUND($W369,2)</f>
        <v>1.48</v>
      </c>
      <c r="Y369" s="8" t="str">
        <f aca="false">IF($X369&lt;=2,"Low",IF($X369&lt;=3.49,"Medium","High"))</f>
        <v>Low</v>
      </c>
      <c r="Z369" s="8" t="str">
        <f aca="false">IF(OR($F369&gt;=3,$E369=5,$D369=5,$C369=5,$G369=5,$H369=5,$I369=5,$J369=5,Customers!$W369="Yes"),"Yes","No")</f>
        <v>No</v>
      </c>
      <c r="AA369" s="15" t="str">
        <f aca="false">IF($Z369="Yes","High",$Y369)</f>
        <v>Low</v>
      </c>
      <c r="AB369" s="18" t="n">
        <f aca="false">SUMPRODUCT($C369:$G369,Weights!$C$28:$G$28)</f>
        <v>1</v>
      </c>
      <c r="AC369" s="18" t="n">
        <f aca="false">SUMPRODUCT($H369:$J369,Weights!$H$28:$J$28)</f>
        <v>1.6</v>
      </c>
      <c r="AD369" s="18" t="n">
        <f aca="false">SUMPRODUCT($K369:$N369,Weights!$K$28:$N$28)</f>
        <v>1.95</v>
      </c>
      <c r="AE369" s="18" t="n">
        <f aca="false">SUMPRODUCT($O369:$Q369,Weights!$O$28:$Q$28)</f>
        <v>1.9</v>
      </c>
      <c r="AF369" s="18" t="n">
        <f aca="false">SUMPRODUCT($R369:$V369,Weights!$R$28:$V$28)</f>
        <v>1.3</v>
      </c>
      <c r="AH369" s="18" t="n">
        <f aca="false">SUMPRODUCT($AB369:$AF369,Validation!$D$7:$H$7)</f>
        <v>1.54285714285695</v>
      </c>
      <c r="AI369" s="18" t="n">
        <f aca="false">SUMPRODUCT($AB369:$AF369,Validation!$D$8:$H$8)</f>
        <v>1.40714285714305</v>
      </c>
      <c r="AJ369" s="18" t="n">
        <f aca="false">SUMPRODUCT($AB369:$AF369,Validation!$D$9:$H$9)</f>
        <v>1.45833333333335</v>
      </c>
      <c r="AK369" s="18" t="n">
        <f aca="false">SUMPRODUCT($AB369:$AF369,Validation!$D$10:$H$10)</f>
        <v>1.49166666666665</v>
      </c>
      <c r="AL369" s="18" t="n">
        <f aca="false">SUMPRODUCT($AB369:$AF369,Validation!$D$11:$H$11)</f>
        <v>1.415625</v>
      </c>
      <c r="AM369" s="18" t="n">
        <f aca="false">SUMPRODUCT($AB369:$AF369,Validation!$D$12:$H$12)</f>
        <v>1.534375</v>
      </c>
      <c r="AN369" s="18" t="n">
        <f aca="false">SUMPRODUCT($AB369:$AF369,Validation!$D$13:$H$13)</f>
        <v>1.4277777777778</v>
      </c>
      <c r="AO369" s="18" t="n">
        <f aca="false">SUMPRODUCT($AB369:$AF369,Validation!$D$14:$H$14)</f>
        <v>1.5222222222222</v>
      </c>
      <c r="AP369" s="18" t="n">
        <f aca="false">SUMPRODUCT($AB369:$AF369,Validation!$D$15:$H$15)</f>
        <v>1.49558823529415</v>
      </c>
      <c r="AQ369" s="18" t="n">
        <f aca="false">SUMPRODUCT($AB369:$AF369,Validation!$D$16:$H$16)</f>
        <v>1.45441176470585</v>
      </c>
      <c r="AR369" s="8" t="n">
        <f aca="false">COUNTIF($C369:$V369,"&gt;=4")</f>
        <v>0</v>
      </c>
      <c r="AS369" s="8" t="str">
        <f aca="false">IF($X369&lt;=1.6,"Low",IF($X369&lt;=2.2,"Medium","High"))</f>
        <v>Low</v>
      </c>
      <c r="AT369" s="8" t="str">
        <f aca="false">IF($AR369=0,"Low",IF($AR369&lt;3,"Medium","High"))</f>
        <v>Low</v>
      </c>
      <c r="AU369" s="8" t="str">
        <f aca="false">IF(OR($AS369="High",$AT369="High"),"High",IF(OR($AS369="Medium",$AT369="Medium"),"Medium","Low"))</f>
        <v>Low</v>
      </c>
      <c r="AV369" s="15" t="str">
        <f aca="false">IF($Z369="Yes","High",$AU369)</f>
        <v>Low</v>
      </c>
    </row>
    <row r="370" customFormat="false" ht="15" hidden="false" customHeight="false" outlineLevel="0" collapsed="false">
      <c r="A370" s="7" t="str">
        <f aca="false">Customers!$A370</f>
        <v>NG-10200</v>
      </c>
      <c r="B370" s="7" t="str">
        <f aca="false">Customers!$B370</f>
        <v>Personal</v>
      </c>
      <c r="C370" s="8" t="n">
        <f aca="false">INDEX(Mapping!$C$2:$C$99,MATCH(C$1&amp;"|"&amp;Customers!C370,Mapping!$D$2:$D$99,0))</f>
        <v>2</v>
      </c>
      <c r="D370" s="8" t="n">
        <f aca="false">INDEX(Mapping!$C$2:$C$99,MATCH(D$1&amp;"|"&amp;Customers!D370,Mapping!$D$2:$D$99,0))</f>
        <v>1</v>
      </c>
      <c r="E370" s="8" t="n">
        <f aca="false">INDEX(Mapping!$C$2:$C$99,MATCH(E$1&amp;"|"&amp;Customers!E370,Mapping!$D$2:$D$99,0))</f>
        <v>1</v>
      </c>
      <c r="F370" s="8" t="n">
        <f aca="false">INDEX(Mapping!$C$2:$C$99,MATCH(F$1&amp;"|"&amp;Customers!F370,Mapping!$D$2:$D$99,0))</f>
        <v>1</v>
      </c>
      <c r="G370" s="8" t="n">
        <f aca="false">INDEX(Mapping!$C$2:$C$99,MATCH(G$1&amp;"|"&amp;Customers!G370,Mapping!$D$2:$D$99,0))</f>
        <v>1</v>
      </c>
      <c r="H370" s="8" t="n">
        <f aca="false">INDEX(Mapping!$C$2:$C$99,MATCH(H$1&amp;"|"&amp;Customers!H370,Mapping!$D$2:$D$99,0))</f>
        <v>1</v>
      </c>
      <c r="I370" s="8" t="n">
        <f aca="false">INDEX(Mapping!$C$2:$C$99,MATCH(I$1&amp;"|"&amp;Customers!I370,Mapping!$D$2:$D$99,0))</f>
        <v>1</v>
      </c>
      <c r="J370" s="8" t="n">
        <f aca="false">INDEX(Mapping!$C$2:$C$99,MATCH(J$1&amp;"|"&amp;Customers!J370,Mapping!$D$2:$D$99,0))</f>
        <v>1</v>
      </c>
      <c r="K370" s="8" t="n">
        <f aca="false">INDEX(Mapping!$C$2:$C$99,MATCH(K$1&amp;"|"&amp;Customers!K370,Mapping!$D$2:$D$99,0))</f>
        <v>2</v>
      </c>
      <c r="L370" s="8" t="n">
        <f aca="false">INDEX(Mapping!$C$2:$C$99,MATCH(L$1&amp;"|"&amp;Customers!L370,Mapping!$D$2:$D$99,0))</f>
        <v>4</v>
      </c>
      <c r="M370" s="8" t="n">
        <f aca="false">INDEX(Mapping!$C$2:$C$99,MATCH(M$1&amp;"|"&amp;Customers!M370,Mapping!$D$2:$D$99,0))</f>
        <v>4</v>
      </c>
      <c r="N370" s="8" t="n">
        <f aca="false">INDEX(Mapping!$C$2:$C$99,MATCH(N$1&amp;"|"&amp;Customers!N370,Mapping!$D$2:$D$99,0))</f>
        <v>1</v>
      </c>
      <c r="O370" s="8" t="n">
        <f aca="false">INDEX(Mapping!$C$2:$C$99,MATCH(O$1&amp;"|"&amp;Customers!O370,Mapping!$D$2:$D$99,0))</f>
        <v>3</v>
      </c>
      <c r="P370" s="8" t="n">
        <f aca="false">INDEX(Mapping!$C$2:$C$99,MATCH(P$1&amp;"|"&amp;Customers!P370,Mapping!$D$2:$D$99,0))</f>
        <v>3</v>
      </c>
      <c r="Q370" s="8" t="n">
        <f aca="false">INDEX(Mapping!$C$2:$C$99,MATCH(Q$1&amp;"|"&amp;Customers!Q370,Mapping!$D$2:$D$99,0))</f>
        <v>3</v>
      </c>
      <c r="R370" s="8" t="n">
        <f aca="false">INDEX(Mapping!$C$2:$C$99,MATCH(R$1&amp;"|"&amp;Customers!R370,Mapping!$D$2:$D$99,0))</f>
        <v>2</v>
      </c>
      <c r="S370" s="8" t="n">
        <f aca="false">INDEX(Mapping!$C$2:$C$99,MATCH(S$1&amp;"|"&amp;Customers!S370,Mapping!$D$2:$D$99,0))</f>
        <v>4</v>
      </c>
      <c r="T370" s="8" t="n">
        <f aca="false">INDEX(Mapping!$C$2:$C$99,MATCH(T$1&amp;"|"&amp;Customers!T370,Mapping!$D$2:$D$99,0))</f>
        <v>1</v>
      </c>
      <c r="U370" s="8" t="n">
        <f aca="false">INDEX(Mapping!$C$2:$C$99,MATCH(U$1&amp;"|"&amp;Customers!U370,Mapping!$D$2:$D$99,0))</f>
        <v>1</v>
      </c>
      <c r="V370" s="8" t="n">
        <f aca="false">INDEX(Mapping!$C$2:$C$99,MATCH(V$1&amp;"|"&amp;Customers!V370,Mapping!$D$2:$D$99,0))</f>
        <v>1</v>
      </c>
      <c r="W370" s="17" t="n">
        <f aca="false">SUMPRODUCT($C370:$V370,Weights!$C$27:$V$27)</f>
        <v>1.8025</v>
      </c>
      <c r="X370" s="18" t="n">
        <f aca="false">ROUND($W370,2)</f>
        <v>1.8</v>
      </c>
      <c r="Y370" s="8" t="str">
        <f aca="false">IF($X370&lt;=2,"Low",IF($X370&lt;=3.49,"Medium","High"))</f>
        <v>Low</v>
      </c>
      <c r="Z370" s="8" t="str">
        <f aca="false">IF(OR($F370&gt;=3,$E370=5,$D370=5,$C370=5,$G370=5,$H370=5,$I370=5,$J370=5,Customers!$W370="Yes"),"Yes","No")</f>
        <v>No</v>
      </c>
      <c r="AA370" s="15" t="str">
        <f aca="false">IF($Z370="Yes","High",$Y370)</f>
        <v>Low</v>
      </c>
      <c r="AB370" s="18" t="n">
        <f aca="false">SUMPRODUCT($C370:$G370,Weights!$C$28:$G$28)</f>
        <v>1.2</v>
      </c>
      <c r="AC370" s="18" t="n">
        <f aca="false">SUMPRODUCT($H370:$J370,Weights!$H$28:$J$28)</f>
        <v>1</v>
      </c>
      <c r="AD370" s="18" t="n">
        <f aca="false">SUMPRODUCT($K370:$N370,Weights!$K$28:$N$28)</f>
        <v>2.85</v>
      </c>
      <c r="AE370" s="18" t="n">
        <f aca="false">SUMPRODUCT($O370:$Q370,Weights!$O$28:$Q$28)</f>
        <v>3</v>
      </c>
      <c r="AF370" s="18" t="n">
        <f aca="false">SUMPRODUCT($R370:$V370,Weights!$R$28:$V$28)</f>
        <v>2.15</v>
      </c>
      <c r="AH370" s="18" t="n">
        <f aca="false">SUMPRODUCT($AB370:$AF370,Validation!$D$7:$H$7)</f>
        <v>1.8885714285717</v>
      </c>
      <c r="AI370" s="18" t="n">
        <f aca="false">SUMPRODUCT($AB370:$AF370,Validation!$D$8:$H$8)</f>
        <v>1.7164285714283</v>
      </c>
      <c r="AJ370" s="18" t="n">
        <f aca="false">SUMPRODUCT($AB370:$AF370,Validation!$D$9:$H$9)</f>
        <v>1.90949999999995</v>
      </c>
      <c r="AK370" s="18" t="n">
        <f aca="false">SUMPRODUCT($AB370:$AF370,Validation!$D$10:$H$10)</f>
        <v>1.69550000000005</v>
      </c>
      <c r="AL370" s="18" t="n">
        <f aca="false">SUMPRODUCT($AB370:$AF370,Validation!$D$11:$H$11)</f>
        <v>1.6715625</v>
      </c>
      <c r="AM370" s="18" t="n">
        <f aca="false">SUMPRODUCT($AB370:$AF370,Validation!$D$12:$H$12)</f>
        <v>1.9334375</v>
      </c>
      <c r="AN370" s="18" t="n">
        <f aca="false">SUMPRODUCT($AB370:$AF370,Validation!$D$13:$H$13)</f>
        <v>1.66944444444435</v>
      </c>
      <c r="AO370" s="18" t="n">
        <f aca="false">SUMPRODUCT($AB370:$AF370,Validation!$D$14:$H$14)</f>
        <v>1.93555555555565</v>
      </c>
      <c r="AP370" s="18" t="n">
        <f aca="false">SUMPRODUCT($AB370:$AF370,Validation!$D$15:$H$15)</f>
        <v>1.76161764705865</v>
      </c>
      <c r="AQ370" s="18" t="n">
        <f aca="false">SUMPRODUCT($AB370:$AF370,Validation!$D$16:$H$16)</f>
        <v>1.84338235294135</v>
      </c>
      <c r="AR370" s="8" t="n">
        <f aca="false">COUNTIF($C370:$V370,"&gt;=4")</f>
        <v>3</v>
      </c>
      <c r="AS370" s="8" t="str">
        <f aca="false">IF($X370&lt;=1.6,"Low",IF($X370&lt;=2.2,"Medium","High"))</f>
        <v>Medium</v>
      </c>
      <c r="AT370" s="8" t="str">
        <f aca="false">IF($AR370=0,"Low",IF($AR370&lt;3,"Medium","High"))</f>
        <v>High</v>
      </c>
      <c r="AU370" s="8" t="str">
        <f aca="false">IF(OR($AS370="High",$AT370="High"),"High",IF(OR($AS370="Medium",$AT370="Medium"),"Medium","Low"))</f>
        <v>High</v>
      </c>
      <c r="AV370" s="15" t="str">
        <f aca="false">IF($Z370="Yes","High",$AU370)</f>
        <v>High</v>
      </c>
    </row>
    <row r="371" customFormat="false" ht="15" hidden="false" customHeight="false" outlineLevel="0" collapsed="false">
      <c r="A371" s="7" t="str">
        <f aca="false">Customers!$A371</f>
        <v>NG-10005</v>
      </c>
      <c r="B371" s="7" t="str">
        <f aca="false">Customers!$B371</f>
        <v>Personal</v>
      </c>
      <c r="C371" s="8" t="n">
        <f aca="false">INDEX(Mapping!$C$2:$C$99,MATCH(C$1&amp;"|"&amp;Customers!C371,Mapping!$D$2:$D$99,0))</f>
        <v>2</v>
      </c>
      <c r="D371" s="8" t="n">
        <f aca="false">INDEX(Mapping!$C$2:$C$99,MATCH(D$1&amp;"|"&amp;Customers!D371,Mapping!$D$2:$D$99,0))</f>
        <v>1</v>
      </c>
      <c r="E371" s="8" t="n">
        <f aca="false">INDEX(Mapping!$C$2:$C$99,MATCH(E$1&amp;"|"&amp;Customers!E371,Mapping!$D$2:$D$99,0))</f>
        <v>1</v>
      </c>
      <c r="F371" s="8" t="n">
        <f aca="false">INDEX(Mapping!$C$2:$C$99,MATCH(F$1&amp;"|"&amp;Customers!F371,Mapping!$D$2:$D$99,0))</f>
        <v>1</v>
      </c>
      <c r="G371" s="8" t="n">
        <f aca="false">INDEX(Mapping!$C$2:$C$99,MATCH(G$1&amp;"|"&amp;Customers!G371,Mapping!$D$2:$D$99,0))</f>
        <v>1</v>
      </c>
      <c r="H371" s="8" t="n">
        <f aca="false">INDEX(Mapping!$C$2:$C$99,MATCH(H$1&amp;"|"&amp;Customers!H371,Mapping!$D$2:$D$99,0))</f>
        <v>1</v>
      </c>
      <c r="I371" s="8" t="n">
        <f aca="false">INDEX(Mapping!$C$2:$C$99,MATCH(I$1&amp;"|"&amp;Customers!I371,Mapping!$D$2:$D$99,0))</f>
        <v>1</v>
      </c>
      <c r="J371" s="8" t="n">
        <f aca="false">INDEX(Mapping!$C$2:$C$99,MATCH(J$1&amp;"|"&amp;Customers!J371,Mapping!$D$2:$D$99,0))</f>
        <v>1</v>
      </c>
      <c r="K371" s="8" t="n">
        <f aca="false">INDEX(Mapping!$C$2:$C$99,MATCH(K$1&amp;"|"&amp;Customers!K371,Mapping!$D$2:$D$99,0))</f>
        <v>2</v>
      </c>
      <c r="L371" s="8" t="n">
        <f aca="false">INDEX(Mapping!$C$2:$C$99,MATCH(L$1&amp;"|"&amp;Customers!L371,Mapping!$D$2:$D$99,0))</f>
        <v>2</v>
      </c>
      <c r="M371" s="8" t="n">
        <f aca="false">INDEX(Mapping!$C$2:$C$99,MATCH(M$1&amp;"|"&amp;Customers!M371,Mapping!$D$2:$D$99,0))</f>
        <v>1</v>
      </c>
      <c r="N371" s="8" t="n">
        <f aca="false">INDEX(Mapping!$C$2:$C$99,MATCH(N$1&amp;"|"&amp;Customers!N371,Mapping!$D$2:$D$99,0))</f>
        <v>1</v>
      </c>
      <c r="O371" s="8" t="n">
        <f aca="false">INDEX(Mapping!$C$2:$C$99,MATCH(O$1&amp;"|"&amp;Customers!O371,Mapping!$D$2:$D$99,0))</f>
        <v>3</v>
      </c>
      <c r="P371" s="8" t="n">
        <f aca="false">INDEX(Mapping!$C$2:$C$99,MATCH(P$1&amp;"|"&amp;Customers!P371,Mapping!$D$2:$D$99,0))</f>
        <v>3</v>
      </c>
      <c r="Q371" s="8" t="n">
        <f aca="false">INDEX(Mapping!$C$2:$C$99,MATCH(Q$1&amp;"|"&amp;Customers!Q371,Mapping!$D$2:$D$99,0))</f>
        <v>1</v>
      </c>
      <c r="R371" s="8" t="n">
        <f aca="false">INDEX(Mapping!$C$2:$C$99,MATCH(R$1&amp;"|"&amp;Customers!R371,Mapping!$D$2:$D$99,0))</f>
        <v>1</v>
      </c>
      <c r="S371" s="8" t="n">
        <f aca="false">INDEX(Mapping!$C$2:$C$99,MATCH(S$1&amp;"|"&amp;Customers!S371,Mapping!$D$2:$D$99,0))</f>
        <v>1</v>
      </c>
      <c r="T371" s="8" t="n">
        <f aca="false">INDEX(Mapping!$C$2:$C$99,MATCH(T$1&amp;"|"&amp;Customers!T371,Mapping!$D$2:$D$99,0))</f>
        <v>1</v>
      </c>
      <c r="U371" s="8" t="n">
        <f aca="false">INDEX(Mapping!$C$2:$C$99,MATCH(U$1&amp;"|"&amp;Customers!U371,Mapping!$D$2:$D$99,0))</f>
        <v>1</v>
      </c>
      <c r="V371" s="8" t="n">
        <f aca="false">INDEX(Mapping!$C$2:$C$99,MATCH(V$1&amp;"|"&amp;Customers!V371,Mapping!$D$2:$D$99,0))</f>
        <v>1</v>
      </c>
      <c r="W371" s="17" t="n">
        <f aca="false">SUMPRODUCT($C371:$V371,Weights!$C$27:$V$27)</f>
        <v>1.34</v>
      </c>
      <c r="X371" s="18" t="n">
        <f aca="false">ROUND($W371,2)</f>
        <v>1.34</v>
      </c>
      <c r="Y371" s="8" t="str">
        <f aca="false">IF($X371&lt;=2,"Low",IF($X371&lt;=3.49,"Medium","High"))</f>
        <v>Low</v>
      </c>
      <c r="Z371" s="8" t="str">
        <f aca="false">IF(OR($F371&gt;=3,$E371=5,$D371=5,$C371=5,$G371=5,$H371=5,$I371=5,$J371=5,Customers!$W371="Yes"),"Yes","No")</f>
        <v>No</v>
      </c>
      <c r="AA371" s="15" t="str">
        <f aca="false">IF($Z371="Yes","High",$Y371)</f>
        <v>Low</v>
      </c>
      <c r="AB371" s="18" t="n">
        <f aca="false">SUMPRODUCT($C371:$G371,Weights!$C$28:$G$28)</f>
        <v>1.2</v>
      </c>
      <c r="AC371" s="18" t="n">
        <f aca="false">SUMPRODUCT($H371:$J371,Weights!$H$28:$J$28)</f>
        <v>1</v>
      </c>
      <c r="AD371" s="18" t="n">
        <f aca="false">SUMPRODUCT($K371:$N371,Weights!$K$28:$N$28)</f>
        <v>1.6</v>
      </c>
      <c r="AE371" s="18" t="n">
        <f aca="false">SUMPRODUCT($O371:$Q371,Weights!$O$28:$Q$28)</f>
        <v>2.6</v>
      </c>
      <c r="AF371" s="18" t="n">
        <f aca="false">SUMPRODUCT($R371:$V371,Weights!$R$28:$V$28)</f>
        <v>1</v>
      </c>
      <c r="AH371" s="18" t="n">
        <f aca="false">SUMPRODUCT($AB371:$AF371,Validation!$D$7:$H$7)</f>
        <v>1.3600000000002</v>
      </c>
      <c r="AI371" s="18" t="n">
        <f aca="false">SUMPRODUCT($AB371:$AF371,Validation!$D$8:$H$8)</f>
        <v>1.3199999999998</v>
      </c>
      <c r="AJ371" s="18" t="n">
        <f aca="false">SUMPRODUCT($AB371:$AF371,Validation!$D$9:$H$9)</f>
        <v>1.385333333333</v>
      </c>
      <c r="AK371" s="18" t="n">
        <f aca="false">SUMPRODUCT($AB371:$AF371,Validation!$D$10:$H$10)</f>
        <v>1.294666666667</v>
      </c>
      <c r="AL371" s="18" t="n">
        <f aca="false">SUMPRODUCT($AB371:$AF371,Validation!$D$11:$H$11)</f>
        <v>1.3075</v>
      </c>
      <c r="AM371" s="18" t="n">
        <f aca="false">SUMPRODUCT($AB371:$AF371,Validation!$D$12:$H$12)</f>
        <v>1.3725</v>
      </c>
      <c r="AN371" s="18" t="n">
        <f aca="false">SUMPRODUCT($AB371:$AF371,Validation!$D$13:$H$13)</f>
        <v>1.1999999999998</v>
      </c>
      <c r="AO371" s="18" t="n">
        <f aca="false">SUMPRODUCT($AB371:$AF371,Validation!$D$14:$H$14)</f>
        <v>1.4800000000002</v>
      </c>
      <c r="AP371" s="18" t="n">
        <f aca="false">SUMPRODUCT($AB371:$AF371,Validation!$D$15:$H$15)</f>
        <v>1.3799999999996</v>
      </c>
      <c r="AQ371" s="18" t="n">
        <f aca="false">SUMPRODUCT($AB371:$AF371,Validation!$D$16:$H$16)</f>
        <v>1.3000000000004</v>
      </c>
      <c r="AR371" s="8" t="n">
        <f aca="false">COUNTIF($C371:$V371,"&gt;=4")</f>
        <v>0</v>
      </c>
      <c r="AS371" s="8" t="str">
        <f aca="false">IF($X371&lt;=1.6,"Low",IF($X371&lt;=2.2,"Medium","High"))</f>
        <v>Low</v>
      </c>
      <c r="AT371" s="8" t="str">
        <f aca="false">IF($AR371=0,"Low",IF($AR371&lt;3,"Medium","High"))</f>
        <v>Low</v>
      </c>
      <c r="AU371" s="8" t="str">
        <f aca="false">IF(OR($AS371="High",$AT371="High"),"High",IF(OR($AS371="Medium",$AT371="Medium"),"Medium","Low"))</f>
        <v>Low</v>
      </c>
      <c r="AV371" s="15" t="str">
        <f aca="false">IF($Z371="Yes","High",$AU371)</f>
        <v>Low</v>
      </c>
    </row>
    <row r="372" customFormat="false" ht="15" hidden="false" customHeight="false" outlineLevel="0" collapsed="false">
      <c r="A372" s="7" t="str">
        <f aca="false">Customers!$A372</f>
        <v>NG-10397</v>
      </c>
      <c r="B372" s="7" t="str">
        <f aca="false">Customers!$B372</f>
        <v>Limited company</v>
      </c>
      <c r="C372" s="8" t="n">
        <f aca="false">INDEX(Mapping!$C$2:$C$99,MATCH(C$1&amp;"|"&amp;Customers!C372,Mapping!$D$2:$D$99,0))</f>
        <v>3</v>
      </c>
      <c r="D372" s="8" t="n">
        <f aca="false">INDEX(Mapping!$C$2:$C$99,MATCH(D$1&amp;"|"&amp;Customers!D372,Mapping!$D$2:$D$99,0))</f>
        <v>5</v>
      </c>
      <c r="E372" s="8" t="n">
        <f aca="false">INDEX(Mapping!$C$2:$C$99,MATCH(E$1&amp;"|"&amp;Customers!E372,Mapping!$D$2:$D$99,0))</f>
        <v>5</v>
      </c>
      <c r="F372" s="8" t="n">
        <f aca="false">INDEX(Mapping!$C$2:$C$99,MATCH(F$1&amp;"|"&amp;Customers!F372,Mapping!$D$2:$D$99,0))</f>
        <v>1</v>
      </c>
      <c r="G372" s="8" t="n">
        <f aca="false">INDEX(Mapping!$C$2:$C$99,MATCH(G$1&amp;"|"&amp;Customers!G372,Mapping!$D$2:$D$99,0))</f>
        <v>1</v>
      </c>
      <c r="H372" s="8" t="n">
        <f aca="false">INDEX(Mapping!$C$2:$C$99,MATCH(H$1&amp;"|"&amp;Customers!H372,Mapping!$D$2:$D$99,0))</f>
        <v>1</v>
      </c>
      <c r="I372" s="8" t="n">
        <f aca="false">INDEX(Mapping!$C$2:$C$99,MATCH(I$1&amp;"|"&amp;Customers!I372,Mapping!$D$2:$D$99,0))</f>
        <v>2</v>
      </c>
      <c r="J372" s="8" t="n">
        <f aca="false">INDEX(Mapping!$C$2:$C$99,MATCH(J$1&amp;"|"&amp;Customers!J372,Mapping!$D$2:$D$99,0))</f>
        <v>1</v>
      </c>
      <c r="K372" s="8" t="n">
        <f aca="false">INDEX(Mapping!$C$2:$C$99,MATCH(K$1&amp;"|"&amp;Customers!K372,Mapping!$D$2:$D$99,0))</f>
        <v>4</v>
      </c>
      <c r="L372" s="8" t="n">
        <f aca="false">INDEX(Mapping!$C$2:$C$99,MATCH(L$1&amp;"|"&amp;Customers!L372,Mapping!$D$2:$D$99,0))</f>
        <v>3</v>
      </c>
      <c r="M372" s="8" t="n">
        <f aca="false">INDEX(Mapping!$C$2:$C$99,MATCH(M$1&amp;"|"&amp;Customers!M372,Mapping!$D$2:$D$99,0))</f>
        <v>4</v>
      </c>
      <c r="N372" s="8" t="n">
        <f aca="false">INDEX(Mapping!$C$2:$C$99,MATCH(N$1&amp;"|"&amp;Customers!N372,Mapping!$D$2:$D$99,0))</f>
        <v>1</v>
      </c>
      <c r="O372" s="8" t="n">
        <f aca="false">INDEX(Mapping!$C$2:$C$99,MATCH(O$1&amp;"|"&amp;Customers!O372,Mapping!$D$2:$D$99,0))</f>
        <v>3</v>
      </c>
      <c r="P372" s="8" t="n">
        <f aca="false">INDEX(Mapping!$C$2:$C$99,MATCH(P$1&amp;"|"&amp;Customers!P372,Mapping!$D$2:$D$99,0))</f>
        <v>4</v>
      </c>
      <c r="Q372" s="8" t="n">
        <f aca="false">INDEX(Mapping!$C$2:$C$99,MATCH(Q$1&amp;"|"&amp;Customers!Q372,Mapping!$D$2:$D$99,0))</f>
        <v>1</v>
      </c>
      <c r="R372" s="8" t="n">
        <f aca="false">INDEX(Mapping!$C$2:$C$99,MATCH(R$1&amp;"|"&amp;Customers!R372,Mapping!$D$2:$D$99,0))</f>
        <v>2</v>
      </c>
      <c r="S372" s="8" t="n">
        <f aca="false">INDEX(Mapping!$C$2:$C$99,MATCH(S$1&amp;"|"&amp;Customers!S372,Mapping!$D$2:$D$99,0))</f>
        <v>3</v>
      </c>
      <c r="T372" s="8" t="n">
        <f aca="false">INDEX(Mapping!$C$2:$C$99,MATCH(T$1&amp;"|"&amp;Customers!T372,Mapping!$D$2:$D$99,0))</f>
        <v>1</v>
      </c>
      <c r="U372" s="8" t="n">
        <f aca="false">INDEX(Mapping!$C$2:$C$99,MATCH(U$1&amp;"|"&amp;Customers!U372,Mapping!$D$2:$D$99,0))</f>
        <v>2</v>
      </c>
      <c r="V372" s="8" t="n">
        <f aca="false">INDEX(Mapping!$C$2:$C$99,MATCH(V$1&amp;"|"&amp;Customers!V372,Mapping!$D$2:$D$99,0))</f>
        <v>3</v>
      </c>
      <c r="W372" s="17" t="n">
        <f aca="false">SUMPRODUCT($C372:$V372,Weights!$C$27:$V$27)</f>
        <v>2.545</v>
      </c>
      <c r="X372" s="18" t="n">
        <f aca="false">ROUND($W372,2)</f>
        <v>2.55</v>
      </c>
      <c r="Y372" s="8" t="str">
        <f aca="false">IF($X372&lt;=2,"Low",IF($X372&lt;=3.49,"Medium","High"))</f>
        <v>Medium</v>
      </c>
      <c r="Z372" s="8" t="str">
        <f aca="false">IF(OR($F372&gt;=3,$E372=5,$D372=5,$C372=5,$G372=5,$H372=5,$I372=5,$J372=5,Customers!$W372="Yes"),"Yes","No")</f>
        <v>Yes</v>
      </c>
      <c r="AA372" s="15" t="str">
        <f aca="false">IF($Z372="Yes","High",$Y372)</f>
        <v>High</v>
      </c>
      <c r="AB372" s="18" t="n">
        <f aca="false">SUMPRODUCT($C372:$G372,Weights!$C$28:$G$28)</f>
        <v>3.2</v>
      </c>
      <c r="AC372" s="18" t="n">
        <f aca="false">SUMPRODUCT($H372:$J372,Weights!$H$28:$J$28)</f>
        <v>1.2</v>
      </c>
      <c r="AD372" s="18" t="n">
        <f aca="false">SUMPRODUCT($K372:$N372,Weights!$K$28:$N$28)</f>
        <v>3.3</v>
      </c>
      <c r="AE372" s="18" t="n">
        <f aca="false">SUMPRODUCT($O372:$Q372,Weights!$O$28:$Q$28)</f>
        <v>2.95</v>
      </c>
      <c r="AF372" s="18" t="n">
        <f aca="false">SUMPRODUCT($R372:$V372,Weights!$R$28:$V$28)</f>
        <v>2.2</v>
      </c>
      <c r="AH372" s="18" t="n">
        <f aca="false">SUMPRODUCT($AB372:$AF372,Validation!$D$7:$H$7)</f>
        <v>2.4514285714286</v>
      </c>
      <c r="AI372" s="18" t="n">
        <f aca="false">SUMPRODUCT($AB372:$AF372,Validation!$D$8:$H$8)</f>
        <v>2.6385714285714</v>
      </c>
      <c r="AJ372" s="18" t="n">
        <f aca="false">SUMPRODUCT($AB372:$AF372,Validation!$D$9:$H$9)</f>
        <v>2.72433333333345</v>
      </c>
      <c r="AK372" s="18" t="n">
        <f aca="false">SUMPRODUCT($AB372:$AF372,Validation!$D$10:$H$10)</f>
        <v>2.36566666666655</v>
      </c>
      <c r="AL372" s="18" t="n">
        <f aca="false">SUMPRODUCT($AB372:$AF372,Validation!$D$11:$H$11)</f>
        <v>2.450625</v>
      </c>
      <c r="AM372" s="18" t="n">
        <f aca="false">SUMPRODUCT($AB372:$AF372,Validation!$D$12:$H$12)</f>
        <v>2.639375</v>
      </c>
      <c r="AN372" s="18" t="n">
        <f aca="false">SUMPRODUCT($AB372:$AF372,Validation!$D$13:$H$13)</f>
        <v>2.4999999999992</v>
      </c>
      <c r="AO372" s="18" t="n">
        <f aca="false">SUMPRODUCT($AB372:$AF372,Validation!$D$14:$H$14)</f>
        <v>2.5900000000008</v>
      </c>
      <c r="AP372" s="18" t="n">
        <f aca="false">SUMPRODUCT($AB372:$AF372,Validation!$D$15:$H$15)</f>
        <v>2.585588235294</v>
      </c>
      <c r="AQ372" s="18" t="n">
        <f aca="false">SUMPRODUCT($AB372:$AF372,Validation!$D$16:$H$16)</f>
        <v>2.504411764706</v>
      </c>
      <c r="AR372" s="8" t="n">
        <f aca="false">COUNTIF($C372:$V372,"&gt;=4")</f>
        <v>5</v>
      </c>
      <c r="AS372" s="8" t="str">
        <f aca="false">IF($X372&lt;=1.6,"Low",IF($X372&lt;=2.2,"Medium","High"))</f>
        <v>High</v>
      </c>
      <c r="AT372" s="8" t="str">
        <f aca="false">IF($AR372=0,"Low",IF($AR372&lt;3,"Medium","High"))</f>
        <v>High</v>
      </c>
      <c r="AU372" s="8" t="str">
        <f aca="false">IF(OR($AS372="High",$AT372="High"),"High",IF(OR($AS372="Medium",$AT372="Medium"),"Medium","Low"))</f>
        <v>High</v>
      </c>
      <c r="AV372" s="15" t="str">
        <f aca="false">IF($Z372="Yes","High",$AU372)</f>
        <v>High</v>
      </c>
    </row>
    <row r="373" customFormat="false" ht="15" hidden="false" customHeight="false" outlineLevel="0" collapsed="false">
      <c r="A373" s="7" t="str">
        <f aca="false">Customers!$A373</f>
        <v>NG-10398</v>
      </c>
      <c r="B373" s="7" t="str">
        <f aca="false">Customers!$B373</f>
        <v>Limited company</v>
      </c>
      <c r="C373" s="8" t="n">
        <f aca="false">INDEX(Mapping!$C$2:$C$99,MATCH(C$1&amp;"|"&amp;Customers!C373,Mapping!$D$2:$D$99,0))</f>
        <v>3</v>
      </c>
      <c r="D373" s="8" t="n">
        <f aca="false">INDEX(Mapping!$C$2:$C$99,MATCH(D$1&amp;"|"&amp;Customers!D373,Mapping!$D$2:$D$99,0))</f>
        <v>3</v>
      </c>
      <c r="E373" s="8" t="n">
        <f aca="false">INDEX(Mapping!$C$2:$C$99,MATCH(E$1&amp;"|"&amp;Customers!E373,Mapping!$D$2:$D$99,0))</f>
        <v>3</v>
      </c>
      <c r="F373" s="8" t="n">
        <f aca="false">INDEX(Mapping!$C$2:$C$99,MATCH(F$1&amp;"|"&amp;Customers!F373,Mapping!$D$2:$D$99,0))</f>
        <v>1</v>
      </c>
      <c r="G373" s="8" t="n">
        <f aca="false">INDEX(Mapping!$C$2:$C$99,MATCH(G$1&amp;"|"&amp;Customers!G373,Mapping!$D$2:$D$99,0))</f>
        <v>1</v>
      </c>
      <c r="H373" s="8" t="n">
        <f aca="false">INDEX(Mapping!$C$2:$C$99,MATCH(H$1&amp;"|"&amp;Customers!H373,Mapping!$D$2:$D$99,0))</f>
        <v>1</v>
      </c>
      <c r="I373" s="8" t="n">
        <f aca="false">INDEX(Mapping!$C$2:$C$99,MATCH(I$1&amp;"|"&amp;Customers!I373,Mapping!$D$2:$D$99,0))</f>
        <v>1</v>
      </c>
      <c r="J373" s="8" t="n">
        <f aca="false">INDEX(Mapping!$C$2:$C$99,MATCH(J$1&amp;"|"&amp;Customers!J373,Mapping!$D$2:$D$99,0))</f>
        <v>1</v>
      </c>
      <c r="K373" s="8" t="n">
        <f aca="false">INDEX(Mapping!$C$2:$C$99,MATCH(K$1&amp;"|"&amp;Customers!K373,Mapping!$D$2:$D$99,0))</f>
        <v>5</v>
      </c>
      <c r="L373" s="8" t="n">
        <f aca="false">INDEX(Mapping!$C$2:$C$99,MATCH(L$1&amp;"|"&amp;Customers!L373,Mapping!$D$2:$D$99,0))</f>
        <v>3</v>
      </c>
      <c r="M373" s="8" t="n">
        <f aca="false">INDEX(Mapping!$C$2:$C$99,MATCH(M$1&amp;"|"&amp;Customers!M373,Mapping!$D$2:$D$99,0))</f>
        <v>2</v>
      </c>
      <c r="N373" s="8" t="n">
        <f aca="false">INDEX(Mapping!$C$2:$C$99,MATCH(N$1&amp;"|"&amp;Customers!N373,Mapping!$D$2:$D$99,0))</f>
        <v>1</v>
      </c>
      <c r="O373" s="8" t="n">
        <f aca="false">INDEX(Mapping!$C$2:$C$99,MATCH(O$1&amp;"|"&amp;Customers!O373,Mapping!$D$2:$D$99,0))</f>
        <v>1</v>
      </c>
      <c r="P373" s="8" t="n">
        <f aca="false">INDEX(Mapping!$C$2:$C$99,MATCH(P$1&amp;"|"&amp;Customers!P373,Mapping!$D$2:$D$99,0))</f>
        <v>1</v>
      </c>
      <c r="Q373" s="8" t="n">
        <f aca="false">INDEX(Mapping!$C$2:$C$99,MATCH(Q$1&amp;"|"&amp;Customers!Q373,Mapping!$D$2:$D$99,0))</f>
        <v>1</v>
      </c>
      <c r="R373" s="8" t="n">
        <f aca="false">INDEX(Mapping!$C$2:$C$99,MATCH(R$1&amp;"|"&amp;Customers!R373,Mapping!$D$2:$D$99,0))</f>
        <v>2</v>
      </c>
      <c r="S373" s="8" t="n">
        <f aca="false">INDEX(Mapping!$C$2:$C$99,MATCH(S$1&amp;"|"&amp;Customers!S373,Mapping!$D$2:$D$99,0))</f>
        <v>4</v>
      </c>
      <c r="T373" s="8" t="n">
        <f aca="false">INDEX(Mapping!$C$2:$C$99,MATCH(T$1&amp;"|"&amp;Customers!T373,Mapping!$D$2:$D$99,0))</f>
        <v>1</v>
      </c>
      <c r="U373" s="8" t="n">
        <f aca="false">INDEX(Mapping!$C$2:$C$99,MATCH(U$1&amp;"|"&amp;Customers!U373,Mapping!$D$2:$D$99,0))</f>
        <v>2</v>
      </c>
      <c r="V373" s="8" t="n">
        <f aca="false">INDEX(Mapping!$C$2:$C$99,MATCH(V$1&amp;"|"&amp;Customers!V373,Mapping!$D$2:$D$99,0))</f>
        <v>1</v>
      </c>
      <c r="W373" s="17" t="n">
        <f aca="false">SUMPRODUCT($C373:$V373,Weights!$C$27:$V$27)</f>
        <v>2.015</v>
      </c>
      <c r="X373" s="18" t="n">
        <f aca="false">ROUND($W373,2)</f>
        <v>2.02</v>
      </c>
      <c r="Y373" s="8" t="str">
        <f aca="false">IF($X373&lt;=2,"Low",IF($X373&lt;=3.49,"Medium","High"))</f>
        <v>Medium</v>
      </c>
      <c r="Z373" s="8" t="str">
        <f aca="false">IF(OR($F373&gt;=3,$E373=5,$D373=5,$C373=5,$G373=5,$H373=5,$I373=5,$J373=5,Customers!$W373="Yes"),"Yes","No")</f>
        <v>No</v>
      </c>
      <c r="AA373" s="15" t="str">
        <f aca="false">IF($Z373="Yes","High",$Y373)</f>
        <v>Medium</v>
      </c>
      <c r="AB373" s="18" t="n">
        <f aca="false">SUMPRODUCT($C373:$G373,Weights!$C$28:$G$28)</f>
        <v>2.3</v>
      </c>
      <c r="AC373" s="18" t="n">
        <f aca="false">SUMPRODUCT($H373:$J373,Weights!$H$28:$J$28)</f>
        <v>1</v>
      </c>
      <c r="AD373" s="18" t="n">
        <f aca="false">SUMPRODUCT($K373:$N373,Weights!$K$28:$N$28)</f>
        <v>3.15</v>
      </c>
      <c r="AE373" s="18" t="n">
        <f aca="false">SUMPRODUCT($O373:$Q373,Weights!$O$28:$Q$28)</f>
        <v>1</v>
      </c>
      <c r="AF373" s="18" t="n">
        <f aca="false">SUMPRODUCT($R373:$V373,Weights!$R$28:$V$28)</f>
        <v>2.3</v>
      </c>
      <c r="AH373" s="18" t="n">
        <f aca="false">SUMPRODUCT($AB373:$AF373,Validation!$D$7:$H$7)</f>
        <v>1.97428571428535</v>
      </c>
      <c r="AI373" s="18" t="n">
        <f aca="false">SUMPRODUCT($AB373:$AF373,Validation!$D$8:$H$8)</f>
        <v>2.05571428571465</v>
      </c>
      <c r="AJ373" s="18" t="n">
        <f aca="false">SUMPRODUCT($AB373:$AF373,Validation!$D$9:$H$9)</f>
        <v>2.15033333333405</v>
      </c>
      <c r="AK373" s="18" t="n">
        <f aca="false">SUMPRODUCT($AB373:$AF373,Validation!$D$10:$H$10)</f>
        <v>1.87966666666595</v>
      </c>
      <c r="AL373" s="18" t="n">
        <f aca="false">SUMPRODUCT($AB373:$AF373,Validation!$D$11:$H$11)</f>
        <v>1.873125</v>
      </c>
      <c r="AM373" s="18" t="n">
        <f aca="false">SUMPRODUCT($AB373:$AF373,Validation!$D$12:$H$12)</f>
        <v>2.156875</v>
      </c>
      <c r="AN373" s="18" t="n">
        <f aca="false">SUMPRODUCT($AB373:$AF373,Validation!$D$13:$H$13)</f>
        <v>2.1277777777773</v>
      </c>
      <c r="AO373" s="18" t="n">
        <f aca="false">SUMPRODUCT($AB373:$AF373,Validation!$D$14:$H$14)</f>
        <v>1.9022222222227</v>
      </c>
      <c r="AP373" s="18" t="n">
        <f aca="false">SUMPRODUCT($AB373:$AF373,Validation!$D$15:$H$15)</f>
        <v>1.98147058823585</v>
      </c>
      <c r="AQ373" s="18" t="n">
        <f aca="false">SUMPRODUCT($AB373:$AF373,Validation!$D$16:$H$16)</f>
        <v>2.04852941176415</v>
      </c>
      <c r="AR373" s="8" t="n">
        <f aca="false">COUNTIF($C373:$V373,"&gt;=4")</f>
        <v>2</v>
      </c>
      <c r="AS373" s="8" t="str">
        <f aca="false">IF($X373&lt;=1.6,"Low",IF($X373&lt;=2.2,"Medium","High"))</f>
        <v>Medium</v>
      </c>
      <c r="AT373" s="8" t="str">
        <f aca="false">IF($AR373=0,"Low",IF($AR373&lt;3,"Medium","High"))</f>
        <v>Medium</v>
      </c>
      <c r="AU373" s="8" t="str">
        <f aca="false">IF(OR($AS373="High",$AT373="High"),"High",IF(OR($AS373="Medium",$AT373="Medium"),"Medium","Low"))</f>
        <v>Medium</v>
      </c>
      <c r="AV373" s="15" t="str">
        <f aca="false">IF($Z373="Yes","High",$AU373)</f>
        <v>Medium</v>
      </c>
    </row>
    <row r="374" customFormat="false" ht="15" hidden="false" customHeight="false" outlineLevel="0" collapsed="false">
      <c r="A374" s="7" t="str">
        <f aca="false">Customers!$A374</f>
        <v>NG-10367</v>
      </c>
      <c r="B374" s="7" t="str">
        <f aca="false">Customers!$B374</f>
        <v>Limited company</v>
      </c>
      <c r="C374" s="8" t="n">
        <f aca="false">INDEX(Mapping!$C$2:$C$99,MATCH(C$1&amp;"|"&amp;Customers!C374,Mapping!$D$2:$D$99,0))</f>
        <v>3</v>
      </c>
      <c r="D374" s="8" t="n">
        <f aca="false">INDEX(Mapping!$C$2:$C$99,MATCH(D$1&amp;"|"&amp;Customers!D374,Mapping!$D$2:$D$99,0))</f>
        <v>3</v>
      </c>
      <c r="E374" s="8" t="n">
        <f aca="false">INDEX(Mapping!$C$2:$C$99,MATCH(E$1&amp;"|"&amp;Customers!E374,Mapping!$D$2:$D$99,0))</f>
        <v>4</v>
      </c>
      <c r="F374" s="8" t="n">
        <f aca="false">INDEX(Mapping!$C$2:$C$99,MATCH(F$1&amp;"|"&amp;Customers!F374,Mapping!$D$2:$D$99,0))</f>
        <v>1</v>
      </c>
      <c r="G374" s="8" t="n">
        <f aca="false">INDEX(Mapping!$C$2:$C$99,MATCH(G$1&amp;"|"&amp;Customers!G374,Mapping!$D$2:$D$99,0))</f>
        <v>1</v>
      </c>
      <c r="H374" s="8" t="n">
        <f aca="false">INDEX(Mapping!$C$2:$C$99,MATCH(H$1&amp;"|"&amp;Customers!H374,Mapping!$D$2:$D$99,0))</f>
        <v>1</v>
      </c>
      <c r="I374" s="8" t="n">
        <f aca="false">INDEX(Mapping!$C$2:$C$99,MATCH(I$1&amp;"|"&amp;Customers!I374,Mapping!$D$2:$D$99,0))</f>
        <v>1</v>
      </c>
      <c r="J374" s="8" t="n">
        <f aca="false">INDEX(Mapping!$C$2:$C$99,MATCH(J$1&amp;"|"&amp;Customers!J374,Mapping!$D$2:$D$99,0))</f>
        <v>1</v>
      </c>
      <c r="K374" s="8" t="n">
        <f aca="false">INDEX(Mapping!$C$2:$C$99,MATCH(K$1&amp;"|"&amp;Customers!K374,Mapping!$D$2:$D$99,0))</f>
        <v>4</v>
      </c>
      <c r="L374" s="8" t="n">
        <f aca="false">INDEX(Mapping!$C$2:$C$99,MATCH(L$1&amp;"|"&amp;Customers!L374,Mapping!$D$2:$D$99,0))</f>
        <v>2</v>
      </c>
      <c r="M374" s="8" t="n">
        <f aca="false">INDEX(Mapping!$C$2:$C$99,MATCH(M$1&amp;"|"&amp;Customers!M374,Mapping!$D$2:$D$99,0))</f>
        <v>2</v>
      </c>
      <c r="N374" s="8" t="n">
        <f aca="false">INDEX(Mapping!$C$2:$C$99,MATCH(N$1&amp;"|"&amp;Customers!N374,Mapping!$D$2:$D$99,0))</f>
        <v>3</v>
      </c>
      <c r="O374" s="8" t="n">
        <f aca="false">INDEX(Mapping!$C$2:$C$99,MATCH(O$1&amp;"|"&amp;Customers!O374,Mapping!$D$2:$D$99,0))</f>
        <v>3</v>
      </c>
      <c r="P374" s="8" t="n">
        <f aca="false">INDEX(Mapping!$C$2:$C$99,MATCH(P$1&amp;"|"&amp;Customers!P374,Mapping!$D$2:$D$99,0))</f>
        <v>4</v>
      </c>
      <c r="Q374" s="8" t="n">
        <f aca="false">INDEX(Mapping!$C$2:$C$99,MATCH(Q$1&amp;"|"&amp;Customers!Q374,Mapping!$D$2:$D$99,0))</f>
        <v>2</v>
      </c>
      <c r="R374" s="8" t="n">
        <f aca="false">INDEX(Mapping!$C$2:$C$99,MATCH(R$1&amp;"|"&amp;Customers!R374,Mapping!$D$2:$D$99,0))</f>
        <v>1</v>
      </c>
      <c r="S374" s="8" t="n">
        <f aca="false">INDEX(Mapping!$C$2:$C$99,MATCH(S$1&amp;"|"&amp;Customers!S374,Mapping!$D$2:$D$99,0))</f>
        <v>1</v>
      </c>
      <c r="T374" s="8" t="n">
        <f aca="false">INDEX(Mapping!$C$2:$C$99,MATCH(T$1&amp;"|"&amp;Customers!T374,Mapping!$D$2:$D$99,0))</f>
        <v>2</v>
      </c>
      <c r="U374" s="8" t="n">
        <f aca="false">INDEX(Mapping!$C$2:$C$99,MATCH(U$1&amp;"|"&amp;Customers!U374,Mapping!$D$2:$D$99,0))</f>
        <v>3</v>
      </c>
      <c r="V374" s="8" t="n">
        <f aca="false">INDEX(Mapping!$C$2:$C$99,MATCH(V$1&amp;"|"&amp;Customers!V374,Mapping!$D$2:$D$99,0))</f>
        <v>2</v>
      </c>
      <c r="W374" s="17" t="n">
        <f aca="false">SUMPRODUCT($C374:$V374,Weights!$C$27:$V$27)</f>
        <v>2.14</v>
      </c>
      <c r="X374" s="18" t="n">
        <f aca="false">ROUND($W374,2)</f>
        <v>2.14</v>
      </c>
      <c r="Y374" s="8" t="str">
        <f aca="false">IF($X374&lt;=2,"Low",IF($X374&lt;=3.49,"Medium","High"))</f>
        <v>Medium</v>
      </c>
      <c r="Z374" s="8" t="str">
        <f aca="false">IF(OR($F374&gt;=3,$E374=5,$D374=5,$C374=5,$G374=5,$H374=5,$I374=5,$J374=5,Customers!$W374="Yes"),"Yes","No")</f>
        <v>No</v>
      </c>
      <c r="AA374" s="15" t="str">
        <f aca="false">IF($Z374="Yes","High",$Y374)</f>
        <v>Medium</v>
      </c>
      <c r="AB374" s="18" t="n">
        <f aca="false">SUMPRODUCT($C374:$G374,Weights!$C$28:$G$28)</f>
        <v>2.55</v>
      </c>
      <c r="AC374" s="18" t="n">
        <f aca="false">SUMPRODUCT($H374:$J374,Weights!$H$28:$J$28)</f>
        <v>1</v>
      </c>
      <c r="AD374" s="18" t="n">
        <f aca="false">SUMPRODUCT($K374:$N374,Weights!$K$28:$N$28)</f>
        <v>2.85</v>
      </c>
      <c r="AE374" s="18" t="n">
        <f aca="false">SUMPRODUCT($O374:$Q374,Weights!$O$28:$Q$28)</f>
        <v>3.15</v>
      </c>
      <c r="AF374" s="18" t="n">
        <f aca="false">SUMPRODUCT($R374:$V374,Weights!$R$28:$V$28)</f>
        <v>1.6</v>
      </c>
      <c r="AH374" s="18" t="n">
        <f aca="false">SUMPRODUCT($AB374:$AF374,Validation!$D$7:$H$7)</f>
        <v>2.08142857142865</v>
      </c>
      <c r="AI374" s="18" t="n">
        <f aca="false">SUMPRODUCT($AB374:$AF374,Validation!$D$8:$H$8)</f>
        <v>2.19857142857135</v>
      </c>
      <c r="AJ374" s="18" t="n">
        <f aca="false">SUMPRODUCT($AB374:$AF374,Validation!$D$9:$H$9)</f>
        <v>2.2919999999999</v>
      </c>
      <c r="AK374" s="18" t="n">
        <f aca="false">SUMPRODUCT($AB374:$AF374,Validation!$D$10:$H$10)</f>
        <v>1.9880000000001</v>
      </c>
      <c r="AL374" s="18" t="n">
        <f aca="false">SUMPRODUCT($AB374:$AF374,Validation!$D$11:$H$11)</f>
        <v>2.05125</v>
      </c>
      <c r="AM374" s="18" t="n">
        <f aca="false">SUMPRODUCT($AB374:$AF374,Validation!$D$12:$H$12)</f>
        <v>2.22875</v>
      </c>
      <c r="AN374" s="18" t="n">
        <f aca="false">SUMPRODUCT($AB374:$AF374,Validation!$D$13:$H$13)</f>
        <v>2.02777777777705</v>
      </c>
      <c r="AO374" s="18" t="n">
        <f aca="false">SUMPRODUCT($AB374:$AF374,Validation!$D$14:$H$14)</f>
        <v>2.25222222222295</v>
      </c>
      <c r="AP374" s="18" t="n">
        <f aca="false">SUMPRODUCT($AB374:$AF374,Validation!$D$15:$H$15)</f>
        <v>2.2035294117644</v>
      </c>
      <c r="AQ374" s="18" t="n">
        <f aca="false">SUMPRODUCT($AB374:$AF374,Validation!$D$16:$H$16)</f>
        <v>2.0764705882356</v>
      </c>
      <c r="AR374" s="8" t="n">
        <f aca="false">COUNTIF($C374:$V374,"&gt;=4")</f>
        <v>3</v>
      </c>
      <c r="AS374" s="8" t="str">
        <f aca="false">IF($X374&lt;=1.6,"Low",IF($X374&lt;=2.2,"Medium","High"))</f>
        <v>Medium</v>
      </c>
      <c r="AT374" s="8" t="str">
        <f aca="false">IF($AR374=0,"Low",IF($AR374&lt;3,"Medium","High"))</f>
        <v>High</v>
      </c>
      <c r="AU374" s="8" t="str">
        <f aca="false">IF(OR($AS374="High",$AT374="High"),"High",IF(OR($AS374="Medium",$AT374="Medium"),"Medium","Low"))</f>
        <v>High</v>
      </c>
      <c r="AV374" s="15" t="str">
        <f aca="false">IF($Z374="Yes","High",$AU374)</f>
        <v>High</v>
      </c>
    </row>
    <row r="375" customFormat="false" ht="15" hidden="false" customHeight="false" outlineLevel="0" collapsed="false">
      <c r="A375" s="7" t="str">
        <f aca="false">Customers!$A375</f>
        <v>NG-10100</v>
      </c>
      <c r="B375" s="7" t="str">
        <f aca="false">Customers!$B375</f>
        <v>Personal</v>
      </c>
      <c r="C375" s="8" t="n">
        <f aca="false">INDEX(Mapping!$C$2:$C$99,MATCH(C$1&amp;"|"&amp;Customers!C375,Mapping!$D$2:$D$99,0))</f>
        <v>1</v>
      </c>
      <c r="D375" s="8" t="n">
        <f aca="false">INDEX(Mapping!$C$2:$C$99,MATCH(D$1&amp;"|"&amp;Customers!D375,Mapping!$D$2:$D$99,0))</f>
        <v>1</v>
      </c>
      <c r="E375" s="8" t="n">
        <f aca="false">INDEX(Mapping!$C$2:$C$99,MATCH(E$1&amp;"|"&amp;Customers!E375,Mapping!$D$2:$D$99,0))</f>
        <v>1</v>
      </c>
      <c r="F375" s="8" t="n">
        <f aca="false">INDEX(Mapping!$C$2:$C$99,MATCH(F$1&amp;"|"&amp;Customers!F375,Mapping!$D$2:$D$99,0))</f>
        <v>1</v>
      </c>
      <c r="G375" s="8" t="n">
        <f aca="false">INDEX(Mapping!$C$2:$C$99,MATCH(G$1&amp;"|"&amp;Customers!G375,Mapping!$D$2:$D$99,0))</f>
        <v>1</v>
      </c>
      <c r="H375" s="8" t="n">
        <f aca="false">INDEX(Mapping!$C$2:$C$99,MATCH(H$1&amp;"|"&amp;Customers!H375,Mapping!$D$2:$D$99,0))</f>
        <v>1</v>
      </c>
      <c r="I375" s="8" t="n">
        <f aca="false">INDEX(Mapping!$C$2:$C$99,MATCH(I$1&amp;"|"&amp;Customers!I375,Mapping!$D$2:$D$99,0))</f>
        <v>1</v>
      </c>
      <c r="J375" s="8" t="n">
        <f aca="false">INDEX(Mapping!$C$2:$C$99,MATCH(J$1&amp;"|"&amp;Customers!J375,Mapping!$D$2:$D$99,0))</f>
        <v>1</v>
      </c>
      <c r="K375" s="8" t="n">
        <f aca="false">INDEX(Mapping!$C$2:$C$99,MATCH(K$1&amp;"|"&amp;Customers!K375,Mapping!$D$2:$D$99,0))</f>
        <v>3</v>
      </c>
      <c r="L375" s="8" t="n">
        <f aca="false">INDEX(Mapping!$C$2:$C$99,MATCH(L$1&amp;"|"&amp;Customers!L375,Mapping!$D$2:$D$99,0))</f>
        <v>3</v>
      </c>
      <c r="M375" s="8" t="n">
        <f aca="false">INDEX(Mapping!$C$2:$C$99,MATCH(M$1&amp;"|"&amp;Customers!M375,Mapping!$D$2:$D$99,0))</f>
        <v>2</v>
      </c>
      <c r="N375" s="8" t="n">
        <f aca="false">INDEX(Mapping!$C$2:$C$99,MATCH(N$1&amp;"|"&amp;Customers!N375,Mapping!$D$2:$D$99,0))</f>
        <v>1</v>
      </c>
      <c r="O375" s="8" t="n">
        <f aca="false">INDEX(Mapping!$C$2:$C$99,MATCH(O$1&amp;"|"&amp;Customers!O375,Mapping!$D$2:$D$99,0))</f>
        <v>3</v>
      </c>
      <c r="P375" s="8" t="n">
        <f aca="false">INDEX(Mapping!$C$2:$C$99,MATCH(P$1&amp;"|"&amp;Customers!P375,Mapping!$D$2:$D$99,0))</f>
        <v>3</v>
      </c>
      <c r="Q375" s="8" t="n">
        <f aca="false">INDEX(Mapping!$C$2:$C$99,MATCH(Q$1&amp;"|"&amp;Customers!Q375,Mapping!$D$2:$D$99,0))</f>
        <v>1</v>
      </c>
      <c r="R375" s="8" t="n">
        <f aca="false">INDEX(Mapping!$C$2:$C$99,MATCH(R$1&amp;"|"&amp;Customers!R375,Mapping!$D$2:$D$99,0))</f>
        <v>1</v>
      </c>
      <c r="S375" s="8" t="n">
        <f aca="false">INDEX(Mapping!$C$2:$C$99,MATCH(S$1&amp;"|"&amp;Customers!S375,Mapping!$D$2:$D$99,0))</f>
        <v>2</v>
      </c>
      <c r="T375" s="8" t="n">
        <f aca="false">INDEX(Mapping!$C$2:$C$99,MATCH(T$1&amp;"|"&amp;Customers!T375,Mapping!$D$2:$D$99,0))</f>
        <v>2</v>
      </c>
      <c r="U375" s="8" t="n">
        <f aca="false">INDEX(Mapping!$C$2:$C$99,MATCH(U$1&amp;"|"&amp;Customers!U375,Mapping!$D$2:$D$99,0))</f>
        <v>2</v>
      </c>
      <c r="V375" s="8" t="n">
        <f aca="false">INDEX(Mapping!$C$2:$C$99,MATCH(V$1&amp;"|"&amp;Customers!V375,Mapping!$D$2:$D$99,0))</f>
        <v>3</v>
      </c>
      <c r="W375" s="17" t="n">
        <f aca="false">SUMPRODUCT($C375:$V375,Weights!$C$27:$V$27)</f>
        <v>1.5775</v>
      </c>
      <c r="X375" s="18" t="n">
        <f aca="false">ROUND($W375,2)</f>
        <v>1.58</v>
      </c>
      <c r="Y375" s="8" t="str">
        <f aca="false">IF($X375&lt;=2,"Low",IF($X375&lt;=3.49,"Medium","High"))</f>
        <v>Low</v>
      </c>
      <c r="Z375" s="8" t="str">
        <f aca="false">IF(OR($F375&gt;=3,$E375=5,$D375=5,$C375=5,$G375=5,$H375=5,$I375=5,$J375=5,Customers!$W375="Yes"),"Yes","No")</f>
        <v>No</v>
      </c>
      <c r="AA375" s="15" t="str">
        <f aca="false">IF($Z375="Yes","High",$Y375)</f>
        <v>Low</v>
      </c>
      <c r="AB375" s="18" t="n">
        <f aca="false">SUMPRODUCT($C375:$G375,Weights!$C$28:$G$28)</f>
        <v>1</v>
      </c>
      <c r="AC375" s="18" t="n">
        <f aca="false">SUMPRODUCT($H375:$J375,Weights!$H$28:$J$28)</f>
        <v>1</v>
      </c>
      <c r="AD375" s="18" t="n">
        <f aca="false">SUMPRODUCT($K375:$N375,Weights!$K$28:$N$28)</f>
        <v>2.45</v>
      </c>
      <c r="AE375" s="18" t="n">
        <f aca="false">SUMPRODUCT($O375:$Q375,Weights!$O$28:$Q$28)</f>
        <v>2.6</v>
      </c>
      <c r="AF375" s="18" t="n">
        <f aca="false">SUMPRODUCT($R375:$V375,Weights!$R$28:$V$28)</f>
        <v>1.85</v>
      </c>
      <c r="AH375" s="18" t="n">
        <f aca="false">SUMPRODUCT($AB375:$AF375,Validation!$D$7:$H$7)</f>
        <v>1.6600000000002</v>
      </c>
      <c r="AI375" s="18" t="n">
        <f aca="false">SUMPRODUCT($AB375:$AF375,Validation!$D$8:$H$8)</f>
        <v>1.4949999999998</v>
      </c>
      <c r="AJ375" s="18" t="n">
        <f aca="false">SUMPRODUCT($AB375:$AF375,Validation!$D$9:$H$9)</f>
        <v>1.65449999999995</v>
      </c>
      <c r="AK375" s="18" t="n">
        <f aca="false">SUMPRODUCT($AB375:$AF375,Validation!$D$10:$H$10)</f>
        <v>1.50050000000005</v>
      </c>
      <c r="AL375" s="18" t="n">
        <f aca="false">SUMPRODUCT($AB375:$AF375,Validation!$D$11:$H$11)</f>
        <v>1.4684375</v>
      </c>
      <c r="AM375" s="18" t="n">
        <f aca="false">SUMPRODUCT($AB375:$AF375,Validation!$D$12:$H$12)</f>
        <v>1.6865625</v>
      </c>
      <c r="AN375" s="18" t="n">
        <f aca="false">SUMPRODUCT($AB375:$AF375,Validation!$D$13:$H$13)</f>
        <v>1.46388888888885</v>
      </c>
      <c r="AO375" s="18" t="n">
        <f aca="false">SUMPRODUCT($AB375:$AF375,Validation!$D$14:$H$14)</f>
        <v>1.69111111111115</v>
      </c>
      <c r="AP375" s="18" t="n">
        <f aca="false">SUMPRODUCT($AB375:$AF375,Validation!$D$15:$H$15)</f>
        <v>1.54544117647045</v>
      </c>
      <c r="AQ375" s="18" t="n">
        <f aca="false">SUMPRODUCT($AB375:$AF375,Validation!$D$16:$H$16)</f>
        <v>1.60955882352955</v>
      </c>
      <c r="AR375" s="8" t="n">
        <f aca="false">COUNTIF($C375:$V375,"&gt;=4")</f>
        <v>0</v>
      </c>
      <c r="AS375" s="8" t="str">
        <f aca="false">IF($X375&lt;=1.6,"Low",IF($X375&lt;=2.2,"Medium","High"))</f>
        <v>Low</v>
      </c>
      <c r="AT375" s="8" t="str">
        <f aca="false">IF($AR375=0,"Low",IF($AR375&lt;3,"Medium","High"))</f>
        <v>Low</v>
      </c>
      <c r="AU375" s="8" t="str">
        <f aca="false">IF(OR($AS375="High",$AT375="High"),"High",IF(OR($AS375="Medium",$AT375="Medium"),"Medium","Low"))</f>
        <v>Low</v>
      </c>
      <c r="AV375" s="15" t="str">
        <f aca="false">IF($Z375="Yes","High",$AU375)</f>
        <v>Low</v>
      </c>
    </row>
    <row r="376" customFormat="false" ht="15" hidden="false" customHeight="false" outlineLevel="0" collapsed="false">
      <c r="A376" s="7" t="str">
        <f aca="false">Customers!$A376</f>
        <v>NG-10255</v>
      </c>
      <c r="B376" s="7" t="str">
        <f aca="false">Customers!$B376</f>
        <v>Personal</v>
      </c>
      <c r="C376" s="8" t="n">
        <f aca="false">INDEX(Mapping!$C$2:$C$99,MATCH(C$1&amp;"|"&amp;Customers!C376,Mapping!$D$2:$D$99,0))</f>
        <v>2</v>
      </c>
      <c r="D376" s="8" t="n">
        <f aca="false">INDEX(Mapping!$C$2:$C$99,MATCH(D$1&amp;"|"&amp;Customers!D376,Mapping!$D$2:$D$99,0))</f>
        <v>1</v>
      </c>
      <c r="E376" s="8" t="n">
        <f aca="false">INDEX(Mapping!$C$2:$C$99,MATCH(E$1&amp;"|"&amp;Customers!E376,Mapping!$D$2:$D$99,0))</f>
        <v>3</v>
      </c>
      <c r="F376" s="8" t="n">
        <f aca="false">INDEX(Mapping!$C$2:$C$99,MATCH(F$1&amp;"|"&amp;Customers!F376,Mapping!$D$2:$D$99,0))</f>
        <v>1</v>
      </c>
      <c r="G376" s="8" t="n">
        <f aca="false">INDEX(Mapping!$C$2:$C$99,MATCH(G$1&amp;"|"&amp;Customers!G376,Mapping!$D$2:$D$99,0))</f>
        <v>1</v>
      </c>
      <c r="H376" s="8" t="n">
        <f aca="false">INDEX(Mapping!$C$2:$C$99,MATCH(H$1&amp;"|"&amp;Customers!H376,Mapping!$D$2:$D$99,0))</f>
        <v>1</v>
      </c>
      <c r="I376" s="8" t="n">
        <f aca="false">INDEX(Mapping!$C$2:$C$99,MATCH(I$1&amp;"|"&amp;Customers!I376,Mapping!$D$2:$D$99,0))</f>
        <v>1</v>
      </c>
      <c r="J376" s="8" t="n">
        <f aca="false">INDEX(Mapping!$C$2:$C$99,MATCH(J$1&amp;"|"&amp;Customers!J376,Mapping!$D$2:$D$99,0))</f>
        <v>2</v>
      </c>
      <c r="K376" s="8" t="n">
        <f aca="false">INDEX(Mapping!$C$2:$C$99,MATCH(K$1&amp;"|"&amp;Customers!K376,Mapping!$D$2:$D$99,0))</f>
        <v>3</v>
      </c>
      <c r="L376" s="8" t="n">
        <f aca="false">INDEX(Mapping!$C$2:$C$99,MATCH(L$1&amp;"|"&amp;Customers!L376,Mapping!$D$2:$D$99,0))</f>
        <v>1</v>
      </c>
      <c r="M376" s="8" t="n">
        <f aca="false">INDEX(Mapping!$C$2:$C$99,MATCH(M$1&amp;"|"&amp;Customers!M376,Mapping!$D$2:$D$99,0))</f>
        <v>2</v>
      </c>
      <c r="N376" s="8" t="n">
        <f aca="false">INDEX(Mapping!$C$2:$C$99,MATCH(N$1&amp;"|"&amp;Customers!N376,Mapping!$D$2:$D$99,0))</f>
        <v>1</v>
      </c>
      <c r="O376" s="8" t="n">
        <f aca="false">INDEX(Mapping!$C$2:$C$99,MATCH(O$1&amp;"|"&amp;Customers!O376,Mapping!$D$2:$D$99,0))</f>
        <v>3</v>
      </c>
      <c r="P376" s="8" t="n">
        <f aca="false">INDEX(Mapping!$C$2:$C$99,MATCH(P$1&amp;"|"&amp;Customers!P376,Mapping!$D$2:$D$99,0))</f>
        <v>1</v>
      </c>
      <c r="Q376" s="8" t="n">
        <f aca="false">INDEX(Mapping!$C$2:$C$99,MATCH(Q$1&amp;"|"&amp;Customers!Q376,Mapping!$D$2:$D$99,0))</f>
        <v>1</v>
      </c>
      <c r="R376" s="8" t="n">
        <f aca="false">INDEX(Mapping!$C$2:$C$99,MATCH(R$1&amp;"|"&amp;Customers!R376,Mapping!$D$2:$D$99,0))</f>
        <v>1</v>
      </c>
      <c r="S376" s="8" t="n">
        <f aca="false">INDEX(Mapping!$C$2:$C$99,MATCH(S$1&amp;"|"&amp;Customers!S376,Mapping!$D$2:$D$99,0))</f>
        <v>3</v>
      </c>
      <c r="T376" s="8" t="n">
        <f aca="false">INDEX(Mapping!$C$2:$C$99,MATCH(T$1&amp;"|"&amp;Customers!T376,Mapping!$D$2:$D$99,0))</f>
        <v>1</v>
      </c>
      <c r="U376" s="8" t="n">
        <f aca="false">INDEX(Mapping!$C$2:$C$99,MATCH(U$1&amp;"|"&amp;Customers!U376,Mapping!$D$2:$D$99,0))</f>
        <v>1</v>
      </c>
      <c r="V376" s="8" t="n">
        <f aca="false">INDEX(Mapping!$C$2:$C$99,MATCH(V$1&amp;"|"&amp;Customers!V376,Mapping!$D$2:$D$99,0))</f>
        <v>1</v>
      </c>
      <c r="W376" s="17" t="n">
        <f aca="false">SUMPRODUCT($C376:$V376,Weights!$C$27:$V$27)</f>
        <v>1.68</v>
      </c>
      <c r="X376" s="18" t="n">
        <f aca="false">ROUND($W376,2)</f>
        <v>1.68</v>
      </c>
      <c r="Y376" s="8" t="str">
        <f aca="false">IF($X376&lt;=2,"Low",IF($X376&lt;=3.49,"Medium","High"))</f>
        <v>Low</v>
      </c>
      <c r="Z376" s="8" t="str">
        <f aca="false">IF(OR($F376&gt;=3,$E376=5,$D376=5,$C376=5,$G376=5,$H376=5,$I376=5,$J376=5,Customers!$W376="Yes"),"Yes","No")</f>
        <v>No</v>
      </c>
      <c r="AA376" s="15" t="str">
        <f aca="false">IF($Z376="Yes","High",$Y376)</f>
        <v>Low</v>
      </c>
      <c r="AB376" s="18" t="n">
        <f aca="false">SUMPRODUCT($C376:$G376,Weights!$C$28:$G$28)</f>
        <v>1.7</v>
      </c>
      <c r="AC376" s="18" t="n">
        <f aca="false">SUMPRODUCT($H376:$J376,Weights!$H$28:$J$28)</f>
        <v>1.4</v>
      </c>
      <c r="AD376" s="18" t="n">
        <f aca="false">SUMPRODUCT($K376:$N376,Weights!$K$28:$N$28)</f>
        <v>1.95</v>
      </c>
      <c r="AE376" s="18" t="n">
        <f aca="false">SUMPRODUCT($O376:$Q376,Weights!$O$28:$Q$28)</f>
        <v>1.9</v>
      </c>
      <c r="AF376" s="18" t="n">
        <f aca="false">SUMPRODUCT($R376:$V376,Weights!$R$28:$V$28)</f>
        <v>1.6</v>
      </c>
      <c r="AH376" s="18" t="n">
        <f aca="false">SUMPRODUCT($AB376:$AF376,Validation!$D$7:$H$7)</f>
        <v>1.67714285714285</v>
      </c>
      <c r="AI376" s="18" t="n">
        <f aca="false">SUMPRODUCT($AB376:$AF376,Validation!$D$8:$H$8)</f>
        <v>1.68285714285715</v>
      </c>
      <c r="AJ376" s="18" t="n">
        <f aca="false">SUMPRODUCT($AB376:$AF376,Validation!$D$9:$H$9)</f>
        <v>1.71733333333335</v>
      </c>
      <c r="AK376" s="18" t="n">
        <f aca="false">SUMPRODUCT($AB376:$AF376,Validation!$D$10:$H$10)</f>
        <v>1.64266666666665</v>
      </c>
      <c r="AL376" s="18" t="n">
        <f aca="false">SUMPRODUCT($AB376:$AF376,Validation!$D$11:$H$11)</f>
        <v>1.64625</v>
      </c>
      <c r="AM376" s="18" t="n">
        <f aca="false">SUMPRODUCT($AB376:$AF376,Validation!$D$12:$H$12)</f>
        <v>1.71375</v>
      </c>
      <c r="AN376" s="18" t="n">
        <f aca="false">SUMPRODUCT($AB376:$AF376,Validation!$D$13:$H$13)</f>
        <v>1.6555555555554</v>
      </c>
      <c r="AO376" s="18" t="n">
        <f aca="false">SUMPRODUCT($AB376:$AF376,Validation!$D$14:$H$14)</f>
        <v>1.7044444444446</v>
      </c>
      <c r="AP376" s="18" t="n">
        <f aca="false">SUMPRODUCT($AB376:$AF376,Validation!$D$15:$H$15)</f>
        <v>1.68941176470585</v>
      </c>
      <c r="AQ376" s="18" t="n">
        <f aca="false">SUMPRODUCT($AB376:$AF376,Validation!$D$16:$H$16)</f>
        <v>1.67058823529415</v>
      </c>
      <c r="AR376" s="8" t="n">
        <f aca="false">COUNTIF($C376:$V376,"&gt;=4")</f>
        <v>0</v>
      </c>
      <c r="AS376" s="8" t="str">
        <f aca="false">IF($X376&lt;=1.6,"Low",IF($X376&lt;=2.2,"Medium","High"))</f>
        <v>Medium</v>
      </c>
      <c r="AT376" s="8" t="str">
        <f aca="false">IF($AR376=0,"Low",IF($AR376&lt;3,"Medium","High"))</f>
        <v>Low</v>
      </c>
      <c r="AU376" s="8" t="str">
        <f aca="false">IF(OR($AS376="High",$AT376="High"),"High",IF(OR($AS376="Medium",$AT376="Medium"),"Medium","Low"))</f>
        <v>Medium</v>
      </c>
      <c r="AV376" s="15" t="str">
        <f aca="false">IF($Z376="Yes","High",$AU376)</f>
        <v>Medium</v>
      </c>
    </row>
    <row r="377" customFormat="false" ht="15" hidden="false" customHeight="false" outlineLevel="0" collapsed="false">
      <c r="A377" s="7" t="str">
        <f aca="false">Customers!$A377</f>
        <v>NG-10241</v>
      </c>
      <c r="B377" s="7" t="str">
        <f aca="false">Customers!$B377</f>
        <v>Personal</v>
      </c>
      <c r="C377" s="8" t="n">
        <f aca="false">INDEX(Mapping!$C$2:$C$99,MATCH(C$1&amp;"|"&amp;Customers!C377,Mapping!$D$2:$D$99,0))</f>
        <v>2</v>
      </c>
      <c r="D377" s="8" t="n">
        <f aca="false">INDEX(Mapping!$C$2:$C$99,MATCH(D$1&amp;"|"&amp;Customers!D377,Mapping!$D$2:$D$99,0))</f>
        <v>1</v>
      </c>
      <c r="E377" s="8" t="n">
        <f aca="false">INDEX(Mapping!$C$2:$C$99,MATCH(E$1&amp;"|"&amp;Customers!E377,Mapping!$D$2:$D$99,0))</f>
        <v>1</v>
      </c>
      <c r="F377" s="8" t="n">
        <f aca="false">INDEX(Mapping!$C$2:$C$99,MATCH(F$1&amp;"|"&amp;Customers!F377,Mapping!$D$2:$D$99,0))</f>
        <v>1</v>
      </c>
      <c r="G377" s="8" t="n">
        <f aca="false">INDEX(Mapping!$C$2:$C$99,MATCH(G$1&amp;"|"&amp;Customers!G377,Mapping!$D$2:$D$99,0))</f>
        <v>1</v>
      </c>
      <c r="H377" s="8" t="n">
        <f aca="false">INDEX(Mapping!$C$2:$C$99,MATCH(H$1&amp;"|"&amp;Customers!H377,Mapping!$D$2:$D$99,0))</f>
        <v>1</v>
      </c>
      <c r="I377" s="8" t="n">
        <f aca="false">INDEX(Mapping!$C$2:$C$99,MATCH(I$1&amp;"|"&amp;Customers!I377,Mapping!$D$2:$D$99,0))</f>
        <v>1</v>
      </c>
      <c r="J377" s="8" t="n">
        <f aca="false">INDEX(Mapping!$C$2:$C$99,MATCH(J$1&amp;"|"&amp;Customers!J377,Mapping!$D$2:$D$99,0))</f>
        <v>1</v>
      </c>
      <c r="K377" s="8" t="n">
        <f aca="false">INDEX(Mapping!$C$2:$C$99,MATCH(K$1&amp;"|"&amp;Customers!K377,Mapping!$D$2:$D$99,0))</f>
        <v>1</v>
      </c>
      <c r="L377" s="8" t="n">
        <f aca="false">INDEX(Mapping!$C$2:$C$99,MATCH(L$1&amp;"|"&amp;Customers!L377,Mapping!$D$2:$D$99,0))</f>
        <v>3</v>
      </c>
      <c r="M377" s="8" t="n">
        <f aca="false">INDEX(Mapping!$C$2:$C$99,MATCH(M$1&amp;"|"&amp;Customers!M377,Mapping!$D$2:$D$99,0))</f>
        <v>1</v>
      </c>
      <c r="N377" s="8" t="n">
        <f aca="false">INDEX(Mapping!$C$2:$C$99,MATCH(N$1&amp;"|"&amp;Customers!N377,Mapping!$D$2:$D$99,0))</f>
        <v>1</v>
      </c>
      <c r="O377" s="8" t="n">
        <f aca="false">INDEX(Mapping!$C$2:$C$99,MATCH(O$1&amp;"|"&amp;Customers!O377,Mapping!$D$2:$D$99,0))</f>
        <v>3</v>
      </c>
      <c r="P377" s="8" t="n">
        <f aca="false">INDEX(Mapping!$C$2:$C$99,MATCH(P$1&amp;"|"&amp;Customers!P377,Mapping!$D$2:$D$99,0))</f>
        <v>3</v>
      </c>
      <c r="Q377" s="8" t="n">
        <f aca="false">INDEX(Mapping!$C$2:$C$99,MATCH(Q$1&amp;"|"&amp;Customers!Q377,Mapping!$D$2:$D$99,0))</f>
        <v>2</v>
      </c>
      <c r="R377" s="8" t="n">
        <f aca="false">INDEX(Mapping!$C$2:$C$99,MATCH(R$1&amp;"|"&amp;Customers!R377,Mapping!$D$2:$D$99,0))</f>
        <v>2</v>
      </c>
      <c r="S377" s="8" t="n">
        <f aca="false">INDEX(Mapping!$C$2:$C$99,MATCH(S$1&amp;"|"&amp;Customers!S377,Mapping!$D$2:$D$99,0))</f>
        <v>3</v>
      </c>
      <c r="T377" s="8" t="n">
        <f aca="false">INDEX(Mapping!$C$2:$C$99,MATCH(T$1&amp;"|"&amp;Customers!T377,Mapping!$D$2:$D$99,0))</f>
        <v>1</v>
      </c>
      <c r="U377" s="8" t="n">
        <f aca="false">INDEX(Mapping!$C$2:$C$99,MATCH(U$1&amp;"|"&amp;Customers!U377,Mapping!$D$2:$D$99,0))</f>
        <v>1</v>
      </c>
      <c r="V377" s="8" t="n">
        <f aca="false">INDEX(Mapping!$C$2:$C$99,MATCH(V$1&amp;"|"&amp;Customers!V377,Mapping!$D$2:$D$99,0))</f>
        <v>1</v>
      </c>
      <c r="W377" s="17" t="n">
        <f aca="false">SUMPRODUCT($C377:$V377,Weights!$C$27:$V$27)</f>
        <v>1.4675</v>
      </c>
      <c r="X377" s="18" t="n">
        <f aca="false">ROUND($W377,2)</f>
        <v>1.47</v>
      </c>
      <c r="Y377" s="8" t="str">
        <f aca="false">IF($X377&lt;=2,"Low",IF($X377&lt;=3.49,"Medium","High"))</f>
        <v>Low</v>
      </c>
      <c r="Z377" s="8" t="str">
        <f aca="false">IF(OR($F377&gt;=3,$E377=5,$D377=5,$C377=5,$G377=5,$H377=5,$I377=5,$J377=5,Customers!$W377="Yes"),"Yes","No")</f>
        <v>No</v>
      </c>
      <c r="AA377" s="15" t="str">
        <f aca="false">IF($Z377="Yes","High",$Y377)</f>
        <v>Low</v>
      </c>
      <c r="AB377" s="18" t="n">
        <f aca="false">SUMPRODUCT($C377:$G377,Weights!$C$28:$G$28)</f>
        <v>1.2</v>
      </c>
      <c r="AC377" s="18" t="n">
        <f aca="false">SUMPRODUCT($H377:$J377,Weights!$H$28:$J$28)</f>
        <v>1</v>
      </c>
      <c r="AD377" s="18" t="n">
        <f aca="false">SUMPRODUCT($K377:$N377,Weights!$K$28:$N$28)</f>
        <v>1.5</v>
      </c>
      <c r="AE377" s="18" t="n">
        <f aca="false">SUMPRODUCT($O377:$Q377,Weights!$O$28:$Q$28)</f>
        <v>2.8</v>
      </c>
      <c r="AF377" s="18" t="n">
        <f aca="false">SUMPRODUCT($R377:$V377,Weights!$R$28:$V$28)</f>
        <v>1.85</v>
      </c>
      <c r="AH377" s="18" t="n">
        <f aca="false">SUMPRODUCT($AB377:$AF377,Validation!$D$7:$H$7)</f>
        <v>1.50571428571495</v>
      </c>
      <c r="AI377" s="18" t="n">
        <f aca="false">SUMPRODUCT($AB377:$AF377,Validation!$D$8:$H$8)</f>
        <v>1.42928571428505</v>
      </c>
      <c r="AJ377" s="18" t="n">
        <f aca="false">SUMPRODUCT($AB377:$AF377,Validation!$D$9:$H$9)</f>
        <v>1.5298333333329</v>
      </c>
      <c r="AK377" s="18" t="n">
        <f aca="false">SUMPRODUCT($AB377:$AF377,Validation!$D$10:$H$10)</f>
        <v>1.4051666666671</v>
      </c>
      <c r="AL377" s="18" t="n">
        <f aca="false">SUMPRODUCT($AB377:$AF377,Validation!$D$11:$H$11)</f>
        <v>1.4634375</v>
      </c>
      <c r="AM377" s="18" t="n">
        <f aca="false">SUMPRODUCT($AB377:$AF377,Validation!$D$12:$H$12)</f>
        <v>1.4715625</v>
      </c>
      <c r="AN377" s="18" t="n">
        <f aca="false">SUMPRODUCT($AB377:$AF377,Validation!$D$13:$H$13)</f>
        <v>1.31944444444455</v>
      </c>
      <c r="AO377" s="18" t="n">
        <f aca="false">SUMPRODUCT($AB377:$AF377,Validation!$D$14:$H$14)</f>
        <v>1.61555555555545</v>
      </c>
      <c r="AP377" s="18" t="n">
        <f aca="false">SUMPRODUCT($AB377:$AF377,Validation!$D$15:$H$15)</f>
        <v>1.4224999999995</v>
      </c>
      <c r="AQ377" s="18" t="n">
        <f aca="false">SUMPRODUCT($AB377:$AF377,Validation!$D$16:$H$16)</f>
        <v>1.5125000000005</v>
      </c>
      <c r="AR377" s="8" t="n">
        <f aca="false">COUNTIF($C377:$V377,"&gt;=4")</f>
        <v>0</v>
      </c>
      <c r="AS377" s="8" t="str">
        <f aca="false">IF($X377&lt;=1.6,"Low",IF($X377&lt;=2.2,"Medium","High"))</f>
        <v>Low</v>
      </c>
      <c r="AT377" s="8" t="str">
        <f aca="false">IF($AR377=0,"Low",IF($AR377&lt;3,"Medium","High"))</f>
        <v>Low</v>
      </c>
      <c r="AU377" s="8" t="str">
        <f aca="false">IF(OR($AS377="High",$AT377="High"),"High",IF(OR($AS377="Medium",$AT377="Medium"),"Medium","Low"))</f>
        <v>Low</v>
      </c>
      <c r="AV377" s="15" t="str">
        <f aca="false">IF($Z377="Yes","High",$AU377)</f>
        <v>Low</v>
      </c>
    </row>
    <row r="378" customFormat="false" ht="15" hidden="false" customHeight="false" outlineLevel="0" collapsed="false">
      <c r="A378" s="7" t="str">
        <f aca="false">Customers!$A378</f>
        <v>NG-10280</v>
      </c>
      <c r="B378" s="7" t="str">
        <f aca="false">Customers!$B378</f>
        <v>Personal</v>
      </c>
      <c r="C378" s="8" t="n">
        <f aca="false">INDEX(Mapping!$C$2:$C$99,MATCH(C$1&amp;"|"&amp;Customers!C378,Mapping!$D$2:$D$99,0))</f>
        <v>1</v>
      </c>
      <c r="D378" s="8" t="n">
        <f aca="false">INDEX(Mapping!$C$2:$C$99,MATCH(D$1&amp;"|"&amp;Customers!D378,Mapping!$D$2:$D$99,0))</f>
        <v>1</v>
      </c>
      <c r="E378" s="8" t="n">
        <f aca="false">INDEX(Mapping!$C$2:$C$99,MATCH(E$1&amp;"|"&amp;Customers!E378,Mapping!$D$2:$D$99,0))</f>
        <v>3</v>
      </c>
      <c r="F378" s="8" t="n">
        <f aca="false">INDEX(Mapping!$C$2:$C$99,MATCH(F$1&amp;"|"&amp;Customers!F378,Mapping!$D$2:$D$99,0))</f>
        <v>1</v>
      </c>
      <c r="G378" s="8" t="n">
        <f aca="false">INDEX(Mapping!$C$2:$C$99,MATCH(G$1&amp;"|"&amp;Customers!G378,Mapping!$D$2:$D$99,0))</f>
        <v>1</v>
      </c>
      <c r="H378" s="8" t="n">
        <f aca="false">INDEX(Mapping!$C$2:$C$99,MATCH(H$1&amp;"|"&amp;Customers!H378,Mapping!$D$2:$D$99,0))</f>
        <v>1</v>
      </c>
      <c r="I378" s="8" t="n">
        <f aca="false">INDEX(Mapping!$C$2:$C$99,MATCH(I$1&amp;"|"&amp;Customers!I378,Mapping!$D$2:$D$99,0))</f>
        <v>1</v>
      </c>
      <c r="J378" s="8" t="n">
        <f aca="false">INDEX(Mapping!$C$2:$C$99,MATCH(J$1&amp;"|"&amp;Customers!J378,Mapping!$D$2:$D$99,0))</f>
        <v>3</v>
      </c>
      <c r="K378" s="8" t="n">
        <f aca="false">INDEX(Mapping!$C$2:$C$99,MATCH(K$1&amp;"|"&amp;Customers!K378,Mapping!$D$2:$D$99,0))</f>
        <v>3</v>
      </c>
      <c r="L378" s="8" t="n">
        <f aca="false">INDEX(Mapping!$C$2:$C$99,MATCH(L$1&amp;"|"&amp;Customers!L378,Mapping!$D$2:$D$99,0))</f>
        <v>2</v>
      </c>
      <c r="M378" s="8" t="n">
        <f aca="false">INDEX(Mapping!$C$2:$C$99,MATCH(M$1&amp;"|"&amp;Customers!M378,Mapping!$D$2:$D$99,0))</f>
        <v>2</v>
      </c>
      <c r="N378" s="8" t="n">
        <f aca="false">INDEX(Mapping!$C$2:$C$99,MATCH(N$1&amp;"|"&amp;Customers!N378,Mapping!$D$2:$D$99,0))</f>
        <v>1</v>
      </c>
      <c r="O378" s="8" t="n">
        <f aca="false">INDEX(Mapping!$C$2:$C$99,MATCH(O$1&amp;"|"&amp;Customers!O378,Mapping!$D$2:$D$99,0))</f>
        <v>3</v>
      </c>
      <c r="P378" s="8" t="n">
        <f aca="false">INDEX(Mapping!$C$2:$C$99,MATCH(P$1&amp;"|"&amp;Customers!P378,Mapping!$D$2:$D$99,0))</f>
        <v>1</v>
      </c>
      <c r="Q378" s="8" t="n">
        <f aca="false">INDEX(Mapping!$C$2:$C$99,MATCH(Q$1&amp;"|"&amp;Customers!Q378,Mapping!$D$2:$D$99,0))</f>
        <v>1</v>
      </c>
      <c r="R378" s="8" t="n">
        <f aca="false">INDEX(Mapping!$C$2:$C$99,MATCH(R$1&amp;"|"&amp;Customers!R378,Mapping!$D$2:$D$99,0))</f>
        <v>1</v>
      </c>
      <c r="S378" s="8" t="n">
        <f aca="false">INDEX(Mapping!$C$2:$C$99,MATCH(S$1&amp;"|"&amp;Customers!S378,Mapping!$D$2:$D$99,0))</f>
        <v>1</v>
      </c>
      <c r="T378" s="8" t="n">
        <f aca="false">INDEX(Mapping!$C$2:$C$99,MATCH(T$1&amp;"|"&amp;Customers!T378,Mapping!$D$2:$D$99,0))</f>
        <v>1</v>
      </c>
      <c r="U378" s="8" t="n">
        <f aca="false">INDEX(Mapping!$C$2:$C$99,MATCH(U$1&amp;"|"&amp;Customers!U378,Mapping!$D$2:$D$99,0))</f>
        <v>1</v>
      </c>
      <c r="V378" s="8" t="n">
        <f aca="false">INDEX(Mapping!$C$2:$C$99,MATCH(V$1&amp;"|"&amp;Customers!V378,Mapping!$D$2:$D$99,0))</f>
        <v>1</v>
      </c>
      <c r="W378" s="17" t="n">
        <f aca="false">SUMPRODUCT($C378:$V378,Weights!$C$27:$V$27)</f>
        <v>1.68</v>
      </c>
      <c r="X378" s="18" t="n">
        <f aca="false">ROUND($W378,2)</f>
        <v>1.68</v>
      </c>
      <c r="Y378" s="8" t="str">
        <f aca="false">IF($X378&lt;=2,"Low",IF($X378&lt;=3.49,"Medium","High"))</f>
        <v>Low</v>
      </c>
      <c r="Z378" s="8" t="str">
        <f aca="false">IF(OR($F378&gt;=3,$E378=5,$D378=5,$C378=5,$G378=5,$H378=5,$I378=5,$J378=5,Customers!$W378="Yes"),"Yes","No")</f>
        <v>No</v>
      </c>
      <c r="AA378" s="15" t="str">
        <f aca="false">IF($Z378="Yes","High",$Y378)</f>
        <v>Low</v>
      </c>
      <c r="AB378" s="18" t="n">
        <f aca="false">SUMPRODUCT($C378:$G378,Weights!$C$28:$G$28)</f>
        <v>1.5</v>
      </c>
      <c r="AC378" s="18" t="n">
        <f aca="false">SUMPRODUCT($H378:$J378,Weights!$H$28:$J$28)</f>
        <v>1.8</v>
      </c>
      <c r="AD378" s="18" t="n">
        <f aca="false">SUMPRODUCT($K378:$N378,Weights!$K$28:$N$28)</f>
        <v>2.2</v>
      </c>
      <c r="AE378" s="18" t="n">
        <f aca="false">SUMPRODUCT($O378:$Q378,Weights!$O$28:$Q$28)</f>
        <v>1.9</v>
      </c>
      <c r="AF378" s="18" t="n">
        <f aca="false">SUMPRODUCT($R378:$V378,Weights!$R$28:$V$28)</f>
        <v>1</v>
      </c>
      <c r="AH378" s="18" t="n">
        <f aca="false">SUMPRODUCT($AB378:$AF378,Validation!$D$7:$H$7)</f>
        <v>1.7057142857138</v>
      </c>
      <c r="AI378" s="18" t="n">
        <f aca="false">SUMPRODUCT($AB378:$AF378,Validation!$D$8:$H$8)</f>
        <v>1.6542857142862</v>
      </c>
      <c r="AJ378" s="18" t="n">
        <f aca="false">SUMPRODUCT($AB378:$AF378,Validation!$D$9:$H$9)</f>
        <v>1.6640000000001</v>
      </c>
      <c r="AK378" s="18" t="n">
        <f aca="false">SUMPRODUCT($AB378:$AF378,Validation!$D$10:$H$10)</f>
        <v>1.6959999999999</v>
      </c>
      <c r="AL378" s="18" t="n">
        <f aca="false">SUMPRODUCT($AB378:$AF378,Validation!$D$11:$H$11)</f>
        <v>1.615</v>
      </c>
      <c r="AM378" s="18" t="n">
        <f aca="false">SUMPRODUCT($AB378:$AF378,Validation!$D$12:$H$12)</f>
        <v>1.745</v>
      </c>
      <c r="AN378" s="18" t="n">
        <f aca="false">SUMPRODUCT($AB378:$AF378,Validation!$D$13:$H$13)</f>
        <v>1.6555555555553</v>
      </c>
      <c r="AO378" s="18" t="n">
        <f aca="false">SUMPRODUCT($AB378:$AF378,Validation!$D$14:$H$14)</f>
        <v>1.7044444444447</v>
      </c>
      <c r="AP378" s="18" t="n">
        <f aca="false">SUMPRODUCT($AB378:$AF378,Validation!$D$15:$H$15)</f>
        <v>1.7600000000001</v>
      </c>
      <c r="AQ378" s="18" t="n">
        <f aca="false">SUMPRODUCT($AB378:$AF378,Validation!$D$16:$H$16)</f>
        <v>1.5999999999999</v>
      </c>
      <c r="AR378" s="8" t="n">
        <f aca="false">COUNTIF($C378:$V378,"&gt;=4")</f>
        <v>0</v>
      </c>
      <c r="AS378" s="8" t="str">
        <f aca="false">IF($X378&lt;=1.6,"Low",IF($X378&lt;=2.2,"Medium","High"))</f>
        <v>Medium</v>
      </c>
      <c r="AT378" s="8" t="str">
        <f aca="false">IF($AR378=0,"Low",IF($AR378&lt;3,"Medium","High"))</f>
        <v>Low</v>
      </c>
      <c r="AU378" s="8" t="str">
        <f aca="false">IF(OR($AS378="High",$AT378="High"),"High",IF(OR($AS378="Medium",$AT378="Medium"),"Medium","Low"))</f>
        <v>Medium</v>
      </c>
      <c r="AV378" s="15" t="str">
        <f aca="false">IF($Z378="Yes","High",$AU378)</f>
        <v>Medium</v>
      </c>
    </row>
    <row r="379" customFormat="false" ht="15" hidden="false" customHeight="false" outlineLevel="0" collapsed="false">
      <c r="A379" s="7" t="str">
        <f aca="false">Customers!$A379</f>
        <v>NG-10366</v>
      </c>
      <c r="B379" s="7" t="str">
        <f aca="false">Customers!$B379</f>
        <v>Limited company</v>
      </c>
      <c r="C379" s="8" t="n">
        <f aca="false">INDEX(Mapping!$C$2:$C$99,MATCH(C$1&amp;"|"&amp;Customers!C379,Mapping!$D$2:$D$99,0))</f>
        <v>3</v>
      </c>
      <c r="D379" s="8" t="n">
        <f aca="false">INDEX(Mapping!$C$2:$C$99,MATCH(D$1&amp;"|"&amp;Customers!D379,Mapping!$D$2:$D$99,0))</f>
        <v>2</v>
      </c>
      <c r="E379" s="8" t="n">
        <f aca="false">INDEX(Mapping!$C$2:$C$99,MATCH(E$1&amp;"|"&amp;Customers!E379,Mapping!$D$2:$D$99,0))</f>
        <v>4</v>
      </c>
      <c r="F379" s="8" t="n">
        <f aca="false">INDEX(Mapping!$C$2:$C$99,MATCH(F$1&amp;"|"&amp;Customers!F379,Mapping!$D$2:$D$99,0))</f>
        <v>1</v>
      </c>
      <c r="G379" s="8" t="n">
        <f aca="false">INDEX(Mapping!$C$2:$C$99,MATCH(G$1&amp;"|"&amp;Customers!G379,Mapping!$D$2:$D$99,0))</f>
        <v>3</v>
      </c>
      <c r="H379" s="8" t="n">
        <f aca="false">INDEX(Mapping!$C$2:$C$99,MATCH(H$1&amp;"|"&amp;Customers!H379,Mapping!$D$2:$D$99,0))</f>
        <v>1</v>
      </c>
      <c r="I379" s="8" t="n">
        <f aca="false">INDEX(Mapping!$C$2:$C$99,MATCH(I$1&amp;"|"&amp;Customers!I379,Mapping!$D$2:$D$99,0))</f>
        <v>2</v>
      </c>
      <c r="J379" s="8" t="n">
        <f aca="false">INDEX(Mapping!$C$2:$C$99,MATCH(J$1&amp;"|"&amp;Customers!J379,Mapping!$D$2:$D$99,0))</f>
        <v>1</v>
      </c>
      <c r="K379" s="8" t="n">
        <f aca="false">INDEX(Mapping!$C$2:$C$99,MATCH(K$1&amp;"|"&amp;Customers!K379,Mapping!$D$2:$D$99,0))</f>
        <v>5</v>
      </c>
      <c r="L379" s="8" t="n">
        <f aca="false">INDEX(Mapping!$C$2:$C$99,MATCH(L$1&amp;"|"&amp;Customers!L379,Mapping!$D$2:$D$99,0))</f>
        <v>2</v>
      </c>
      <c r="M379" s="8" t="n">
        <f aca="false">INDEX(Mapping!$C$2:$C$99,MATCH(M$1&amp;"|"&amp;Customers!M379,Mapping!$D$2:$D$99,0))</f>
        <v>3</v>
      </c>
      <c r="N379" s="8" t="n">
        <f aca="false">INDEX(Mapping!$C$2:$C$99,MATCH(N$1&amp;"|"&amp;Customers!N379,Mapping!$D$2:$D$99,0))</f>
        <v>3</v>
      </c>
      <c r="O379" s="8" t="n">
        <f aca="false">INDEX(Mapping!$C$2:$C$99,MATCH(O$1&amp;"|"&amp;Customers!O379,Mapping!$D$2:$D$99,0))</f>
        <v>3</v>
      </c>
      <c r="P379" s="8" t="n">
        <f aca="false">INDEX(Mapping!$C$2:$C$99,MATCH(P$1&amp;"|"&amp;Customers!P379,Mapping!$D$2:$D$99,0))</f>
        <v>1</v>
      </c>
      <c r="Q379" s="8" t="n">
        <f aca="false">INDEX(Mapping!$C$2:$C$99,MATCH(Q$1&amp;"|"&amp;Customers!Q379,Mapping!$D$2:$D$99,0))</f>
        <v>1</v>
      </c>
      <c r="R379" s="8" t="n">
        <f aca="false">INDEX(Mapping!$C$2:$C$99,MATCH(R$1&amp;"|"&amp;Customers!R379,Mapping!$D$2:$D$99,0))</f>
        <v>1</v>
      </c>
      <c r="S379" s="8" t="n">
        <f aca="false">INDEX(Mapping!$C$2:$C$99,MATCH(S$1&amp;"|"&amp;Customers!S379,Mapping!$D$2:$D$99,0))</f>
        <v>3</v>
      </c>
      <c r="T379" s="8" t="n">
        <f aca="false">INDEX(Mapping!$C$2:$C$99,MATCH(T$1&amp;"|"&amp;Customers!T379,Mapping!$D$2:$D$99,0))</f>
        <v>1</v>
      </c>
      <c r="U379" s="8" t="n">
        <f aca="false">INDEX(Mapping!$C$2:$C$99,MATCH(U$1&amp;"|"&amp;Customers!U379,Mapping!$D$2:$D$99,0))</f>
        <v>2</v>
      </c>
      <c r="V379" s="8" t="n">
        <f aca="false">INDEX(Mapping!$C$2:$C$99,MATCH(V$1&amp;"|"&amp;Customers!V379,Mapping!$D$2:$D$99,0))</f>
        <v>1</v>
      </c>
      <c r="W379" s="17" t="n">
        <f aca="false">SUMPRODUCT($C379:$V379,Weights!$C$27:$V$27)</f>
        <v>2.2375</v>
      </c>
      <c r="X379" s="18" t="n">
        <f aca="false">ROUND($W379,2)</f>
        <v>2.24</v>
      </c>
      <c r="Y379" s="8" t="str">
        <f aca="false">IF($X379&lt;=2,"Low",IF($X379&lt;=3.49,"Medium","High"))</f>
        <v>Medium</v>
      </c>
      <c r="Z379" s="8" t="str">
        <f aca="false">IF(OR($F379&gt;=3,$E379=5,$D379=5,$C379=5,$G379=5,$H379=5,$I379=5,$J379=5,Customers!$W379="Yes"),"Yes","No")</f>
        <v>No</v>
      </c>
      <c r="AA379" s="15" t="str">
        <f aca="false">IF($Z379="Yes","High",$Y379)</f>
        <v>Medium</v>
      </c>
      <c r="AB379" s="18" t="n">
        <f aca="false">SUMPRODUCT($C379:$G379,Weights!$C$28:$G$28)</f>
        <v>2.65</v>
      </c>
      <c r="AC379" s="18" t="n">
        <f aca="false">SUMPRODUCT($H379:$J379,Weights!$H$28:$J$28)</f>
        <v>1.2</v>
      </c>
      <c r="AD379" s="18" t="n">
        <f aca="false">SUMPRODUCT($K379:$N379,Weights!$K$28:$N$28)</f>
        <v>3.45</v>
      </c>
      <c r="AE379" s="18" t="n">
        <f aca="false">SUMPRODUCT($O379:$Q379,Weights!$O$28:$Q$28)</f>
        <v>1.9</v>
      </c>
      <c r="AF379" s="18" t="n">
        <f aca="false">SUMPRODUCT($R379:$V379,Weights!$R$28:$V$28)</f>
        <v>1.75</v>
      </c>
      <c r="AH379" s="18" t="n">
        <f aca="false">SUMPRODUCT($AB379:$AF379,Validation!$D$7:$H$7)</f>
        <v>2.1785714285709</v>
      </c>
      <c r="AI379" s="18" t="n">
        <f aca="false">SUMPRODUCT($AB379:$AF379,Validation!$D$8:$H$8)</f>
        <v>2.2964285714291</v>
      </c>
      <c r="AJ379" s="18" t="n">
        <f aca="false">SUMPRODUCT($AB379:$AF379,Validation!$D$9:$H$9)</f>
        <v>2.37583333333385</v>
      </c>
      <c r="AK379" s="18" t="n">
        <f aca="false">SUMPRODUCT($AB379:$AF379,Validation!$D$10:$H$10)</f>
        <v>2.09916666666615</v>
      </c>
      <c r="AL379" s="18" t="n">
        <f aca="false">SUMPRODUCT($AB379:$AF379,Validation!$D$11:$H$11)</f>
        <v>2.0859375</v>
      </c>
      <c r="AM379" s="18" t="n">
        <f aca="false">SUMPRODUCT($AB379:$AF379,Validation!$D$12:$H$12)</f>
        <v>2.3890625</v>
      </c>
      <c r="AN379" s="18" t="n">
        <f aca="false">SUMPRODUCT($AB379:$AF379,Validation!$D$13:$H$13)</f>
        <v>2.2749999999992</v>
      </c>
      <c r="AO379" s="18" t="n">
        <f aca="false">SUMPRODUCT($AB379:$AF379,Validation!$D$14:$H$14)</f>
        <v>2.2000000000008</v>
      </c>
      <c r="AP379" s="18" t="n">
        <f aca="false">SUMPRODUCT($AB379:$AF379,Validation!$D$15:$H$15)</f>
        <v>2.2948529411768</v>
      </c>
      <c r="AQ379" s="18" t="n">
        <f aca="false">SUMPRODUCT($AB379:$AF379,Validation!$D$16:$H$16)</f>
        <v>2.1801470588232</v>
      </c>
      <c r="AR379" s="8" t="n">
        <f aca="false">COUNTIF($C379:$V379,"&gt;=4")</f>
        <v>2</v>
      </c>
      <c r="AS379" s="8" t="str">
        <f aca="false">IF($X379&lt;=1.6,"Low",IF($X379&lt;=2.2,"Medium","High"))</f>
        <v>High</v>
      </c>
      <c r="AT379" s="8" t="str">
        <f aca="false">IF($AR379=0,"Low",IF($AR379&lt;3,"Medium","High"))</f>
        <v>Medium</v>
      </c>
      <c r="AU379" s="8" t="str">
        <f aca="false">IF(OR($AS379="High",$AT379="High"),"High",IF(OR($AS379="Medium",$AT379="Medium"),"Medium","Low"))</f>
        <v>High</v>
      </c>
      <c r="AV379" s="15" t="str">
        <f aca="false">IF($Z379="Yes","High",$AU379)</f>
        <v>High</v>
      </c>
    </row>
    <row r="380" customFormat="false" ht="15" hidden="false" customHeight="false" outlineLevel="0" collapsed="false">
      <c r="A380" s="7" t="str">
        <f aca="false">Customers!$A380</f>
        <v>NG-10233</v>
      </c>
      <c r="B380" s="7" t="str">
        <f aca="false">Customers!$B380</f>
        <v>Personal</v>
      </c>
      <c r="C380" s="8" t="n">
        <f aca="false">INDEX(Mapping!$C$2:$C$99,MATCH(C$1&amp;"|"&amp;Customers!C380,Mapping!$D$2:$D$99,0))</f>
        <v>1</v>
      </c>
      <c r="D380" s="8" t="n">
        <f aca="false">INDEX(Mapping!$C$2:$C$99,MATCH(D$1&amp;"|"&amp;Customers!D380,Mapping!$D$2:$D$99,0))</f>
        <v>1</v>
      </c>
      <c r="E380" s="8" t="n">
        <f aca="false">INDEX(Mapping!$C$2:$C$99,MATCH(E$1&amp;"|"&amp;Customers!E380,Mapping!$D$2:$D$99,0))</f>
        <v>3</v>
      </c>
      <c r="F380" s="8" t="n">
        <f aca="false">INDEX(Mapping!$C$2:$C$99,MATCH(F$1&amp;"|"&amp;Customers!F380,Mapping!$D$2:$D$99,0))</f>
        <v>1</v>
      </c>
      <c r="G380" s="8" t="n">
        <f aca="false">INDEX(Mapping!$C$2:$C$99,MATCH(G$1&amp;"|"&amp;Customers!G380,Mapping!$D$2:$D$99,0))</f>
        <v>1</v>
      </c>
      <c r="H380" s="8" t="n">
        <f aca="false">INDEX(Mapping!$C$2:$C$99,MATCH(H$1&amp;"|"&amp;Customers!H380,Mapping!$D$2:$D$99,0))</f>
        <v>1</v>
      </c>
      <c r="I380" s="8" t="n">
        <f aca="false">INDEX(Mapping!$C$2:$C$99,MATCH(I$1&amp;"|"&amp;Customers!I380,Mapping!$D$2:$D$99,0))</f>
        <v>1</v>
      </c>
      <c r="J380" s="8" t="n">
        <f aca="false">INDEX(Mapping!$C$2:$C$99,MATCH(J$1&amp;"|"&amp;Customers!J380,Mapping!$D$2:$D$99,0))</f>
        <v>1</v>
      </c>
      <c r="K380" s="8" t="n">
        <f aca="false">INDEX(Mapping!$C$2:$C$99,MATCH(K$1&amp;"|"&amp;Customers!K380,Mapping!$D$2:$D$99,0))</f>
        <v>3</v>
      </c>
      <c r="L380" s="8" t="n">
        <f aca="false">INDEX(Mapping!$C$2:$C$99,MATCH(L$1&amp;"|"&amp;Customers!L380,Mapping!$D$2:$D$99,0))</f>
        <v>2</v>
      </c>
      <c r="M380" s="8" t="n">
        <f aca="false">INDEX(Mapping!$C$2:$C$99,MATCH(M$1&amp;"|"&amp;Customers!M380,Mapping!$D$2:$D$99,0))</f>
        <v>2</v>
      </c>
      <c r="N380" s="8" t="n">
        <f aca="false">INDEX(Mapping!$C$2:$C$99,MATCH(N$1&amp;"|"&amp;Customers!N380,Mapping!$D$2:$D$99,0))</f>
        <v>3</v>
      </c>
      <c r="O380" s="8" t="n">
        <f aca="false">INDEX(Mapping!$C$2:$C$99,MATCH(O$1&amp;"|"&amp;Customers!O380,Mapping!$D$2:$D$99,0))</f>
        <v>3</v>
      </c>
      <c r="P380" s="8" t="n">
        <f aca="false">INDEX(Mapping!$C$2:$C$99,MATCH(P$1&amp;"|"&amp;Customers!P380,Mapping!$D$2:$D$99,0))</f>
        <v>3</v>
      </c>
      <c r="Q380" s="8" t="n">
        <f aca="false">INDEX(Mapping!$C$2:$C$99,MATCH(Q$1&amp;"|"&amp;Customers!Q380,Mapping!$D$2:$D$99,0))</f>
        <v>1</v>
      </c>
      <c r="R380" s="8" t="n">
        <f aca="false">INDEX(Mapping!$C$2:$C$99,MATCH(R$1&amp;"|"&amp;Customers!R380,Mapping!$D$2:$D$99,0))</f>
        <v>2</v>
      </c>
      <c r="S380" s="8" t="n">
        <f aca="false">INDEX(Mapping!$C$2:$C$99,MATCH(S$1&amp;"|"&amp;Customers!S380,Mapping!$D$2:$D$99,0))</f>
        <v>1</v>
      </c>
      <c r="T380" s="8" t="n">
        <f aca="false">INDEX(Mapping!$C$2:$C$99,MATCH(T$1&amp;"|"&amp;Customers!T380,Mapping!$D$2:$D$99,0))</f>
        <v>1</v>
      </c>
      <c r="U380" s="8" t="n">
        <f aca="false">INDEX(Mapping!$C$2:$C$99,MATCH(U$1&amp;"|"&amp;Customers!U380,Mapping!$D$2:$D$99,0))</f>
        <v>3</v>
      </c>
      <c r="V380" s="8" t="n">
        <f aca="false">INDEX(Mapping!$C$2:$C$99,MATCH(V$1&amp;"|"&amp;Customers!V380,Mapping!$D$2:$D$99,0))</f>
        <v>1</v>
      </c>
      <c r="W380" s="17" t="n">
        <f aca="false">SUMPRODUCT($C380:$V380,Weights!$C$27:$V$27)</f>
        <v>1.6925</v>
      </c>
      <c r="X380" s="18" t="n">
        <f aca="false">ROUND($W380,2)</f>
        <v>1.69</v>
      </c>
      <c r="Y380" s="8" t="str">
        <f aca="false">IF($X380&lt;=2,"Low",IF($X380&lt;=3.49,"Medium","High"))</f>
        <v>Low</v>
      </c>
      <c r="Z380" s="8" t="str">
        <f aca="false">IF(OR($F380&gt;=3,$E380=5,$D380=5,$C380=5,$G380=5,$H380=5,$I380=5,$J380=5,Customers!$W380="Yes"),"Yes","No")</f>
        <v>No</v>
      </c>
      <c r="AA380" s="15" t="str">
        <f aca="false">IF($Z380="Yes","High",$Y380)</f>
        <v>Low</v>
      </c>
      <c r="AB380" s="18" t="n">
        <f aca="false">SUMPRODUCT($C380:$G380,Weights!$C$28:$G$28)</f>
        <v>1.5</v>
      </c>
      <c r="AC380" s="18" t="n">
        <f aca="false">SUMPRODUCT($H380:$J380,Weights!$H$28:$J$28)</f>
        <v>1</v>
      </c>
      <c r="AD380" s="18" t="n">
        <f aca="false">SUMPRODUCT($K380:$N380,Weights!$K$28:$N$28)</f>
        <v>2.5</v>
      </c>
      <c r="AE380" s="18" t="n">
        <f aca="false">SUMPRODUCT($O380:$Q380,Weights!$O$28:$Q$28)</f>
        <v>2.6</v>
      </c>
      <c r="AF380" s="18" t="n">
        <f aca="false">SUMPRODUCT($R380:$V380,Weights!$R$28:$V$28)</f>
        <v>1.55</v>
      </c>
      <c r="AH380" s="18" t="n">
        <f aca="false">SUMPRODUCT($AB380:$AF380,Validation!$D$7:$H$7)</f>
        <v>1.72000000000005</v>
      </c>
      <c r="AI380" s="18" t="n">
        <f aca="false">SUMPRODUCT($AB380:$AF380,Validation!$D$8:$H$8)</f>
        <v>1.66499999999995</v>
      </c>
      <c r="AJ380" s="18" t="n">
        <f aca="false">SUMPRODUCT($AB380:$AF380,Validation!$D$9:$H$9)</f>
        <v>1.7848333333333</v>
      </c>
      <c r="AK380" s="18" t="n">
        <f aca="false">SUMPRODUCT($AB380:$AF380,Validation!$D$10:$H$10)</f>
        <v>1.6001666666667</v>
      </c>
      <c r="AL380" s="18" t="n">
        <f aca="false">SUMPRODUCT($AB380:$AF380,Validation!$D$11:$H$11)</f>
        <v>1.5915625</v>
      </c>
      <c r="AM380" s="18" t="n">
        <f aca="false">SUMPRODUCT($AB380:$AF380,Validation!$D$12:$H$12)</f>
        <v>1.7934375</v>
      </c>
      <c r="AN380" s="18" t="n">
        <f aca="false">SUMPRODUCT($AB380:$AF380,Validation!$D$13:$H$13)</f>
        <v>1.59166666666635</v>
      </c>
      <c r="AO380" s="18" t="n">
        <f aca="false">SUMPRODUCT($AB380:$AF380,Validation!$D$14:$H$14)</f>
        <v>1.79333333333365</v>
      </c>
      <c r="AP380" s="18" t="n">
        <f aca="false">SUMPRODUCT($AB380:$AF380,Validation!$D$15:$H$15)</f>
        <v>1.7092647058822</v>
      </c>
      <c r="AQ380" s="18" t="n">
        <f aca="false">SUMPRODUCT($AB380:$AF380,Validation!$D$16:$H$16)</f>
        <v>1.6757352941178</v>
      </c>
      <c r="AR380" s="8" t="n">
        <f aca="false">COUNTIF($C380:$V380,"&gt;=4")</f>
        <v>0</v>
      </c>
      <c r="AS380" s="8" t="str">
        <f aca="false">IF($X380&lt;=1.6,"Low",IF($X380&lt;=2.2,"Medium","High"))</f>
        <v>Medium</v>
      </c>
      <c r="AT380" s="8" t="str">
        <f aca="false">IF($AR380=0,"Low",IF($AR380&lt;3,"Medium","High"))</f>
        <v>Low</v>
      </c>
      <c r="AU380" s="8" t="str">
        <f aca="false">IF(OR($AS380="High",$AT380="High"),"High",IF(OR($AS380="Medium",$AT380="Medium"),"Medium","Low"))</f>
        <v>Medium</v>
      </c>
      <c r="AV380" s="15" t="str">
        <f aca="false">IF($Z380="Yes","High",$AU380)</f>
        <v>Medium</v>
      </c>
    </row>
    <row r="381" customFormat="false" ht="15" hidden="false" customHeight="false" outlineLevel="0" collapsed="false">
      <c r="A381" s="7" t="str">
        <f aca="false">Customers!$A381</f>
        <v>NG-10072</v>
      </c>
      <c r="B381" s="7" t="str">
        <f aca="false">Customers!$B381</f>
        <v>Personal</v>
      </c>
      <c r="C381" s="8" t="n">
        <f aca="false">INDEX(Mapping!$C$2:$C$99,MATCH(C$1&amp;"|"&amp;Customers!C381,Mapping!$D$2:$D$99,0))</f>
        <v>1</v>
      </c>
      <c r="D381" s="8" t="n">
        <f aca="false">INDEX(Mapping!$C$2:$C$99,MATCH(D$1&amp;"|"&amp;Customers!D381,Mapping!$D$2:$D$99,0))</f>
        <v>1</v>
      </c>
      <c r="E381" s="8" t="n">
        <f aca="false">INDEX(Mapping!$C$2:$C$99,MATCH(E$1&amp;"|"&amp;Customers!E381,Mapping!$D$2:$D$99,0))</f>
        <v>1</v>
      </c>
      <c r="F381" s="8" t="n">
        <f aca="false">INDEX(Mapping!$C$2:$C$99,MATCH(F$1&amp;"|"&amp;Customers!F381,Mapping!$D$2:$D$99,0))</f>
        <v>1</v>
      </c>
      <c r="G381" s="8" t="n">
        <f aca="false">INDEX(Mapping!$C$2:$C$99,MATCH(G$1&amp;"|"&amp;Customers!G381,Mapping!$D$2:$D$99,0))</f>
        <v>1</v>
      </c>
      <c r="H381" s="8" t="n">
        <f aca="false">INDEX(Mapping!$C$2:$C$99,MATCH(H$1&amp;"|"&amp;Customers!H381,Mapping!$D$2:$D$99,0))</f>
        <v>1</v>
      </c>
      <c r="I381" s="8" t="n">
        <f aca="false">INDEX(Mapping!$C$2:$C$99,MATCH(I$1&amp;"|"&amp;Customers!I381,Mapping!$D$2:$D$99,0))</f>
        <v>1</v>
      </c>
      <c r="J381" s="8" t="n">
        <f aca="false">INDEX(Mapping!$C$2:$C$99,MATCH(J$1&amp;"|"&amp;Customers!J381,Mapping!$D$2:$D$99,0))</f>
        <v>2</v>
      </c>
      <c r="K381" s="8" t="n">
        <f aca="false">INDEX(Mapping!$C$2:$C$99,MATCH(K$1&amp;"|"&amp;Customers!K381,Mapping!$D$2:$D$99,0))</f>
        <v>2</v>
      </c>
      <c r="L381" s="8" t="n">
        <f aca="false">INDEX(Mapping!$C$2:$C$99,MATCH(L$1&amp;"|"&amp;Customers!L381,Mapping!$D$2:$D$99,0))</f>
        <v>2</v>
      </c>
      <c r="M381" s="8" t="n">
        <f aca="false">INDEX(Mapping!$C$2:$C$99,MATCH(M$1&amp;"|"&amp;Customers!M381,Mapping!$D$2:$D$99,0))</f>
        <v>1</v>
      </c>
      <c r="N381" s="8" t="n">
        <f aca="false">INDEX(Mapping!$C$2:$C$99,MATCH(N$1&amp;"|"&amp;Customers!N381,Mapping!$D$2:$D$99,0))</f>
        <v>1</v>
      </c>
      <c r="O381" s="8" t="n">
        <f aca="false">INDEX(Mapping!$C$2:$C$99,MATCH(O$1&amp;"|"&amp;Customers!O381,Mapping!$D$2:$D$99,0))</f>
        <v>2</v>
      </c>
      <c r="P381" s="8" t="n">
        <f aca="false">INDEX(Mapping!$C$2:$C$99,MATCH(P$1&amp;"|"&amp;Customers!P381,Mapping!$D$2:$D$99,0))</f>
        <v>3</v>
      </c>
      <c r="Q381" s="8" t="n">
        <f aca="false">INDEX(Mapping!$C$2:$C$99,MATCH(Q$1&amp;"|"&amp;Customers!Q381,Mapping!$D$2:$D$99,0))</f>
        <v>2</v>
      </c>
      <c r="R381" s="8" t="n">
        <f aca="false">INDEX(Mapping!$C$2:$C$99,MATCH(R$1&amp;"|"&amp;Customers!R381,Mapping!$D$2:$D$99,0))</f>
        <v>1</v>
      </c>
      <c r="S381" s="8" t="n">
        <f aca="false">INDEX(Mapping!$C$2:$C$99,MATCH(S$1&amp;"|"&amp;Customers!S381,Mapping!$D$2:$D$99,0))</f>
        <v>2</v>
      </c>
      <c r="T381" s="8" t="n">
        <f aca="false">INDEX(Mapping!$C$2:$C$99,MATCH(T$1&amp;"|"&amp;Customers!T381,Mapping!$D$2:$D$99,0))</f>
        <v>1</v>
      </c>
      <c r="U381" s="8" t="n">
        <f aca="false">INDEX(Mapping!$C$2:$C$99,MATCH(U$1&amp;"|"&amp;Customers!U381,Mapping!$D$2:$D$99,0))</f>
        <v>2</v>
      </c>
      <c r="V381" s="8" t="n">
        <f aca="false">INDEX(Mapping!$C$2:$C$99,MATCH(V$1&amp;"|"&amp;Customers!V381,Mapping!$D$2:$D$99,0))</f>
        <v>1</v>
      </c>
      <c r="W381" s="17" t="n">
        <f aca="false">SUMPRODUCT($C381:$V381,Weights!$C$27:$V$27)</f>
        <v>1.4225</v>
      </c>
      <c r="X381" s="18" t="n">
        <f aca="false">ROUND($W381,2)</f>
        <v>1.42</v>
      </c>
      <c r="Y381" s="8" t="str">
        <f aca="false">IF($X381&lt;=2,"Low",IF($X381&lt;=3.49,"Medium","High"))</f>
        <v>Low</v>
      </c>
      <c r="Z381" s="8" t="str">
        <f aca="false">IF(OR($F381&gt;=3,$E381=5,$D381=5,$C381=5,$G381=5,$H381=5,$I381=5,$J381=5,Customers!$W381="Yes"),"Yes","No")</f>
        <v>No</v>
      </c>
      <c r="AA381" s="15" t="str">
        <f aca="false">IF($Z381="Yes","High",$Y381)</f>
        <v>Low</v>
      </c>
      <c r="AB381" s="18" t="n">
        <f aca="false">SUMPRODUCT($C381:$G381,Weights!$C$28:$G$28)</f>
        <v>1</v>
      </c>
      <c r="AC381" s="18" t="n">
        <f aca="false">SUMPRODUCT($H381:$J381,Weights!$H$28:$J$28)</f>
        <v>1.4</v>
      </c>
      <c r="AD381" s="18" t="n">
        <f aca="false">SUMPRODUCT($K381:$N381,Weights!$K$28:$N$28)</f>
        <v>1.6</v>
      </c>
      <c r="AE381" s="18" t="n">
        <f aca="false">SUMPRODUCT($O381:$Q381,Weights!$O$28:$Q$28)</f>
        <v>2.35</v>
      </c>
      <c r="AF381" s="18" t="n">
        <f aca="false">SUMPRODUCT($R381:$V381,Weights!$R$28:$V$28)</f>
        <v>1.45</v>
      </c>
      <c r="AH381" s="18" t="n">
        <f aca="false">SUMPRODUCT($AB381:$AF381,Validation!$D$7:$H$7)</f>
        <v>1.48285714285735</v>
      </c>
      <c r="AI381" s="18" t="n">
        <f aca="false">SUMPRODUCT($AB381:$AF381,Validation!$D$8:$H$8)</f>
        <v>1.36214285714265</v>
      </c>
      <c r="AJ381" s="18" t="n">
        <f aca="false">SUMPRODUCT($AB381:$AF381,Validation!$D$9:$H$9)</f>
        <v>1.42549999999975</v>
      </c>
      <c r="AK381" s="18" t="n">
        <f aca="false">SUMPRODUCT($AB381:$AF381,Validation!$D$10:$H$10)</f>
        <v>1.41950000000025</v>
      </c>
      <c r="AL381" s="18" t="n">
        <f aca="false">SUMPRODUCT($AB381:$AF381,Validation!$D$11:$H$11)</f>
        <v>1.4003125</v>
      </c>
      <c r="AM381" s="18" t="n">
        <f aca="false">SUMPRODUCT($AB381:$AF381,Validation!$D$12:$H$12)</f>
        <v>1.4446875</v>
      </c>
      <c r="AN381" s="18" t="n">
        <f aca="false">SUMPRODUCT($AB381:$AF381,Validation!$D$13:$H$13)</f>
        <v>1.31944444444455</v>
      </c>
      <c r="AO381" s="18" t="n">
        <f aca="false">SUMPRODUCT($AB381:$AF381,Validation!$D$14:$H$14)</f>
        <v>1.52555555555545</v>
      </c>
      <c r="AP381" s="18" t="n">
        <f aca="false">SUMPRODUCT($AB381:$AF381,Validation!$D$15:$H$15)</f>
        <v>1.4192647058821</v>
      </c>
      <c r="AQ381" s="18" t="n">
        <f aca="false">SUMPRODUCT($AB381:$AF381,Validation!$D$16:$H$16)</f>
        <v>1.4257352941179</v>
      </c>
      <c r="AR381" s="8" t="n">
        <f aca="false">COUNTIF($C381:$V381,"&gt;=4")</f>
        <v>0</v>
      </c>
      <c r="AS381" s="8" t="str">
        <f aca="false">IF($X381&lt;=1.6,"Low",IF($X381&lt;=2.2,"Medium","High"))</f>
        <v>Low</v>
      </c>
      <c r="AT381" s="8" t="str">
        <f aca="false">IF($AR381=0,"Low",IF($AR381&lt;3,"Medium","High"))</f>
        <v>Low</v>
      </c>
      <c r="AU381" s="8" t="str">
        <f aca="false">IF(OR($AS381="High",$AT381="High"),"High",IF(OR($AS381="Medium",$AT381="Medium"),"Medium","Low"))</f>
        <v>Low</v>
      </c>
      <c r="AV381" s="15" t="str">
        <f aca="false">IF($Z381="Yes","High",$AU381)</f>
        <v>Low</v>
      </c>
    </row>
    <row r="382" customFormat="false" ht="15" hidden="false" customHeight="false" outlineLevel="0" collapsed="false">
      <c r="A382" s="7" t="str">
        <f aca="false">Customers!$A382</f>
        <v>NG-10322</v>
      </c>
      <c r="B382" s="7" t="str">
        <f aca="false">Customers!$B382</f>
        <v>Sole trader</v>
      </c>
      <c r="C382" s="8" t="n">
        <f aca="false">INDEX(Mapping!$C$2:$C$99,MATCH(C$1&amp;"|"&amp;Customers!C382,Mapping!$D$2:$D$99,0))</f>
        <v>2</v>
      </c>
      <c r="D382" s="8" t="n">
        <f aca="false">INDEX(Mapping!$C$2:$C$99,MATCH(D$1&amp;"|"&amp;Customers!D382,Mapping!$D$2:$D$99,0))</f>
        <v>1</v>
      </c>
      <c r="E382" s="8" t="n">
        <f aca="false">INDEX(Mapping!$C$2:$C$99,MATCH(E$1&amp;"|"&amp;Customers!E382,Mapping!$D$2:$D$99,0))</f>
        <v>3</v>
      </c>
      <c r="F382" s="8" t="n">
        <f aca="false">INDEX(Mapping!$C$2:$C$99,MATCH(F$1&amp;"|"&amp;Customers!F382,Mapping!$D$2:$D$99,0))</f>
        <v>1</v>
      </c>
      <c r="G382" s="8" t="n">
        <f aca="false">INDEX(Mapping!$C$2:$C$99,MATCH(G$1&amp;"|"&amp;Customers!G382,Mapping!$D$2:$D$99,0))</f>
        <v>1</v>
      </c>
      <c r="H382" s="8" t="n">
        <f aca="false">INDEX(Mapping!$C$2:$C$99,MATCH(H$1&amp;"|"&amp;Customers!H382,Mapping!$D$2:$D$99,0))</f>
        <v>1</v>
      </c>
      <c r="I382" s="8" t="n">
        <f aca="false">INDEX(Mapping!$C$2:$C$99,MATCH(I$1&amp;"|"&amp;Customers!I382,Mapping!$D$2:$D$99,0))</f>
        <v>1</v>
      </c>
      <c r="J382" s="8" t="n">
        <f aca="false">INDEX(Mapping!$C$2:$C$99,MATCH(J$1&amp;"|"&amp;Customers!J382,Mapping!$D$2:$D$99,0))</f>
        <v>1</v>
      </c>
      <c r="K382" s="8" t="n">
        <f aca="false">INDEX(Mapping!$C$2:$C$99,MATCH(K$1&amp;"|"&amp;Customers!K382,Mapping!$D$2:$D$99,0))</f>
        <v>5</v>
      </c>
      <c r="L382" s="8" t="n">
        <f aca="false">INDEX(Mapping!$C$2:$C$99,MATCH(L$1&amp;"|"&amp;Customers!L382,Mapping!$D$2:$D$99,0))</f>
        <v>4</v>
      </c>
      <c r="M382" s="8" t="n">
        <f aca="false">INDEX(Mapping!$C$2:$C$99,MATCH(M$1&amp;"|"&amp;Customers!M382,Mapping!$D$2:$D$99,0))</f>
        <v>1</v>
      </c>
      <c r="N382" s="8" t="n">
        <f aca="false">INDEX(Mapping!$C$2:$C$99,MATCH(N$1&amp;"|"&amp;Customers!N382,Mapping!$D$2:$D$99,0))</f>
        <v>3</v>
      </c>
      <c r="O382" s="8" t="n">
        <f aca="false">INDEX(Mapping!$C$2:$C$99,MATCH(O$1&amp;"|"&amp;Customers!O382,Mapping!$D$2:$D$99,0))</f>
        <v>2</v>
      </c>
      <c r="P382" s="8" t="n">
        <f aca="false">INDEX(Mapping!$C$2:$C$99,MATCH(P$1&amp;"|"&amp;Customers!P382,Mapping!$D$2:$D$99,0))</f>
        <v>3</v>
      </c>
      <c r="Q382" s="8" t="n">
        <f aca="false">INDEX(Mapping!$C$2:$C$99,MATCH(Q$1&amp;"|"&amp;Customers!Q382,Mapping!$D$2:$D$99,0))</f>
        <v>2</v>
      </c>
      <c r="R382" s="8" t="n">
        <f aca="false">INDEX(Mapping!$C$2:$C$99,MATCH(R$1&amp;"|"&amp;Customers!R382,Mapping!$D$2:$D$99,0))</f>
        <v>1</v>
      </c>
      <c r="S382" s="8" t="n">
        <f aca="false">INDEX(Mapping!$C$2:$C$99,MATCH(S$1&amp;"|"&amp;Customers!S382,Mapping!$D$2:$D$99,0))</f>
        <v>4</v>
      </c>
      <c r="T382" s="8" t="n">
        <f aca="false">INDEX(Mapping!$C$2:$C$99,MATCH(T$1&amp;"|"&amp;Customers!T382,Mapping!$D$2:$D$99,0))</f>
        <v>1</v>
      </c>
      <c r="U382" s="8" t="n">
        <f aca="false">INDEX(Mapping!$C$2:$C$99,MATCH(U$1&amp;"|"&amp;Customers!U382,Mapping!$D$2:$D$99,0))</f>
        <v>2</v>
      </c>
      <c r="V382" s="8" t="n">
        <f aca="false">INDEX(Mapping!$C$2:$C$99,MATCH(V$1&amp;"|"&amp;Customers!V382,Mapping!$D$2:$D$99,0))</f>
        <v>1</v>
      </c>
      <c r="W382" s="17" t="n">
        <f aca="false">SUMPRODUCT($C382:$V382,Weights!$C$27:$V$27)</f>
        <v>1.9925</v>
      </c>
      <c r="X382" s="18" t="n">
        <f aca="false">ROUND($W382,2)</f>
        <v>1.99</v>
      </c>
      <c r="Y382" s="8" t="str">
        <f aca="false">IF($X382&lt;=2,"Low",IF($X382&lt;=3.49,"Medium","High"))</f>
        <v>Low</v>
      </c>
      <c r="Z382" s="8" t="str">
        <f aca="false">IF(OR($F382&gt;=3,$E382=5,$D382=5,$C382=5,$G382=5,$H382=5,$I382=5,$J382=5,Customers!$W382="Yes"),"Yes","No")</f>
        <v>No</v>
      </c>
      <c r="AA382" s="15" t="str">
        <f aca="false">IF($Z382="Yes","High",$Y382)</f>
        <v>Low</v>
      </c>
      <c r="AB382" s="18" t="n">
        <f aca="false">SUMPRODUCT($C382:$G382,Weights!$C$28:$G$28)</f>
        <v>1.7</v>
      </c>
      <c r="AC382" s="18" t="n">
        <f aca="false">SUMPRODUCT($H382:$J382,Weights!$H$28:$J$28)</f>
        <v>1</v>
      </c>
      <c r="AD382" s="18" t="n">
        <f aca="false">SUMPRODUCT($K382:$N382,Weights!$K$28:$N$28)</f>
        <v>3.45</v>
      </c>
      <c r="AE382" s="18" t="n">
        <f aca="false">SUMPRODUCT($O382:$Q382,Weights!$O$28:$Q$28)</f>
        <v>2.35</v>
      </c>
      <c r="AF382" s="18" t="n">
        <f aca="false">SUMPRODUCT($R382:$V382,Weights!$R$28:$V$28)</f>
        <v>2.05</v>
      </c>
      <c r="AH382" s="18" t="n">
        <f aca="false">SUMPRODUCT($AB382:$AF382,Validation!$D$7:$H$7)</f>
        <v>2.0342857142855</v>
      </c>
      <c r="AI382" s="18" t="n">
        <f aca="false">SUMPRODUCT($AB382:$AF382,Validation!$D$8:$H$8)</f>
        <v>1.9507142857145</v>
      </c>
      <c r="AJ382" s="18" t="n">
        <f aca="false">SUMPRODUCT($AB382:$AF382,Validation!$D$9:$H$9)</f>
        <v>2.1248333333337</v>
      </c>
      <c r="AK382" s="18" t="n">
        <f aca="false">SUMPRODUCT($AB382:$AF382,Validation!$D$10:$H$10)</f>
        <v>1.8601666666663</v>
      </c>
      <c r="AL382" s="18" t="n">
        <f aca="false">SUMPRODUCT($AB382:$AF382,Validation!$D$11:$H$11)</f>
        <v>1.8103125</v>
      </c>
      <c r="AM382" s="18" t="n">
        <f aca="false">SUMPRODUCT($AB382:$AF382,Validation!$D$12:$H$12)</f>
        <v>2.1746875</v>
      </c>
      <c r="AN382" s="18" t="n">
        <f aca="false">SUMPRODUCT($AB382:$AF382,Validation!$D$13:$H$13)</f>
        <v>1.95277777777735</v>
      </c>
      <c r="AO382" s="18" t="n">
        <f aca="false">SUMPRODUCT($AB382:$AF382,Validation!$D$14:$H$14)</f>
        <v>2.03222222222265</v>
      </c>
      <c r="AP382" s="18" t="n">
        <f aca="false">SUMPRODUCT($AB382:$AF382,Validation!$D$15:$H$15)</f>
        <v>1.98573529411785</v>
      </c>
      <c r="AQ382" s="18" t="n">
        <f aca="false">SUMPRODUCT($AB382:$AF382,Validation!$D$16:$H$16)</f>
        <v>1.99926470588215</v>
      </c>
      <c r="AR382" s="8" t="n">
        <f aca="false">COUNTIF($C382:$V382,"&gt;=4")</f>
        <v>3</v>
      </c>
      <c r="AS382" s="8" t="str">
        <f aca="false">IF($X382&lt;=1.6,"Low",IF($X382&lt;=2.2,"Medium","High"))</f>
        <v>Medium</v>
      </c>
      <c r="AT382" s="8" t="str">
        <f aca="false">IF($AR382=0,"Low",IF($AR382&lt;3,"Medium","High"))</f>
        <v>High</v>
      </c>
      <c r="AU382" s="8" t="str">
        <f aca="false">IF(OR($AS382="High",$AT382="High"),"High",IF(OR($AS382="Medium",$AT382="Medium"),"Medium","Low"))</f>
        <v>High</v>
      </c>
      <c r="AV382" s="15" t="str">
        <f aca="false">IF($Z382="Yes","High",$AU382)</f>
        <v>High</v>
      </c>
    </row>
    <row r="383" customFormat="false" ht="15" hidden="false" customHeight="false" outlineLevel="0" collapsed="false">
      <c r="A383" s="7" t="str">
        <f aca="false">Customers!$A383</f>
        <v>NG-10373</v>
      </c>
      <c r="B383" s="7" t="str">
        <f aca="false">Customers!$B383</f>
        <v>Limited company</v>
      </c>
      <c r="C383" s="8" t="n">
        <f aca="false">INDEX(Mapping!$C$2:$C$99,MATCH(C$1&amp;"|"&amp;Customers!C383,Mapping!$D$2:$D$99,0))</f>
        <v>4</v>
      </c>
      <c r="D383" s="8" t="n">
        <f aca="false">INDEX(Mapping!$C$2:$C$99,MATCH(D$1&amp;"|"&amp;Customers!D383,Mapping!$D$2:$D$99,0))</f>
        <v>2</v>
      </c>
      <c r="E383" s="8" t="n">
        <f aca="false">INDEX(Mapping!$C$2:$C$99,MATCH(E$1&amp;"|"&amp;Customers!E383,Mapping!$D$2:$D$99,0))</f>
        <v>3</v>
      </c>
      <c r="F383" s="8" t="n">
        <f aca="false">INDEX(Mapping!$C$2:$C$99,MATCH(F$1&amp;"|"&amp;Customers!F383,Mapping!$D$2:$D$99,0))</f>
        <v>1</v>
      </c>
      <c r="G383" s="8" t="n">
        <f aca="false">INDEX(Mapping!$C$2:$C$99,MATCH(G$1&amp;"|"&amp;Customers!G383,Mapping!$D$2:$D$99,0))</f>
        <v>1</v>
      </c>
      <c r="H383" s="8" t="n">
        <f aca="false">INDEX(Mapping!$C$2:$C$99,MATCH(H$1&amp;"|"&amp;Customers!H383,Mapping!$D$2:$D$99,0))</f>
        <v>1</v>
      </c>
      <c r="I383" s="8" t="n">
        <f aca="false">INDEX(Mapping!$C$2:$C$99,MATCH(I$1&amp;"|"&amp;Customers!I383,Mapping!$D$2:$D$99,0))</f>
        <v>1</v>
      </c>
      <c r="J383" s="8" t="n">
        <f aca="false">INDEX(Mapping!$C$2:$C$99,MATCH(J$1&amp;"|"&amp;Customers!J383,Mapping!$D$2:$D$99,0))</f>
        <v>1</v>
      </c>
      <c r="K383" s="8" t="n">
        <f aca="false">INDEX(Mapping!$C$2:$C$99,MATCH(K$1&amp;"|"&amp;Customers!K383,Mapping!$D$2:$D$99,0))</f>
        <v>5</v>
      </c>
      <c r="L383" s="8" t="n">
        <f aca="false">INDEX(Mapping!$C$2:$C$99,MATCH(L$1&amp;"|"&amp;Customers!L383,Mapping!$D$2:$D$99,0))</f>
        <v>3</v>
      </c>
      <c r="M383" s="8" t="n">
        <f aca="false">INDEX(Mapping!$C$2:$C$99,MATCH(M$1&amp;"|"&amp;Customers!M383,Mapping!$D$2:$D$99,0))</f>
        <v>4</v>
      </c>
      <c r="N383" s="8" t="n">
        <f aca="false">INDEX(Mapping!$C$2:$C$99,MATCH(N$1&amp;"|"&amp;Customers!N383,Mapping!$D$2:$D$99,0))</f>
        <v>1</v>
      </c>
      <c r="O383" s="8" t="n">
        <f aca="false">INDEX(Mapping!$C$2:$C$99,MATCH(O$1&amp;"|"&amp;Customers!O383,Mapping!$D$2:$D$99,0))</f>
        <v>3</v>
      </c>
      <c r="P383" s="8" t="n">
        <f aca="false">INDEX(Mapping!$C$2:$C$99,MATCH(P$1&amp;"|"&amp;Customers!P383,Mapping!$D$2:$D$99,0))</f>
        <v>1</v>
      </c>
      <c r="Q383" s="8" t="n">
        <f aca="false">INDEX(Mapping!$C$2:$C$99,MATCH(Q$1&amp;"|"&amp;Customers!Q383,Mapping!$D$2:$D$99,0))</f>
        <v>1</v>
      </c>
      <c r="R383" s="8" t="n">
        <f aca="false">INDEX(Mapping!$C$2:$C$99,MATCH(R$1&amp;"|"&amp;Customers!R383,Mapping!$D$2:$D$99,0))</f>
        <v>2</v>
      </c>
      <c r="S383" s="8" t="n">
        <f aca="false">INDEX(Mapping!$C$2:$C$99,MATCH(S$1&amp;"|"&amp;Customers!S383,Mapping!$D$2:$D$99,0))</f>
        <v>3</v>
      </c>
      <c r="T383" s="8" t="n">
        <f aca="false">INDEX(Mapping!$C$2:$C$99,MATCH(T$1&amp;"|"&amp;Customers!T383,Mapping!$D$2:$D$99,0))</f>
        <v>4</v>
      </c>
      <c r="U383" s="8" t="n">
        <f aca="false">INDEX(Mapping!$C$2:$C$99,MATCH(U$1&amp;"|"&amp;Customers!U383,Mapping!$D$2:$D$99,0))</f>
        <v>3</v>
      </c>
      <c r="V383" s="8" t="n">
        <f aca="false">INDEX(Mapping!$C$2:$C$99,MATCH(V$1&amp;"|"&amp;Customers!V383,Mapping!$D$2:$D$99,0))</f>
        <v>1</v>
      </c>
      <c r="W383" s="17" t="n">
        <f aca="false">SUMPRODUCT($C383:$V383,Weights!$C$27:$V$27)</f>
        <v>2.2725</v>
      </c>
      <c r="X383" s="18" t="n">
        <f aca="false">ROUND($W383,2)</f>
        <v>2.27</v>
      </c>
      <c r="Y383" s="8" t="str">
        <f aca="false">IF($X383&lt;=2,"Low",IF($X383&lt;=3.49,"Medium","High"))</f>
        <v>Medium</v>
      </c>
      <c r="Z383" s="8" t="str">
        <f aca="false">IF(OR($F383&gt;=3,$E383=5,$D383=5,$C383=5,$G383=5,$H383=5,$I383=5,$J383=5,Customers!$W383="Yes"),"Yes","No")</f>
        <v>No</v>
      </c>
      <c r="AA383" s="15" t="str">
        <f aca="false">IF($Z383="Yes","High",$Y383)</f>
        <v>Medium</v>
      </c>
      <c r="AB383" s="18" t="n">
        <f aca="false">SUMPRODUCT($C383:$G383,Weights!$C$28:$G$28)</f>
        <v>2.3</v>
      </c>
      <c r="AC383" s="18" t="n">
        <f aca="false">SUMPRODUCT($H383:$J383,Weights!$H$28:$J$28)</f>
        <v>1</v>
      </c>
      <c r="AD383" s="18" t="n">
        <f aca="false">SUMPRODUCT($K383:$N383,Weights!$K$28:$N$28)</f>
        <v>3.65</v>
      </c>
      <c r="AE383" s="18" t="n">
        <f aca="false">SUMPRODUCT($O383:$Q383,Weights!$O$28:$Q$28)</f>
        <v>1.9</v>
      </c>
      <c r="AF383" s="18" t="n">
        <f aca="false">SUMPRODUCT($R383:$V383,Weights!$R$28:$V$28)</f>
        <v>2.75</v>
      </c>
      <c r="AH383" s="18" t="n">
        <f aca="false">SUMPRODUCT($AB383:$AF383,Validation!$D$7:$H$7)</f>
        <v>2.2685714285713</v>
      </c>
      <c r="AI383" s="18" t="n">
        <f aca="false">SUMPRODUCT($AB383:$AF383,Validation!$D$8:$H$8)</f>
        <v>2.2764285714287</v>
      </c>
      <c r="AJ383" s="18" t="n">
        <f aca="false">SUMPRODUCT($AB383:$AF383,Validation!$D$9:$H$9)</f>
        <v>2.44216666666725</v>
      </c>
      <c r="AK383" s="18" t="n">
        <f aca="false">SUMPRODUCT($AB383:$AF383,Validation!$D$10:$H$10)</f>
        <v>2.10283333333275</v>
      </c>
      <c r="AL383" s="18" t="n">
        <f aca="false">SUMPRODUCT($AB383:$AF383,Validation!$D$11:$H$11)</f>
        <v>2.1003125</v>
      </c>
      <c r="AM383" s="18" t="n">
        <f aca="false">SUMPRODUCT($AB383:$AF383,Validation!$D$12:$H$12)</f>
        <v>2.4446875</v>
      </c>
      <c r="AN383" s="18" t="n">
        <f aca="false">SUMPRODUCT($AB383:$AF383,Validation!$D$13:$H$13)</f>
        <v>2.31388888888845</v>
      </c>
      <c r="AO383" s="18" t="n">
        <f aca="false">SUMPRODUCT($AB383:$AF383,Validation!$D$14:$H$14)</f>
        <v>2.23111111111155</v>
      </c>
      <c r="AP383" s="18" t="n">
        <f aca="false">SUMPRODUCT($AB383:$AF383,Validation!$D$15:$H$15)</f>
        <v>2.21632352941215</v>
      </c>
      <c r="AQ383" s="18" t="n">
        <f aca="false">SUMPRODUCT($AB383:$AF383,Validation!$D$16:$H$16)</f>
        <v>2.32867647058785</v>
      </c>
      <c r="AR383" s="8" t="n">
        <f aca="false">COUNTIF($C383:$V383,"&gt;=4")</f>
        <v>4</v>
      </c>
      <c r="AS383" s="8" t="str">
        <f aca="false">IF($X383&lt;=1.6,"Low",IF($X383&lt;=2.2,"Medium","High"))</f>
        <v>High</v>
      </c>
      <c r="AT383" s="8" t="str">
        <f aca="false">IF($AR383=0,"Low",IF($AR383&lt;3,"Medium","High"))</f>
        <v>High</v>
      </c>
      <c r="AU383" s="8" t="str">
        <f aca="false">IF(OR($AS383="High",$AT383="High"),"High",IF(OR($AS383="Medium",$AT383="Medium"),"Medium","Low"))</f>
        <v>High</v>
      </c>
      <c r="AV383" s="15" t="str">
        <f aca="false">IF($Z383="Yes","High",$AU383)</f>
        <v>High</v>
      </c>
    </row>
    <row r="384" customFormat="false" ht="15" hidden="false" customHeight="false" outlineLevel="0" collapsed="false">
      <c r="A384" s="7" t="str">
        <f aca="false">Customers!$A384</f>
        <v>NG-10182</v>
      </c>
      <c r="B384" s="7" t="str">
        <f aca="false">Customers!$B384</f>
        <v>Personal</v>
      </c>
      <c r="C384" s="8" t="n">
        <f aca="false">INDEX(Mapping!$C$2:$C$99,MATCH(C$1&amp;"|"&amp;Customers!C384,Mapping!$D$2:$D$99,0))</f>
        <v>1</v>
      </c>
      <c r="D384" s="8" t="n">
        <f aca="false">INDEX(Mapping!$C$2:$C$99,MATCH(D$1&amp;"|"&amp;Customers!D384,Mapping!$D$2:$D$99,0))</f>
        <v>1</v>
      </c>
      <c r="E384" s="8" t="n">
        <f aca="false">INDEX(Mapping!$C$2:$C$99,MATCH(E$1&amp;"|"&amp;Customers!E384,Mapping!$D$2:$D$99,0))</f>
        <v>1</v>
      </c>
      <c r="F384" s="8" t="n">
        <f aca="false">INDEX(Mapping!$C$2:$C$99,MATCH(F$1&amp;"|"&amp;Customers!F384,Mapping!$D$2:$D$99,0))</f>
        <v>1</v>
      </c>
      <c r="G384" s="8" t="n">
        <f aca="false">INDEX(Mapping!$C$2:$C$99,MATCH(G$1&amp;"|"&amp;Customers!G384,Mapping!$D$2:$D$99,0))</f>
        <v>1</v>
      </c>
      <c r="H384" s="8" t="n">
        <f aca="false">INDEX(Mapping!$C$2:$C$99,MATCH(H$1&amp;"|"&amp;Customers!H384,Mapping!$D$2:$D$99,0))</f>
        <v>1</v>
      </c>
      <c r="I384" s="8" t="n">
        <f aca="false">INDEX(Mapping!$C$2:$C$99,MATCH(I$1&amp;"|"&amp;Customers!I384,Mapping!$D$2:$D$99,0))</f>
        <v>1</v>
      </c>
      <c r="J384" s="8" t="n">
        <f aca="false">INDEX(Mapping!$C$2:$C$99,MATCH(J$1&amp;"|"&amp;Customers!J384,Mapping!$D$2:$D$99,0))</f>
        <v>1</v>
      </c>
      <c r="K384" s="8" t="n">
        <f aca="false">INDEX(Mapping!$C$2:$C$99,MATCH(K$1&amp;"|"&amp;Customers!K384,Mapping!$D$2:$D$99,0))</f>
        <v>3</v>
      </c>
      <c r="L384" s="8" t="n">
        <f aca="false">INDEX(Mapping!$C$2:$C$99,MATCH(L$1&amp;"|"&amp;Customers!L384,Mapping!$D$2:$D$99,0))</f>
        <v>2</v>
      </c>
      <c r="M384" s="8" t="n">
        <f aca="false">INDEX(Mapping!$C$2:$C$99,MATCH(M$1&amp;"|"&amp;Customers!M384,Mapping!$D$2:$D$99,0))</f>
        <v>2</v>
      </c>
      <c r="N384" s="8" t="n">
        <f aca="false">INDEX(Mapping!$C$2:$C$99,MATCH(N$1&amp;"|"&amp;Customers!N384,Mapping!$D$2:$D$99,0))</f>
        <v>1</v>
      </c>
      <c r="O384" s="8" t="n">
        <f aca="false">INDEX(Mapping!$C$2:$C$99,MATCH(O$1&amp;"|"&amp;Customers!O384,Mapping!$D$2:$D$99,0))</f>
        <v>3</v>
      </c>
      <c r="P384" s="8" t="n">
        <f aca="false">INDEX(Mapping!$C$2:$C$99,MATCH(P$1&amp;"|"&amp;Customers!P384,Mapping!$D$2:$D$99,0))</f>
        <v>3</v>
      </c>
      <c r="Q384" s="8" t="n">
        <f aca="false">INDEX(Mapping!$C$2:$C$99,MATCH(Q$1&amp;"|"&amp;Customers!Q384,Mapping!$D$2:$D$99,0))</f>
        <v>2</v>
      </c>
      <c r="R384" s="8" t="n">
        <f aca="false">INDEX(Mapping!$C$2:$C$99,MATCH(R$1&amp;"|"&amp;Customers!R384,Mapping!$D$2:$D$99,0))</f>
        <v>1</v>
      </c>
      <c r="S384" s="8" t="n">
        <f aca="false">INDEX(Mapping!$C$2:$C$99,MATCH(S$1&amp;"|"&amp;Customers!S384,Mapping!$D$2:$D$99,0))</f>
        <v>3</v>
      </c>
      <c r="T384" s="8" t="n">
        <f aca="false">INDEX(Mapping!$C$2:$C$99,MATCH(T$1&amp;"|"&amp;Customers!T384,Mapping!$D$2:$D$99,0))</f>
        <v>1</v>
      </c>
      <c r="U384" s="8" t="n">
        <f aca="false">INDEX(Mapping!$C$2:$C$99,MATCH(U$1&amp;"|"&amp;Customers!U384,Mapping!$D$2:$D$99,0))</f>
        <v>1</v>
      </c>
      <c r="V384" s="8" t="n">
        <f aca="false">INDEX(Mapping!$C$2:$C$99,MATCH(V$1&amp;"|"&amp;Customers!V384,Mapping!$D$2:$D$99,0))</f>
        <v>1</v>
      </c>
      <c r="W384" s="17" t="n">
        <f aca="false">SUMPRODUCT($C384:$V384,Weights!$C$27:$V$27)</f>
        <v>1.51</v>
      </c>
      <c r="X384" s="18" t="n">
        <f aca="false">ROUND($W384,2)</f>
        <v>1.51</v>
      </c>
      <c r="Y384" s="8" t="str">
        <f aca="false">IF($X384&lt;=2,"Low",IF($X384&lt;=3.49,"Medium","High"))</f>
        <v>Low</v>
      </c>
      <c r="Z384" s="8" t="str">
        <f aca="false">IF(OR($F384&gt;=3,$E384=5,$D384=5,$C384=5,$G384=5,$H384=5,$I384=5,$J384=5,Customers!$W384="Yes"),"Yes","No")</f>
        <v>No</v>
      </c>
      <c r="AA384" s="15" t="str">
        <f aca="false">IF($Z384="Yes","High",$Y384)</f>
        <v>Low</v>
      </c>
      <c r="AB384" s="18" t="n">
        <f aca="false">SUMPRODUCT($C384:$G384,Weights!$C$28:$G$28)</f>
        <v>1</v>
      </c>
      <c r="AC384" s="18" t="n">
        <f aca="false">SUMPRODUCT($H384:$J384,Weights!$H$28:$J$28)</f>
        <v>1</v>
      </c>
      <c r="AD384" s="18" t="n">
        <f aca="false">SUMPRODUCT($K384:$N384,Weights!$K$28:$N$28)</f>
        <v>2.2</v>
      </c>
      <c r="AE384" s="18" t="n">
        <f aca="false">SUMPRODUCT($O384:$Q384,Weights!$O$28:$Q$28)</f>
        <v>2.8</v>
      </c>
      <c r="AF384" s="18" t="n">
        <f aca="false">SUMPRODUCT($R384:$V384,Weights!$R$28:$V$28)</f>
        <v>1.6</v>
      </c>
      <c r="AH384" s="18" t="n">
        <f aca="false">SUMPRODUCT($AB384:$AF384,Validation!$D$7:$H$7)</f>
        <v>1.5828571428574</v>
      </c>
      <c r="AI384" s="18" t="n">
        <f aca="false">SUMPRODUCT($AB384:$AF384,Validation!$D$8:$H$8)</f>
        <v>1.4371428571426</v>
      </c>
      <c r="AJ384" s="18" t="n">
        <f aca="false">SUMPRODUCT($AB384:$AF384,Validation!$D$9:$H$9)</f>
        <v>1.5779999999998</v>
      </c>
      <c r="AK384" s="18" t="n">
        <f aca="false">SUMPRODUCT($AB384:$AF384,Validation!$D$10:$H$10)</f>
        <v>1.4420000000002</v>
      </c>
      <c r="AL384" s="18" t="n">
        <f aca="false">SUMPRODUCT($AB384:$AF384,Validation!$D$11:$H$11)</f>
        <v>1.42375</v>
      </c>
      <c r="AM384" s="18" t="n">
        <f aca="false">SUMPRODUCT($AB384:$AF384,Validation!$D$12:$H$12)</f>
        <v>1.59625</v>
      </c>
      <c r="AN384" s="18" t="n">
        <f aca="false">SUMPRODUCT($AB384:$AF384,Validation!$D$13:$H$13)</f>
        <v>1.3666666666666</v>
      </c>
      <c r="AO384" s="18" t="n">
        <f aca="false">SUMPRODUCT($AB384:$AF384,Validation!$D$14:$H$14)</f>
        <v>1.6533333333334</v>
      </c>
      <c r="AP384" s="18" t="n">
        <f aca="false">SUMPRODUCT($AB384:$AF384,Validation!$D$15:$H$15)</f>
        <v>1.4994117647056</v>
      </c>
      <c r="AQ384" s="18" t="n">
        <f aca="false">SUMPRODUCT($AB384:$AF384,Validation!$D$16:$H$16)</f>
        <v>1.5205882352944</v>
      </c>
      <c r="AR384" s="8" t="n">
        <f aca="false">COUNTIF($C384:$V384,"&gt;=4")</f>
        <v>0</v>
      </c>
      <c r="AS384" s="8" t="str">
        <f aca="false">IF($X384&lt;=1.6,"Low",IF($X384&lt;=2.2,"Medium","High"))</f>
        <v>Low</v>
      </c>
      <c r="AT384" s="8" t="str">
        <f aca="false">IF($AR384=0,"Low",IF($AR384&lt;3,"Medium","High"))</f>
        <v>Low</v>
      </c>
      <c r="AU384" s="8" t="str">
        <f aca="false">IF(OR($AS384="High",$AT384="High"),"High",IF(OR($AS384="Medium",$AT384="Medium"),"Medium","Low"))</f>
        <v>Low</v>
      </c>
      <c r="AV384" s="15" t="str">
        <f aca="false">IF($Z384="Yes","High",$AU384)</f>
        <v>Low</v>
      </c>
    </row>
    <row r="385" customFormat="false" ht="15" hidden="false" customHeight="false" outlineLevel="0" collapsed="false">
      <c r="A385" s="7" t="str">
        <f aca="false">Customers!$A385</f>
        <v>NG-10352</v>
      </c>
      <c r="B385" s="7" t="str">
        <f aca="false">Customers!$B385</f>
        <v>Sole trader</v>
      </c>
      <c r="C385" s="8" t="n">
        <f aca="false">INDEX(Mapping!$C$2:$C$99,MATCH(C$1&amp;"|"&amp;Customers!C385,Mapping!$D$2:$D$99,0))</f>
        <v>2</v>
      </c>
      <c r="D385" s="8" t="n">
        <f aca="false">INDEX(Mapping!$C$2:$C$99,MATCH(D$1&amp;"|"&amp;Customers!D385,Mapping!$D$2:$D$99,0))</f>
        <v>1</v>
      </c>
      <c r="E385" s="8" t="n">
        <f aca="false">INDEX(Mapping!$C$2:$C$99,MATCH(E$1&amp;"|"&amp;Customers!E385,Mapping!$D$2:$D$99,0))</f>
        <v>3</v>
      </c>
      <c r="F385" s="8" t="n">
        <f aca="false">INDEX(Mapping!$C$2:$C$99,MATCH(F$1&amp;"|"&amp;Customers!F385,Mapping!$D$2:$D$99,0))</f>
        <v>1</v>
      </c>
      <c r="G385" s="8" t="n">
        <f aca="false">INDEX(Mapping!$C$2:$C$99,MATCH(G$1&amp;"|"&amp;Customers!G385,Mapping!$D$2:$D$99,0))</f>
        <v>1</v>
      </c>
      <c r="H385" s="8" t="n">
        <f aca="false">INDEX(Mapping!$C$2:$C$99,MATCH(H$1&amp;"|"&amp;Customers!H385,Mapping!$D$2:$D$99,0))</f>
        <v>1</v>
      </c>
      <c r="I385" s="8" t="n">
        <f aca="false">INDEX(Mapping!$C$2:$C$99,MATCH(I$1&amp;"|"&amp;Customers!I385,Mapping!$D$2:$D$99,0))</f>
        <v>1</v>
      </c>
      <c r="J385" s="8" t="n">
        <f aca="false">INDEX(Mapping!$C$2:$C$99,MATCH(J$1&amp;"|"&amp;Customers!J385,Mapping!$D$2:$D$99,0))</f>
        <v>1</v>
      </c>
      <c r="K385" s="8" t="n">
        <f aca="false">INDEX(Mapping!$C$2:$C$99,MATCH(K$1&amp;"|"&amp;Customers!K385,Mapping!$D$2:$D$99,0))</f>
        <v>4</v>
      </c>
      <c r="L385" s="8" t="n">
        <f aca="false">INDEX(Mapping!$C$2:$C$99,MATCH(L$1&amp;"|"&amp;Customers!L385,Mapping!$D$2:$D$99,0))</f>
        <v>2</v>
      </c>
      <c r="M385" s="8" t="n">
        <f aca="false">INDEX(Mapping!$C$2:$C$99,MATCH(M$1&amp;"|"&amp;Customers!M385,Mapping!$D$2:$D$99,0))</f>
        <v>1</v>
      </c>
      <c r="N385" s="8" t="n">
        <f aca="false">INDEX(Mapping!$C$2:$C$99,MATCH(N$1&amp;"|"&amp;Customers!N385,Mapping!$D$2:$D$99,0))</f>
        <v>3</v>
      </c>
      <c r="O385" s="8" t="n">
        <f aca="false">INDEX(Mapping!$C$2:$C$99,MATCH(O$1&amp;"|"&amp;Customers!O385,Mapping!$D$2:$D$99,0))</f>
        <v>3</v>
      </c>
      <c r="P385" s="8" t="n">
        <f aca="false">INDEX(Mapping!$C$2:$C$99,MATCH(P$1&amp;"|"&amp;Customers!P385,Mapping!$D$2:$D$99,0))</f>
        <v>4</v>
      </c>
      <c r="Q385" s="8" t="n">
        <f aca="false">INDEX(Mapping!$C$2:$C$99,MATCH(Q$1&amp;"|"&amp;Customers!Q385,Mapping!$D$2:$D$99,0))</f>
        <v>1</v>
      </c>
      <c r="R385" s="8" t="n">
        <f aca="false">INDEX(Mapping!$C$2:$C$99,MATCH(R$1&amp;"|"&amp;Customers!R385,Mapping!$D$2:$D$99,0))</f>
        <v>1</v>
      </c>
      <c r="S385" s="8" t="n">
        <f aca="false">INDEX(Mapping!$C$2:$C$99,MATCH(S$1&amp;"|"&amp;Customers!S385,Mapping!$D$2:$D$99,0))</f>
        <v>2</v>
      </c>
      <c r="T385" s="8" t="n">
        <f aca="false">INDEX(Mapping!$C$2:$C$99,MATCH(T$1&amp;"|"&amp;Customers!T385,Mapping!$D$2:$D$99,0))</f>
        <v>3</v>
      </c>
      <c r="U385" s="8" t="n">
        <f aca="false">INDEX(Mapping!$C$2:$C$99,MATCH(U$1&amp;"|"&amp;Customers!U385,Mapping!$D$2:$D$99,0))</f>
        <v>1</v>
      </c>
      <c r="V385" s="8" t="n">
        <f aca="false">INDEX(Mapping!$C$2:$C$99,MATCH(V$1&amp;"|"&amp;Customers!V385,Mapping!$D$2:$D$99,0))</f>
        <v>2</v>
      </c>
      <c r="W385" s="17" t="n">
        <f aca="false">SUMPRODUCT($C385:$V385,Weights!$C$27:$V$27)</f>
        <v>1.845</v>
      </c>
      <c r="X385" s="18" t="n">
        <f aca="false">ROUND($W385,2)</f>
        <v>1.85</v>
      </c>
      <c r="Y385" s="8" t="str">
        <f aca="false">IF($X385&lt;=2,"Low",IF($X385&lt;=3.49,"Medium","High"))</f>
        <v>Low</v>
      </c>
      <c r="Z385" s="8" t="str">
        <f aca="false">IF(OR($F385&gt;=3,$E385=5,$D385=5,$C385=5,$G385=5,$H385=5,$I385=5,$J385=5,Customers!$W385="Yes"),"Yes","No")</f>
        <v>No</v>
      </c>
      <c r="AA385" s="15" t="str">
        <f aca="false">IF($Z385="Yes","High",$Y385)</f>
        <v>Low</v>
      </c>
      <c r="AB385" s="18" t="n">
        <f aca="false">SUMPRODUCT($C385:$G385,Weights!$C$28:$G$28)</f>
        <v>1.7</v>
      </c>
      <c r="AC385" s="18" t="n">
        <f aca="false">SUMPRODUCT($H385:$J385,Weights!$H$28:$J$28)</f>
        <v>1</v>
      </c>
      <c r="AD385" s="18" t="n">
        <f aca="false">SUMPRODUCT($K385:$N385,Weights!$K$28:$N$28)</f>
        <v>2.6</v>
      </c>
      <c r="AE385" s="18" t="n">
        <f aca="false">SUMPRODUCT($O385:$Q385,Weights!$O$28:$Q$28)</f>
        <v>2.95</v>
      </c>
      <c r="AF385" s="18" t="n">
        <f aca="false">SUMPRODUCT($R385:$V385,Weights!$R$28:$V$28)</f>
        <v>1.8</v>
      </c>
      <c r="AH385" s="18" t="n">
        <f aca="false">SUMPRODUCT($AB385:$AF385,Validation!$D$7:$H$7)</f>
        <v>1.8657142857145</v>
      </c>
      <c r="AI385" s="18" t="n">
        <f aca="false">SUMPRODUCT($AB385:$AF385,Validation!$D$8:$H$8)</f>
        <v>1.8242857142855</v>
      </c>
      <c r="AJ385" s="18" t="n">
        <f aca="false">SUMPRODUCT($AB385:$AF385,Validation!$D$9:$H$9)</f>
        <v>1.95766666666655</v>
      </c>
      <c r="AK385" s="18" t="n">
        <f aca="false">SUMPRODUCT($AB385:$AF385,Validation!$D$10:$H$10)</f>
        <v>1.73233333333345</v>
      </c>
      <c r="AL385" s="18" t="n">
        <f aca="false">SUMPRODUCT($AB385:$AF385,Validation!$D$11:$H$11)</f>
        <v>1.750625</v>
      </c>
      <c r="AM385" s="18" t="n">
        <f aca="false">SUMPRODUCT($AB385:$AF385,Validation!$D$12:$H$12)</f>
        <v>1.939375</v>
      </c>
      <c r="AN385" s="18" t="n">
        <f aca="false">SUMPRODUCT($AB385:$AF385,Validation!$D$13:$H$13)</f>
        <v>1.7222222222219</v>
      </c>
      <c r="AO385" s="18" t="n">
        <f aca="false">SUMPRODUCT($AB385:$AF385,Validation!$D$14:$H$14)</f>
        <v>1.9677777777781</v>
      </c>
      <c r="AP385" s="18" t="n">
        <f aca="false">SUMPRODUCT($AB385:$AF385,Validation!$D$15:$H$15)</f>
        <v>1.8502941176468</v>
      </c>
      <c r="AQ385" s="18" t="n">
        <f aca="false">SUMPRODUCT($AB385:$AF385,Validation!$D$16:$H$16)</f>
        <v>1.8397058823532</v>
      </c>
      <c r="AR385" s="8" t="n">
        <f aca="false">COUNTIF($C385:$V385,"&gt;=4")</f>
        <v>2</v>
      </c>
      <c r="AS385" s="8" t="str">
        <f aca="false">IF($X385&lt;=1.6,"Low",IF($X385&lt;=2.2,"Medium","High"))</f>
        <v>Medium</v>
      </c>
      <c r="AT385" s="8" t="str">
        <f aca="false">IF($AR385=0,"Low",IF($AR385&lt;3,"Medium","High"))</f>
        <v>Medium</v>
      </c>
      <c r="AU385" s="8" t="str">
        <f aca="false">IF(OR($AS385="High",$AT385="High"),"High",IF(OR($AS385="Medium",$AT385="Medium"),"Medium","Low"))</f>
        <v>Medium</v>
      </c>
      <c r="AV385" s="15" t="str">
        <f aca="false">IF($Z385="Yes","High",$AU385)</f>
        <v>Medium</v>
      </c>
    </row>
    <row r="386" customFormat="false" ht="15" hidden="false" customHeight="false" outlineLevel="0" collapsed="false">
      <c r="A386" s="7" t="str">
        <f aca="false">Customers!$A386</f>
        <v>NG-10354</v>
      </c>
      <c r="B386" s="7" t="str">
        <f aca="false">Customers!$B386</f>
        <v>Sole trader</v>
      </c>
      <c r="C386" s="8" t="n">
        <f aca="false">INDEX(Mapping!$C$2:$C$99,MATCH(C$1&amp;"|"&amp;Customers!C386,Mapping!$D$2:$D$99,0))</f>
        <v>2</v>
      </c>
      <c r="D386" s="8" t="n">
        <f aca="false">INDEX(Mapping!$C$2:$C$99,MATCH(D$1&amp;"|"&amp;Customers!D386,Mapping!$D$2:$D$99,0))</f>
        <v>1</v>
      </c>
      <c r="E386" s="8" t="n">
        <f aca="false">INDEX(Mapping!$C$2:$C$99,MATCH(E$1&amp;"|"&amp;Customers!E386,Mapping!$D$2:$D$99,0))</f>
        <v>4</v>
      </c>
      <c r="F386" s="8" t="n">
        <f aca="false">INDEX(Mapping!$C$2:$C$99,MATCH(F$1&amp;"|"&amp;Customers!F386,Mapping!$D$2:$D$99,0))</f>
        <v>1</v>
      </c>
      <c r="G386" s="8" t="n">
        <f aca="false">INDEX(Mapping!$C$2:$C$99,MATCH(G$1&amp;"|"&amp;Customers!G386,Mapping!$D$2:$D$99,0))</f>
        <v>1</v>
      </c>
      <c r="H386" s="8" t="n">
        <f aca="false">INDEX(Mapping!$C$2:$C$99,MATCH(H$1&amp;"|"&amp;Customers!H386,Mapping!$D$2:$D$99,0))</f>
        <v>1</v>
      </c>
      <c r="I386" s="8" t="n">
        <f aca="false">INDEX(Mapping!$C$2:$C$99,MATCH(I$1&amp;"|"&amp;Customers!I386,Mapping!$D$2:$D$99,0))</f>
        <v>1</v>
      </c>
      <c r="J386" s="8" t="n">
        <f aca="false">INDEX(Mapping!$C$2:$C$99,MATCH(J$1&amp;"|"&amp;Customers!J386,Mapping!$D$2:$D$99,0))</f>
        <v>2</v>
      </c>
      <c r="K386" s="8" t="n">
        <f aca="false">INDEX(Mapping!$C$2:$C$99,MATCH(K$1&amp;"|"&amp;Customers!K386,Mapping!$D$2:$D$99,0))</f>
        <v>5</v>
      </c>
      <c r="L386" s="8" t="n">
        <f aca="false">INDEX(Mapping!$C$2:$C$99,MATCH(L$1&amp;"|"&amp;Customers!L386,Mapping!$D$2:$D$99,0))</f>
        <v>3</v>
      </c>
      <c r="M386" s="8" t="n">
        <f aca="false">INDEX(Mapping!$C$2:$C$99,MATCH(M$1&amp;"|"&amp;Customers!M386,Mapping!$D$2:$D$99,0))</f>
        <v>3</v>
      </c>
      <c r="N386" s="8" t="n">
        <f aca="false">INDEX(Mapping!$C$2:$C$99,MATCH(N$1&amp;"|"&amp;Customers!N386,Mapping!$D$2:$D$99,0))</f>
        <v>1</v>
      </c>
      <c r="O386" s="8" t="n">
        <f aca="false">INDEX(Mapping!$C$2:$C$99,MATCH(O$1&amp;"|"&amp;Customers!O386,Mapping!$D$2:$D$99,0))</f>
        <v>3</v>
      </c>
      <c r="P386" s="8" t="n">
        <f aca="false">INDEX(Mapping!$C$2:$C$99,MATCH(P$1&amp;"|"&amp;Customers!P386,Mapping!$D$2:$D$99,0))</f>
        <v>3</v>
      </c>
      <c r="Q386" s="8" t="n">
        <f aca="false">INDEX(Mapping!$C$2:$C$99,MATCH(Q$1&amp;"|"&amp;Customers!Q386,Mapping!$D$2:$D$99,0))</f>
        <v>4</v>
      </c>
      <c r="R386" s="8" t="n">
        <f aca="false">INDEX(Mapping!$C$2:$C$99,MATCH(R$1&amp;"|"&amp;Customers!R386,Mapping!$D$2:$D$99,0))</f>
        <v>3</v>
      </c>
      <c r="S386" s="8" t="n">
        <f aca="false">INDEX(Mapping!$C$2:$C$99,MATCH(S$1&amp;"|"&amp;Customers!S386,Mapping!$D$2:$D$99,0))</f>
        <v>2</v>
      </c>
      <c r="T386" s="8" t="n">
        <f aca="false">INDEX(Mapping!$C$2:$C$99,MATCH(T$1&amp;"|"&amp;Customers!T386,Mapping!$D$2:$D$99,0))</f>
        <v>1</v>
      </c>
      <c r="U386" s="8" t="n">
        <f aca="false">INDEX(Mapping!$C$2:$C$99,MATCH(U$1&amp;"|"&amp;Customers!U386,Mapping!$D$2:$D$99,0))</f>
        <v>2</v>
      </c>
      <c r="V386" s="8" t="n">
        <f aca="false">INDEX(Mapping!$C$2:$C$99,MATCH(V$1&amp;"|"&amp;Customers!V386,Mapping!$D$2:$D$99,0))</f>
        <v>1</v>
      </c>
      <c r="W386" s="17" t="n">
        <f aca="false">SUMPRODUCT($C386:$V386,Weights!$C$27:$V$27)</f>
        <v>2.2275</v>
      </c>
      <c r="X386" s="18" t="n">
        <f aca="false">ROUND($W386,2)</f>
        <v>2.23</v>
      </c>
      <c r="Y386" s="8" t="str">
        <f aca="false">IF($X386&lt;=2,"Low",IF($X386&lt;=3.49,"Medium","High"))</f>
        <v>Medium</v>
      </c>
      <c r="Z386" s="8" t="str">
        <f aca="false">IF(OR($F386&gt;=3,$E386=5,$D386=5,$C386=5,$G386=5,$H386=5,$I386=5,$J386=5,Customers!$W386="Yes"),"Yes","No")</f>
        <v>No</v>
      </c>
      <c r="AA386" s="15" t="str">
        <f aca="false">IF($Z386="Yes","High",$Y386)</f>
        <v>Medium</v>
      </c>
      <c r="AB386" s="18" t="n">
        <f aca="false">SUMPRODUCT($C386:$G386,Weights!$C$28:$G$28)</f>
        <v>1.95</v>
      </c>
      <c r="AC386" s="18" t="n">
        <f aca="false">SUMPRODUCT($H386:$J386,Weights!$H$28:$J$28)</f>
        <v>1.4</v>
      </c>
      <c r="AD386" s="18" t="n">
        <f aca="false">SUMPRODUCT($K386:$N386,Weights!$K$28:$N$28)</f>
        <v>3.4</v>
      </c>
      <c r="AE386" s="18" t="n">
        <f aca="false">SUMPRODUCT($O386:$Q386,Weights!$O$28:$Q$28)</f>
        <v>3.2</v>
      </c>
      <c r="AF386" s="18" t="n">
        <f aca="false">SUMPRODUCT($R386:$V386,Weights!$R$28:$V$28)</f>
        <v>1.95</v>
      </c>
      <c r="AH386" s="18" t="n">
        <f aca="false">SUMPRODUCT($AB386:$AF386,Validation!$D$7:$H$7)</f>
        <v>2.26714285714275</v>
      </c>
      <c r="AI386" s="18" t="n">
        <f aca="false">SUMPRODUCT($AB386:$AF386,Validation!$D$8:$H$8)</f>
        <v>2.18785714285725</v>
      </c>
      <c r="AJ386" s="18" t="n">
        <f aca="false">SUMPRODUCT($AB386:$AF386,Validation!$D$9:$H$9)</f>
        <v>2.3378333333334</v>
      </c>
      <c r="AK386" s="18" t="n">
        <f aca="false">SUMPRODUCT($AB386:$AF386,Validation!$D$10:$H$10)</f>
        <v>2.1171666666666</v>
      </c>
      <c r="AL386" s="18" t="n">
        <f aca="false">SUMPRODUCT($AB386:$AF386,Validation!$D$11:$H$11)</f>
        <v>2.0809375</v>
      </c>
      <c r="AM386" s="18" t="n">
        <f aca="false">SUMPRODUCT($AB386:$AF386,Validation!$D$12:$H$12)</f>
        <v>2.3740625</v>
      </c>
      <c r="AN386" s="18" t="n">
        <f aca="false">SUMPRODUCT($AB386:$AF386,Validation!$D$13:$H$13)</f>
        <v>2.119444444444</v>
      </c>
      <c r="AO386" s="18" t="n">
        <f aca="false">SUMPRODUCT($AB386:$AF386,Validation!$D$14:$H$14)</f>
        <v>2.335555555556</v>
      </c>
      <c r="AP386" s="18" t="n">
        <f aca="false">SUMPRODUCT($AB386:$AF386,Validation!$D$15:$H$15)</f>
        <v>2.26014705882345</v>
      </c>
      <c r="AQ386" s="18" t="n">
        <f aca="false">SUMPRODUCT($AB386:$AF386,Validation!$D$16:$H$16)</f>
        <v>2.19485294117655</v>
      </c>
      <c r="AR386" s="8" t="n">
        <f aca="false">COUNTIF($C386:$V386,"&gt;=4")</f>
        <v>3</v>
      </c>
      <c r="AS386" s="8" t="str">
        <f aca="false">IF($X386&lt;=1.6,"Low",IF($X386&lt;=2.2,"Medium","High"))</f>
        <v>High</v>
      </c>
      <c r="AT386" s="8" t="str">
        <f aca="false">IF($AR386=0,"Low",IF($AR386&lt;3,"Medium","High"))</f>
        <v>High</v>
      </c>
      <c r="AU386" s="8" t="str">
        <f aca="false">IF(OR($AS386="High",$AT386="High"),"High",IF(OR($AS386="Medium",$AT386="Medium"),"Medium","Low"))</f>
        <v>High</v>
      </c>
      <c r="AV386" s="15" t="str">
        <f aca="false">IF($Z386="Yes","High",$AU386)</f>
        <v>High</v>
      </c>
    </row>
    <row r="387" customFormat="false" ht="15" hidden="false" customHeight="false" outlineLevel="0" collapsed="false">
      <c r="A387" s="7" t="str">
        <f aca="false">Customers!$A387</f>
        <v>NG-10291</v>
      </c>
      <c r="B387" s="7" t="str">
        <f aca="false">Customers!$B387</f>
        <v>Personal</v>
      </c>
      <c r="C387" s="8" t="n">
        <f aca="false">INDEX(Mapping!$C$2:$C$99,MATCH(C$1&amp;"|"&amp;Customers!C387,Mapping!$D$2:$D$99,0))</f>
        <v>1</v>
      </c>
      <c r="D387" s="8" t="n">
        <f aca="false">INDEX(Mapping!$C$2:$C$99,MATCH(D$1&amp;"|"&amp;Customers!D387,Mapping!$D$2:$D$99,0))</f>
        <v>1</v>
      </c>
      <c r="E387" s="8" t="n">
        <f aca="false">INDEX(Mapping!$C$2:$C$99,MATCH(E$1&amp;"|"&amp;Customers!E387,Mapping!$D$2:$D$99,0))</f>
        <v>4</v>
      </c>
      <c r="F387" s="8" t="n">
        <f aca="false">INDEX(Mapping!$C$2:$C$99,MATCH(F$1&amp;"|"&amp;Customers!F387,Mapping!$D$2:$D$99,0))</f>
        <v>1</v>
      </c>
      <c r="G387" s="8" t="n">
        <f aca="false">INDEX(Mapping!$C$2:$C$99,MATCH(G$1&amp;"|"&amp;Customers!G387,Mapping!$D$2:$D$99,0))</f>
        <v>1</v>
      </c>
      <c r="H387" s="8" t="n">
        <f aca="false">INDEX(Mapping!$C$2:$C$99,MATCH(H$1&amp;"|"&amp;Customers!H387,Mapping!$D$2:$D$99,0))</f>
        <v>1</v>
      </c>
      <c r="I387" s="8" t="n">
        <f aca="false">INDEX(Mapping!$C$2:$C$99,MATCH(I$1&amp;"|"&amp;Customers!I387,Mapping!$D$2:$D$99,0))</f>
        <v>1</v>
      </c>
      <c r="J387" s="8" t="n">
        <f aca="false">INDEX(Mapping!$C$2:$C$99,MATCH(J$1&amp;"|"&amp;Customers!J387,Mapping!$D$2:$D$99,0))</f>
        <v>1</v>
      </c>
      <c r="K387" s="8" t="n">
        <f aca="false">INDEX(Mapping!$C$2:$C$99,MATCH(K$1&amp;"|"&amp;Customers!K387,Mapping!$D$2:$D$99,0))</f>
        <v>3</v>
      </c>
      <c r="L387" s="8" t="n">
        <f aca="false">INDEX(Mapping!$C$2:$C$99,MATCH(L$1&amp;"|"&amp;Customers!L387,Mapping!$D$2:$D$99,0))</f>
        <v>2</v>
      </c>
      <c r="M387" s="8" t="n">
        <f aca="false">INDEX(Mapping!$C$2:$C$99,MATCH(M$1&amp;"|"&amp;Customers!M387,Mapping!$D$2:$D$99,0))</f>
        <v>1</v>
      </c>
      <c r="N387" s="8" t="n">
        <f aca="false">INDEX(Mapping!$C$2:$C$99,MATCH(N$1&amp;"|"&amp;Customers!N387,Mapping!$D$2:$D$99,0))</f>
        <v>1</v>
      </c>
      <c r="O387" s="8" t="n">
        <f aca="false">INDEX(Mapping!$C$2:$C$99,MATCH(O$1&amp;"|"&amp;Customers!O387,Mapping!$D$2:$D$99,0))</f>
        <v>3</v>
      </c>
      <c r="P387" s="8" t="n">
        <f aca="false">INDEX(Mapping!$C$2:$C$99,MATCH(P$1&amp;"|"&amp;Customers!P387,Mapping!$D$2:$D$99,0))</f>
        <v>3</v>
      </c>
      <c r="Q387" s="8" t="n">
        <f aca="false">INDEX(Mapping!$C$2:$C$99,MATCH(Q$1&amp;"|"&amp;Customers!Q387,Mapping!$D$2:$D$99,0))</f>
        <v>3</v>
      </c>
      <c r="R387" s="8" t="n">
        <f aca="false">INDEX(Mapping!$C$2:$C$99,MATCH(R$1&amp;"|"&amp;Customers!R387,Mapping!$D$2:$D$99,0))</f>
        <v>1</v>
      </c>
      <c r="S387" s="8" t="n">
        <f aca="false">INDEX(Mapping!$C$2:$C$99,MATCH(S$1&amp;"|"&amp;Customers!S387,Mapping!$D$2:$D$99,0))</f>
        <v>1</v>
      </c>
      <c r="T387" s="8" t="n">
        <f aca="false">INDEX(Mapping!$C$2:$C$99,MATCH(T$1&amp;"|"&amp;Customers!T387,Mapping!$D$2:$D$99,0))</f>
        <v>3</v>
      </c>
      <c r="U387" s="8" t="n">
        <f aca="false">INDEX(Mapping!$C$2:$C$99,MATCH(U$1&amp;"|"&amp;Customers!U387,Mapping!$D$2:$D$99,0))</f>
        <v>2</v>
      </c>
      <c r="V387" s="8" t="n">
        <f aca="false">INDEX(Mapping!$C$2:$C$99,MATCH(V$1&amp;"|"&amp;Customers!V387,Mapping!$D$2:$D$99,0))</f>
        <v>1</v>
      </c>
      <c r="W387" s="17" t="n">
        <f aca="false">SUMPRODUCT($C387:$V387,Weights!$C$27:$V$27)</f>
        <v>1.6975</v>
      </c>
      <c r="X387" s="18" t="n">
        <f aca="false">ROUND($W387,2)</f>
        <v>1.7</v>
      </c>
      <c r="Y387" s="8" t="str">
        <f aca="false">IF($X387&lt;=2,"Low",IF($X387&lt;=3.49,"Medium","High"))</f>
        <v>Low</v>
      </c>
      <c r="Z387" s="8" t="str">
        <f aca="false">IF(OR($F387&gt;=3,$E387=5,$D387=5,$C387=5,$G387=5,$H387=5,$I387=5,$J387=5,Customers!$W387="Yes"),"Yes","No")</f>
        <v>No</v>
      </c>
      <c r="AA387" s="15" t="str">
        <f aca="false">IF($Z387="Yes","High",$Y387)</f>
        <v>Low</v>
      </c>
      <c r="AB387" s="18" t="n">
        <f aca="false">SUMPRODUCT($C387:$G387,Weights!$C$28:$G$28)</f>
        <v>1.75</v>
      </c>
      <c r="AC387" s="18" t="n">
        <f aca="false">SUMPRODUCT($H387:$J387,Weights!$H$28:$J$28)</f>
        <v>1</v>
      </c>
      <c r="AD387" s="18" t="n">
        <f aca="false">SUMPRODUCT($K387:$N387,Weights!$K$28:$N$28)</f>
        <v>1.95</v>
      </c>
      <c r="AE387" s="18" t="n">
        <f aca="false">SUMPRODUCT($O387:$Q387,Weights!$O$28:$Q$28)</f>
        <v>3</v>
      </c>
      <c r="AF387" s="18" t="n">
        <f aca="false">SUMPRODUCT($R387:$V387,Weights!$R$28:$V$28)</f>
        <v>1.55</v>
      </c>
      <c r="AH387" s="18" t="n">
        <f aca="false">SUMPRODUCT($AB387:$AF387,Validation!$D$7:$H$7)</f>
        <v>1.6900000000004</v>
      </c>
      <c r="AI387" s="18" t="n">
        <f aca="false">SUMPRODUCT($AB387:$AF387,Validation!$D$8:$H$8)</f>
        <v>1.7049999999996</v>
      </c>
      <c r="AJ387" s="18" t="n">
        <f aca="false">SUMPRODUCT($AB387:$AF387,Validation!$D$9:$H$9)</f>
        <v>1.79049999999965</v>
      </c>
      <c r="AK387" s="18" t="n">
        <f aca="false">SUMPRODUCT($AB387:$AF387,Validation!$D$10:$H$10)</f>
        <v>1.60450000000035</v>
      </c>
      <c r="AL387" s="18" t="n">
        <f aca="false">SUMPRODUCT($AB387:$AF387,Validation!$D$11:$H$11)</f>
        <v>1.6659375</v>
      </c>
      <c r="AM387" s="18" t="n">
        <f aca="false">SUMPRODUCT($AB387:$AF387,Validation!$D$12:$H$12)</f>
        <v>1.7290625</v>
      </c>
      <c r="AN387" s="18" t="n">
        <f aca="false">SUMPRODUCT($AB387:$AF387,Validation!$D$13:$H$13)</f>
        <v>1.5527777777775</v>
      </c>
      <c r="AO387" s="18" t="n">
        <f aca="false">SUMPRODUCT($AB387:$AF387,Validation!$D$14:$H$14)</f>
        <v>1.8422222222225</v>
      </c>
      <c r="AP387" s="18" t="n">
        <f aca="false">SUMPRODUCT($AB387:$AF387,Validation!$D$15:$H$15)</f>
        <v>1.714852941176</v>
      </c>
      <c r="AQ387" s="18" t="n">
        <f aca="false">SUMPRODUCT($AB387:$AF387,Validation!$D$16:$H$16)</f>
        <v>1.680147058824</v>
      </c>
      <c r="AR387" s="8" t="n">
        <f aca="false">COUNTIF($C387:$V387,"&gt;=4")</f>
        <v>1</v>
      </c>
      <c r="AS387" s="8" t="str">
        <f aca="false">IF($X387&lt;=1.6,"Low",IF($X387&lt;=2.2,"Medium","High"))</f>
        <v>Medium</v>
      </c>
      <c r="AT387" s="8" t="str">
        <f aca="false">IF($AR387=0,"Low",IF($AR387&lt;3,"Medium","High"))</f>
        <v>Medium</v>
      </c>
      <c r="AU387" s="8" t="str">
        <f aca="false">IF(OR($AS387="High",$AT387="High"),"High",IF(OR($AS387="Medium",$AT387="Medium"),"Medium","Low"))</f>
        <v>Medium</v>
      </c>
      <c r="AV387" s="15" t="str">
        <f aca="false">IF($Z387="Yes","High",$AU387)</f>
        <v>Medium</v>
      </c>
    </row>
    <row r="388" customFormat="false" ht="15" hidden="false" customHeight="false" outlineLevel="0" collapsed="false">
      <c r="A388" s="7" t="str">
        <f aca="false">Customers!$A388</f>
        <v>NG-10296</v>
      </c>
      <c r="B388" s="7" t="str">
        <f aca="false">Customers!$B388</f>
        <v>Personal</v>
      </c>
      <c r="C388" s="8" t="n">
        <f aca="false">INDEX(Mapping!$C$2:$C$99,MATCH(C$1&amp;"|"&amp;Customers!C388,Mapping!$D$2:$D$99,0))</f>
        <v>1</v>
      </c>
      <c r="D388" s="8" t="n">
        <f aca="false">INDEX(Mapping!$C$2:$C$99,MATCH(D$1&amp;"|"&amp;Customers!D388,Mapping!$D$2:$D$99,0))</f>
        <v>1</v>
      </c>
      <c r="E388" s="8" t="n">
        <f aca="false">INDEX(Mapping!$C$2:$C$99,MATCH(E$1&amp;"|"&amp;Customers!E388,Mapping!$D$2:$D$99,0))</f>
        <v>1</v>
      </c>
      <c r="F388" s="8" t="n">
        <f aca="false">INDEX(Mapping!$C$2:$C$99,MATCH(F$1&amp;"|"&amp;Customers!F388,Mapping!$D$2:$D$99,0))</f>
        <v>1</v>
      </c>
      <c r="G388" s="8" t="n">
        <f aca="false">INDEX(Mapping!$C$2:$C$99,MATCH(G$1&amp;"|"&amp;Customers!G388,Mapping!$D$2:$D$99,0))</f>
        <v>1</v>
      </c>
      <c r="H388" s="8" t="n">
        <f aca="false">INDEX(Mapping!$C$2:$C$99,MATCH(H$1&amp;"|"&amp;Customers!H388,Mapping!$D$2:$D$99,0))</f>
        <v>1</v>
      </c>
      <c r="I388" s="8" t="n">
        <f aca="false">INDEX(Mapping!$C$2:$C$99,MATCH(I$1&amp;"|"&amp;Customers!I388,Mapping!$D$2:$D$99,0))</f>
        <v>1</v>
      </c>
      <c r="J388" s="8" t="n">
        <f aca="false">INDEX(Mapping!$C$2:$C$99,MATCH(J$1&amp;"|"&amp;Customers!J388,Mapping!$D$2:$D$99,0))</f>
        <v>2</v>
      </c>
      <c r="K388" s="8" t="n">
        <f aca="false">INDEX(Mapping!$C$2:$C$99,MATCH(K$1&amp;"|"&amp;Customers!K388,Mapping!$D$2:$D$99,0))</f>
        <v>2</v>
      </c>
      <c r="L388" s="8" t="n">
        <f aca="false">INDEX(Mapping!$C$2:$C$99,MATCH(L$1&amp;"|"&amp;Customers!L388,Mapping!$D$2:$D$99,0))</f>
        <v>2</v>
      </c>
      <c r="M388" s="8" t="n">
        <f aca="false">INDEX(Mapping!$C$2:$C$99,MATCH(M$1&amp;"|"&amp;Customers!M388,Mapping!$D$2:$D$99,0))</f>
        <v>1</v>
      </c>
      <c r="N388" s="8" t="n">
        <f aca="false">INDEX(Mapping!$C$2:$C$99,MATCH(N$1&amp;"|"&amp;Customers!N388,Mapping!$D$2:$D$99,0))</f>
        <v>1</v>
      </c>
      <c r="O388" s="8" t="n">
        <f aca="false">INDEX(Mapping!$C$2:$C$99,MATCH(O$1&amp;"|"&amp;Customers!O388,Mapping!$D$2:$D$99,0))</f>
        <v>3</v>
      </c>
      <c r="P388" s="8" t="n">
        <f aca="false">INDEX(Mapping!$C$2:$C$99,MATCH(P$1&amp;"|"&amp;Customers!P388,Mapping!$D$2:$D$99,0))</f>
        <v>3</v>
      </c>
      <c r="Q388" s="8" t="n">
        <f aca="false">INDEX(Mapping!$C$2:$C$99,MATCH(Q$1&amp;"|"&amp;Customers!Q388,Mapping!$D$2:$D$99,0))</f>
        <v>1</v>
      </c>
      <c r="R388" s="8" t="n">
        <f aca="false">INDEX(Mapping!$C$2:$C$99,MATCH(R$1&amp;"|"&amp;Customers!R388,Mapping!$D$2:$D$99,0))</f>
        <v>1</v>
      </c>
      <c r="S388" s="8" t="n">
        <f aca="false">INDEX(Mapping!$C$2:$C$99,MATCH(S$1&amp;"|"&amp;Customers!S388,Mapping!$D$2:$D$99,0))</f>
        <v>2</v>
      </c>
      <c r="T388" s="8" t="n">
        <f aca="false">INDEX(Mapping!$C$2:$C$99,MATCH(T$1&amp;"|"&amp;Customers!T388,Mapping!$D$2:$D$99,0))</f>
        <v>1</v>
      </c>
      <c r="U388" s="8" t="n">
        <f aca="false">INDEX(Mapping!$C$2:$C$99,MATCH(U$1&amp;"|"&amp;Customers!U388,Mapping!$D$2:$D$99,0))</f>
        <v>3</v>
      </c>
      <c r="V388" s="8" t="n">
        <f aca="false">INDEX(Mapping!$C$2:$C$99,MATCH(V$1&amp;"|"&amp;Customers!V388,Mapping!$D$2:$D$99,0))</f>
        <v>1</v>
      </c>
      <c r="W388" s="17" t="n">
        <f aca="false">SUMPRODUCT($C388:$V388,Weights!$C$27:$V$27)</f>
        <v>1.47</v>
      </c>
      <c r="X388" s="18" t="n">
        <f aca="false">ROUND($W388,2)</f>
        <v>1.47</v>
      </c>
      <c r="Y388" s="8" t="str">
        <f aca="false">IF($X388&lt;=2,"Low",IF($X388&lt;=3.49,"Medium","High"))</f>
        <v>Low</v>
      </c>
      <c r="Z388" s="8" t="str">
        <f aca="false">IF(OR($F388&gt;=3,$E388=5,$D388=5,$C388=5,$G388=5,$H388=5,$I388=5,$J388=5,Customers!$W388="Yes"),"Yes","No")</f>
        <v>No</v>
      </c>
      <c r="AA388" s="15" t="str">
        <f aca="false">IF($Z388="Yes","High",$Y388)</f>
        <v>Low</v>
      </c>
      <c r="AB388" s="18" t="n">
        <f aca="false">SUMPRODUCT($C388:$G388,Weights!$C$28:$G$28)</f>
        <v>1</v>
      </c>
      <c r="AC388" s="18" t="n">
        <f aca="false">SUMPRODUCT($H388:$J388,Weights!$H$28:$J$28)</f>
        <v>1.4</v>
      </c>
      <c r="AD388" s="18" t="n">
        <f aca="false">SUMPRODUCT($K388:$N388,Weights!$K$28:$N$28)</f>
        <v>1.6</v>
      </c>
      <c r="AE388" s="18" t="n">
        <f aca="false">SUMPRODUCT($O388:$Q388,Weights!$O$28:$Q$28)</f>
        <v>2.6</v>
      </c>
      <c r="AF388" s="18" t="n">
        <f aca="false">SUMPRODUCT($R388:$V388,Weights!$R$28:$V$28)</f>
        <v>1.6</v>
      </c>
      <c r="AH388" s="18" t="n">
        <f aca="false">SUMPRODUCT($AB388:$AF388,Validation!$D$7:$H$7)</f>
        <v>1.5371428571432</v>
      </c>
      <c r="AI388" s="18" t="n">
        <f aca="false">SUMPRODUCT($AB388:$AF388,Validation!$D$8:$H$8)</f>
        <v>1.4028571428568</v>
      </c>
      <c r="AJ388" s="18" t="n">
        <f aca="false">SUMPRODUCT($AB388:$AF388,Validation!$D$9:$H$9)</f>
        <v>1.479333333333</v>
      </c>
      <c r="AK388" s="18" t="n">
        <f aca="false">SUMPRODUCT($AB388:$AF388,Validation!$D$10:$H$10)</f>
        <v>1.460666666667</v>
      </c>
      <c r="AL388" s="18" t="n">
        <f aca="false">SUMPRODUCT($AB388:$AF388,Validation!$D$11:$H$11)</f>
        <v>1.45375</v>
      </c>
      <c r="AM388" s="18" t="n">
        <f aca="false">SUMPRODUCT($AB388:$AF388,Validation!$D$12:$H$12)</f>
        <v>1.48625</v>
      </c>
      <c r="AN388" s="18" t="n">
        <f aca="false">SUMPRODUCT($AB388:$AF388,Validation!$D$13:$H$13)</f>
        <v>1.3444444444446</v>
      </c>
      <c r="AO388" s="18" t="n">
        <f aca="false">SUMPRODUCT($AB388:$AF388,Validation!$D$14:$H$14)</f>
        <v>1.5955555555554</v>
      </c>
      <c r="AP388" s="18" t="n">
        <f aca="false">SUMPRODUCT($AB388:$AF388,Validation!$D$15:$H$15)</f>
        <v>1.4547058823526</v>
      </c>
      <c r="AQ388" s="18" t="n">
        <f aca="false">SUMPRODUCT($AB388:$AF388,Validation!$D$16:$H$16)</f>
        <v>1.4852941176474</v>
      </c>
      <c r="AR388" s="8" t="n">
        <f aca="false">COUNTIF($C388:$V388,"&gt;=4")</f>
        <v>0</v>
      </c>
      <c r="AS388" s="8" t="str">
        <f aca="false">IF($X388&lt;=1.6,"Low",IF($X388&lt;=2.2,"Medium","High"))</f>
        <v>Low</v>
      </c>
      <c r="AT388" s="8" t="str">
        <f aca="false">IF($AR388=0,"Low",IF($AR388&lt;3,"Medium","High"))</f>
        <v>Low</v>
      </c>
      <c r="AU388" s="8" t="str">
        <f aca="false">IF(OR($AS388="High",$AT388="High"),"High",IF(OR($AS388="Medium",$AT388="Medium"),"Medium","Low"))</f>
        <v>Low</v>
      </c>
      <c r="AV388" s="15" t="str">
        <f aca="false">IF($Z388="Yes","High",$AU388)</f>
        <v>Low</v>
      </c>
    </row>
    <row r="389" customFormat="false" ht="15" hidden="false" customHeight="false" outlineLevel="0" collapsed="false">
      <c r="A389" s="7" t="str">
        <f aca="false">Customers!$A389</f>
        <v>NG-10157</v>
      </c>
      <c r="B389" s="7" t="str">
        <f aca="false">Customers!$B389</f>
        <v>Personal</v>
      </c>
      <c r="C389" s="8" t="n">
        <f aca="false">INDEX(Mapping!$C$2:$C$99,MATCH(C$1&amp;"|"&amp;Customers!C389,Mapping!$D$2:$D$99,0))</f>
        <v>2</v>
      </c>
      <c r="D389" s="8" t="n">
        <f aca="false">INDEX(Mapping!$C$2:$C$99,MATCH(D$1&amp;"|"&amp;Customers!D389,Mapping!$D$2:$D$99,0))</f>
        <v>1</v>
      </c>
      <c r="E389" s="8" t="n">
        <f aca="false">INDEX(Mapping!$C$2:$C$99,MATCH(E$1&amp;"|"&amp;Customers!E389,Mapping!$D$2:$D$99,0))</f>
        <v>3</v>
      </c>
      <c r="F389" s="8" t="n">
        <f aca="false">INDEX(Mapping!$C$2:$C$99,MATCH(F$1&amp;"|"&amp;Customers!F389,Mapping!$D$2:$D$99,0))</f>
        <v>1</v>
      </c>
      <c r="G389" s="8" t="n">
        <f aca="false">INDEX(Mapping!$C$2:$C$99,MATCH(G$1&amp;"|"&amp;Customers!G389,Mapping!$D$2:$D$99,0))</f>
        <v>1</v>
      </c>
      <c r="H389" s="8" t="n">
        <f aca="false">INDEX(Mapping!$C$2:$C$99,MATCH(H$1&amp;"|"&amp;Customers!H389,Mapping!$D$2:$D$99,0))</f>
        <v>1</v>
      </c>
      <c r="I389" s="8" t="n">
        <f aca="false">INDEX(Mapping!$C$2:$C$99,MATCH(I$1&amp;"|"&amp;Customers!I389,Mapping!$D$2:$D$99,0))</f>
        <v>1</v>
      </c>
      <c r="J389" s="8" t="n">
        <f aca="false">INDEX(Mapping!$C$2:$C$99,MATCH(J$1&amp;"|"&amp;Customers!J389,Mapping!$D$2:$D$99,0))</f>
        <v>1</v>
      </c>
      <c r="K389" s="8" t="n">
        <f aca="false">INDEX(Mapping!$C$2:$C$99,MATCH(K$1&amp;"|"&amp;Customers!K389,Mapping!$D$2:$D$99,0))</f>
        <v>3</v>
      </c>
      <c r="L389" s="8" t="n">
        <f aca="false">INDEX(Mapping!$C$2:$C$99,MATCH(L$1&amp;"|"&amp;Customers!L389,Mapping!$D$2:$D$99,0))</f>
        <v>1</v>
      </c>
      <c r="M389" s="8" t="n">
        <f aca="false">INDEX(Mapping!$C$2:$C$99,MATCH(M$1&amp;"|"&amp;Customers!M389,Mapping!$D$2:$D$99,0))</f>
        <v>2</v>
      </c>
      <c r="N389" s="8" t="n">
        <f aca="false">INDEX(Mapping!$C$2:$C$99,MATCH(N$1&amp;"|"&amp;Customers!N389,Mapping!$D$2:$D$99,0))</f>
        <v>1</v>
      </c>
      <c r="O389" s="8" t="n">
        <f aca="false">INDEX(Mapping!$C$2:$C$99,MATCH(O$1&amp;"|"&amp;Customers!O389,Mapping!$D$2:$D$99,0))</f>
        <v>3</v>
      </c>
      <c r="P389" s="8" t="n">
        <f aca="false">INDEX(Mapping!$C$2:$C$99,MATCH(P$1&amp;"|"&amp;Customers!P389,Mapping!$D$2:$D$99,0))</f>
        <v>1</v>
      </c>
      <c r="Q389" s="8" t="n">
        <f aca="false">INDEX(Mapping!$C$2:$C$99,MATCH(Q$1&amp;"|"&amp;Customers!Q389,Mapping!$D$2:$D$99,0))</f>
        <v>1</v>
      </c>
      <c r="R389" s="8" t="n">
        <f aca="false">INDEX(Mapping!$C$2:$C$99,MATCH(R$1&amp;"|"&amp;Customers!R389,Mapping!$D$2:$D$99,0))</f>
        <v>1</v>
      </c>
      <c r="S389" s="8" t="n">
        <f aca="false">INDEX(Mapping!$C$2:$C$99,MATCH(S$1&amp;"|"&amp;Customers!S389,Mapping!$D$2:$D$99,0))</f>
        <v>2</v>
      </c>
      <c r="T389" s="8" t="n">
        <f aca="false">INDEX(Mapping!$C$2:$C$99,MATCH(T$1&amp;"|"&amp;Customers!T389,Mapping!$D$2:$D$99,0))</f>
        <v>1</v>
      </c>
      <c r="U389" s="8" t="n">
        <f aca="false">INDEX(Mapping!$C$2:$C$99,MATCH(U$1&amp;"|"&amp;Customers!U389,Mapping!$D$2:$D$99,0))</f>
        <v>1</v>
      </c>
      <c r="V389" s="8" t="n">
        <f aca="false">INDEX(Mapping!$C$2:$C$99,MATCH(V$1&amp;"|"&amp;Customers!V389,Mapping!$D$2:$D$99,0))</f>
        <v>1</v>
      </c>
      <c r="W389" s="17" t="n">
        <f aca="false">SUMPRODUCT($C389:$V389,Weights!$C$27:$V$27)</f>
        <v>1.535</v>
      </c>
      <c r="X389" s="18" t="n">
        <f aca="false">ROUND($W389,2)</f>
        <v>1.54</v>
      </c>
      <c r="Y389" s="8" t="str">
        <f aca="false">IF($X389&lt;=2,"Low",IF($X389&lt;=3.49,"Medium","High"))</f>
        <v>Low</v>
      </c>
      <c r="Z389" s="8" t="str">
        <f aca="false">IF(OR($F389&gt;=3,$E389=5,$D389=5,$C389=5,$G389=5,$H389=5,$I389=5,$J389=5,Customers!$W389="Yes"),"Yes","No")</f>
        <v>No</v>
      </c>
      <c r="AA389" s="15" t="str">
        <f aca="false">IF($Z389="Yes","High",$Y389)</f>
        <v>Low</v>
      </c>
      <c r="AB389" s="18" t="n">
        <f aca="false">SUMPRODUCT($C389:$G389,Weights!$C$28:$G$28)</f>
        <v>1.7</v>
      </c>
      <c r="AC389" s="18" t="n">
        <f aca="false">SUMPRODUCT($H389:$J389,Weights!$H$28:$J$28)</f>
        <v>1</v>
      </c>
      <c r="AD389" s="18" t="n">
        <f aca="false">SUMPRODUCT($K389:$N389,Weights!$K$28:$N$28)</f>
        <v>1.95</v>
      </c>
      <c r="AE389" s="18" t="n">
        <f aca="false">SUMPRODUCT($O389:$Q389,Weights!$O$28:$Q$28)</f>
        <v>1.9</v>
      </c>
      <c r="AF389" s="18" t="n">
        <f aca="false">SUMPRODUCT($R389:$V389,Weights!$R$28:$V$28)</f>
        <v>1.3</v>
      </c>
      <c r="AH389" s="18" t="n">
        <f aca="false">SUMPRODUCT($AB389:$AF389,Validation!$D$7:$H$7)</f>
        <v>1.51142857142855</v>
      </c>
      <c r="AI389" s="18" t="n">
        <f aca="false">SUMPRODUCT($AB389:$AF389,Validation!$D$8:$H$8)</f>
        <v>1.55857142857145</v>
      </c>
      <c r="AJ389" s="18" t="n">
        <f aca="false">SUMPRODUCT($AB389:$AF389,Validation!$D$9:$H$9)</f>
        <v>1.60633333333335</v>
      </c>
      <c r="AK389" s="18" t="n">
        <f aca="false">SUMPRODUCT($AB389:$AF389,Validation!$D$10:$H$10)</f>
        <v>1.46366666666665</v>
      </c>
      <c r="AL389" s="18" t="n">
        <f aca="false">SUMPRODUCT($AB389:$AF389,Validation!$D$11:$H$11)</f>
        <v>1.483125</v>
      </c>
      <c r="AM389" s="18" t="n">
        <f aca="false">SUMPRODUCT($AB389:$AF389,Validation!$D$12:$H$12)</f>
        <v>1.586875</v>
      </c>
      <c r="AN389" s="18" t="n">
        <f aca="false">SUMPRODUCT($AB389:$AF389,Validation!$D$13:$H$13)</f>
        <v>1.4944444444441</v>
      </c>
      <c r="AO389" s="18" t="n">
        <f aca="false">SUMPRODUCT($AB389:$AF389,Validation!$D$14:$H$14)</f>
        <v>1.5755555555559</v>
      </c>
      <c r="AP389" s="18" t="n">
        <f aca="false">SUMPRODUCT($AB389:$AF389,Validation!$D$15:$H$15)</f>
        <v>1.56264705882345</v>
      </c>
      <c r="AQ389" s="18" t="n">
        <f aca="false">SUMPRODUCT($AB389:$AF389,Validation!$D$16:$H$16)</f>
        <v>1.50735294117655</v>
      </c>
      <c r="AR389" s="8" t="n">
        <f aca="false">COUNTIF($C389:$V389,"&gt;=4")</f>
        <v>0</v>
      </c>
      <c r="AS389" s="8" t="str">
        <f aca="false">IF($X389&lt;=1.6,"Low",IF($X389&lt;=2.2,"Medium","High"))</f>
        <v>Low</v>
      </c>
      <c r="AT389" s="8" t="str">
        <f aca="false">IF($AR389=0,"Low",IF($AR389&lt;3,"Medium","High"))</f>
        <v>Low</v>
      </c>
      <c r="AU389" s="8" t="str">
        <f aca="false">IF(OR($AS389="High",$AT389="High"),"High",IF(OR($AS389="Medium",$AT389="Medium"),"Medium","Low"))</f>
        <v>Low</v>
      </c>
      <c r="AV389" s="15" t="str">
        <f aca="false">IF($Z389="Yes","High",$AU389)</f>
        <v>Low</v>
      </c>
    </row>
    <row r="390" customFormat="false" ht="15" hidden="false" customHeight="false" outlineLevel="0" collapsed="false">
      <c r="A390" s="7" t="str">
        <f aca="false">Customers!$A390</f>
        <v>NG-10385</v>
      </c>
      <c r="B390" s="7" t="str">
        <f aca="false">Customers!$B390</f>
        <v>Limited company</v>
      </c>
      <c r="C390" s="8" t="n">
        <f aca="false">INDEX(Mapping!$C$2:$C$99,MATCH(C$1&amp;"|"&amp;Customers!C390,Mapping!$D$2:$D$99,0))</f>
        <v>3</v>
      </c>
      <c r="D390" s="8" t="n">
        <f aca="false">INDEX(Mapping!$C$2:$C$99,MATCH(D$1&amp;"|"&amp;Customers!D390,Mapping!$D$2:$D$99,0))</f>
        <v>4</v>
      </c>
      <c r="E390" s="8" t="n">
        <f aca="false">INDEX(Mapping!$C$2:$C$99,MATCH(E$1&amp;"|"&amp;Customers!E390,Mapping!$D$2:$D$99,0))</f>
        <v>4</v>
      </c>
      <c r="F390" s="8" t="n">
        <f aca="false">INDEX(Mapping!$C$2:$C$99,MATCH(F$1&amp;"|"&amp;Customers!F390,Mapping!$D$2:$D$99,0))</f>
        <v>1</v>
      </c>
      <c r="G390" s="8" t="n">
        <f aca="false">INDEX(Mapping!$C$2:$C$99,MATCH(G$1&amp;"|"&amp;Customers!G390,Mapping!$D$2:$D$99,0))</f>
        <v>1</v>
      </c>
      <c r="H390" s="8" t="n">
        <f aca="false">INDEX(Mapping!$C$2:$C$99,MATCH(H$1&amp;"|"&amp;Customers!H390,Mapping!$D$2:$D$99,0))</f>
        <v>1</v>
      </c>
      <c r="I390" s="8" t="n">
        <f aca="false">INDEX(Mapping!$C$2:$C$99,MATCH(I$1&amp;"|"&amp;Customers!I390,Mapping!$D$2:$D$99,0))</f>
        <v>1</v>
      </c>
      <c r="J390" s="8" t="n">
        <f aca="false">INDEX(Mapping!$C$2:$C$99,MATCH(J$1&amp;"|"&amp;Customers!J390,Mapping!$D$2:$D$99,0))</f>
        <v>1</v>
      </c>
      <c r="K390" s="8" t="n">
        <f aca="false">INDEX(Mapping!$C$2:$C$99,MATCH(K$1&amp;"|"&amp;Customers!K390,Mapping!$D$2:$D$99,0))</f>
        <v>5</v>
      </c>
      <c r="L390" s="8" t="n">
        <f aca="false">INDEX(Mapping!$C$2:$C$99,MATCH(L$1&amp;"|"&amp;Customers!L390,Mapping!$D$2:$D$99,0))</f>
        <v>1</v>
      </c>
      <c r="M390" s="8" t="n">
        <f aca="false">INDEX(Mapping!$C$2:$C$99,MATCH(M$1&amp;"|"&amp;Customers!M390,Mapping!$D$2:$D$99,0))</f>
        <v>3</v>
      </c>
      <c r="N390" s="8" t="n">
        <f aca="false">INDEX(Mapping!$C$2:$C$99,MATCH(N$1&amp;"|"&amp;Customers!N390,Mapping!$D$2:$D$99,0))</f>
        <v>4</v>
      </c>
      <c r="O390" s="8" t="n">
        <f aca="false">INDEX(Mapping!$C$2:$C$99,MATCH(O$1&amp;"|"&amp;Customers!O390,Mapping!$D$2:$D$99,0))</f>
        <v>1</v>
      </c>
      <c r="P390" s="8" t="n">
        <f aca="false">INDEX(Mapping!$C$2:$C$99,MATCH(P$1&amp;"|"&amp;Customers!P390,Mapping!$D$2:$D$99,0))</f>
        <v>3</v>
      </c>
      <c r="Q390" s="8" t="n">
        <f aca="false">INDEX(Mapping!$C$2:$C$99,MATCH(Q$1&amp;"|"&amp;Customers!Q390,Mapping!$D$2:$D$99,0))</f>
        <v>4</v>
      </c>
      <c r="R390" s="8" t="n">
        <f aca="false">INDEX(Mapping!$C$2:$C$99,MATCH(R$1&amp;"|"&amp;Customers!R390,Mapping!$D$2:$D$99,0))</f>
        <v>3</v>
      </c>
      <c r="S390" s="8" t="n">
        <f aca="false">INDEX(Mapping!$C$2:$C$99,MATCH(S$1&amp;"|"&amp;Customers!S390,Mapping!$D$2:$D$99,0))</f>
        <v>2</v>
      </c>
      <c r="T390" s="8" t="n">
        <f aca="false">INDEX(Mapping!$C$2:$C$99,MATCH(T$1&amp;"|"&amp;Customers!T390,Mapping!$D$2:$D$99,0))</f>
        <v>3</v>
      </c>
      <c r="U390" s="8" t="n">
        <f aca="false">INDEX(Mapping!$C$2:$C$99,MATCH(U$1&amp;"|"&amp;Customers!U390,Mapping!$D$2:$D$99,0))</f>
        <v>2</v>
      </c>
      <c r="V390" s="8" t="n">
        <f aca="false">INDEX(Mapping!$C$2:$C$99,MATCH(V$1&amp;"|"&amp;Customers!V390,Mapping!$D$2:$D$99,0))</f>
        <v>1</v>
      </c>
      <c r="W390" s="17" t="n">
        <f aca="false">SUMPRODUCT($C390:$V390,Weights!$C$27:$V$27)</f>
        <v>2.3275</v>
      </c>
      <c r="X390" s="18" t="n">
        <f aca="false">ROUND($W390,2)</f>
        <v>2.33</v>
      </c>
      <c r="Y390" s="8" t="str">
        <f aca="false">IF($X390&lt;=2,"Low",IF($X390&lt;=3.49,"Medium","High"))</f>
        <v>Medium</v>
      </c>
      <c r="Z390" s="8" t="str">
        <f aca="false">IF(OR($F390&gt;=3,$E390=5,$D390=5,$C390=5,$G390=5,$H390=5,$I390=5,$J390=5,Customers!$W390="Yes"),"Yes","No")</f>
        <v>No</v>
      </c>
      <c r="AA390" s="15" t="str">
        <f aca="false">IF($Z390="Yes","High",$Y390)</f>
        <v>Medium</v>
      </c>
      <c r="AB390" s="18" t="n">
        <f aca="false">SUMPRODUCT($C390:$G390,Weights!$C$28:$G$28)</f>
        <v>2.75</v>
      </c>
      <c r="AC390" s="18" t="n">
        <f aca="false">SUMPRODUCT($H390:$J390,Weights!$H$28:$J$28)</f>
        <v>1</v>
      </c>
      <c r="AD390" s="18" t="n">
        <f aca="false">SUMPRODUCT($K390:$N390,Weights!$K$28:$N$28)</f>
        <v>3.35</v>
      </c>
      <c r="AE390" s="18" t="n">
        <f aca="false">SUMPRODUCT($O390:$Q390,Weights!$O$28:$Q$28)</f>
        <v>2.3</v>
      </c>
      <c r="AF390" s="18" t="n">
        <f aca="false">SUMPRODUCT($R390:$V390,Weights!$R$28:$V$28)</f>
        <v>2.35</v>
      </c>
      <c r="AH390" s="18" t="n">
        <f aca="false">SUMPRODUCT($AB390:$AF390,Validation!$D$7:$H$7)</f>
        <v>2.2671428571428</v>
      </c>
      <c r="AI390" s="18" t="n">
        <f aca="false">SUMPRODUCT($AB390:$AF390,Validation!$D$8:$H$8)</f>
        <v>2.3878571428572</v>
      </c>
      <c r="AJ390" s="18" t="n">
        <f aca="false">SUMPRODUCT($AB390:$AF390,Validation!$D$9:$H$9)</f>
        <v>2.50450000000035</v>
      </c>
      <c r="AK390" s="18" t="n">
        <f aca="false">SUMPRODUCT($AB390:$AF390,Validation!$D$10:$H$10)</f>
        <v>2.15049999999965</v>
      </c>
      <c r="AL390" s="18" t="n">
        <f aca="false">SUMPRODUCT($AB390:$AF390,Validation!$D$11:$H$11)</f>
        <v>2.1996875</v>
      </c>
      <c r="AM390" s="18" t="n">
        <f aca="false">SUMPRODUCT($AB390:$AF390,Validation!$D$12:$H$12)</f>
        <v>2.4553125</v>
      </c>
      <c r="AN390" s="18" t="n">
        <f aca="false">SUMPRODUCT($AB390:$AF390,Validation!$D$13:$H$13)</f>
        <v>2.3305555555549</v>
      </c>
      <c r="AO390" s="18" t="n">
        <f aca="false">SUMPRODUCT($AB390:$AF390,Validation!$D$14:$H$14)</f>
        <v>2.3244444444451</v>
      </c>
      <c r="AP390" s="18" t="n">
        <f aca="false">SUMPRODUCT($AB390:$AF390,Validation!$D$15:$H$15)</f>
        <v>2.3248529411766</v>
      </c>
      <c r="AQ390" s="18" t="n">
        <f aca="false">SUMPRODUCT($AB390:$AF390,Validation!$D$16:$H$16)</f>
        <v>2.3301470588234</v>
      </c>
      <c r="AR390" s="8" t="n">
        <f aca="false">COUNTIF($C390:$V390,"&gt;=4")</f>
        <v>5</v>
      </c>
      <c r="AS390" s="8" t="str">
        <f aca="false">IF($X390&lt;=1.6,"Low",IF($X390&lt;=2.2,"Medium","High"))</f>
        <v>High</v>
      </c>
      <c r="AT390" s="8" t="str">
        <f aca="false">IF($AR390=0,"Low",IF($AR390&lt;3,"Medium","High"))</f>
        <v>High</v>
      </c>
      <c r="AU390" s="8" t="str">
        <f aca="false">IF(OR($AS390="High",$AT390="High"),"High",IF(OR($AS390="Medium",$AT390="Medium"),"Medium","Low"))</f>
        <v>High</v>
      </c>
      <c r="AV390" s="15" t="str">
        <f aca="false">IF($Z390="Yes","High",$AU390)</f>
        <v>High</v>
      </c>
    </row>
    <row r="391" customFormat="false" ht="15" hidden="false" customHeight="false" outlineLevel="0" collapsed="false">
      <c r="A391" s="7" t="str">
        <f aca="false">Customers!$A391</f>
        <v>NG-10135</v>
      </c>
      <c r="B391" s="7" t="str">
        <f aca="false">Customers!$B391</f>
        <v>Personal</v>
      </c>
      <c r="C391" s="8" t="n">
        <f aca="false">INDEX(Mapping!$C$2:$C$99,MATCH(C$1&amp;"|"&amp;Customers!C391,Mapping!$D$2:$D$99,0))</f>
        <v>1</v>
      </c>
      <c r="D391" s="8" t="n">
        <f aca="false">INDEX(Mapping!$C$2:$C$99,MATCH(D$1&amp;"|"&amp;Customers!D391,Mapping!$D$2:$D$99,0))</f>
        <v>1</v>
      </c>
      <c r="E391" s="8" t="n">
        <f aca="false">INDEX(Mapping!$C$2:$C$99,MATCH(E$1&amp;"|"&amp;Customers!E391,Mapping!$D$2:$D$99,0))</f>
        <v>1</v>
      </c>
      <c r="F391" s="8" t="n">
        <f aca="false">INDEX(Mapping!$C$2:$C$99,MATCH(F$1&amp;"|"&amp;Customers!F391,Mapping!$D$2:$D$99,0))</f>
        <v>1</v>
      </c>
      <c r="G391" s="8" t="n">
        <f aca="false">INDEX(Mapping!$C$2:$C$99,MATCH(G$1&amp;"|"&amp;Customers!G391,Mapping!$D$2:$D$99,0))</f>
        <v>1</v>
      </c>
      <c r="H391" s="8" t="n">
        <f aca="false">INDEX(Mapping!$C$2:$C$99,MATCH(H$1&amp;"|"&amp;Customers!H391,Mapping!$D$2:$D$99,0))</f>
        <v>1</v>
      </c>
      <c r="I391" s="8" t="n">
        <f aca="false">INDEX(Mapping!$C$2:$C$99,MATCH(I$1&amp;"|"&amp;Customers!I391,Mapping!$D$2:$D$99,0))</f>
        <v>1</v>
      </c>
      <c r="J391" s="8" t="n">
        <f aca="false">INDEX(Mapping!$C$2:$C$99,MATCH(J$1&amp;"|"&amp;Customers!J391,Mapping!$D$2:$D$99,0))</f>
        <v>1</v>
      </c>
      <c r="K391" s="8" t="n">
        <f aca="false">INDEX(Mapping!$C$2:$C$99,MATCH(K$1&amp;"|"&amp;Customers!K391,Mapping!$D$2:$D$99,0))</f>
        <v>3</v>
      </c>
      <c r="L391" s="8" t="n">
        <f aca="false">INDEX(Mapping!$C$2:$C$99,MATCH(L$1&amp;"|"&amp;Customers!L391,Mapping!$D$2:$D$99,0))</f>
        <v>2</v>
      </c>
      <c r="M391" s="8" t="n">
        <f aca="false">INDEX(Mapping!$C$2:$C$99,MATCH(M$1&amp;"|"&amp;Customers!M391,Mapping!$D$2:$D$99,0))</f>
        <v>1</v>
      </c>
      <c r="N391" s="8" t="n">
        <f aca="false">INDEX(Mapping!$C$2:$C$99,MATCH(N$1&amp;"|"&amp;Customers!N391,Mapping!$D$2:$D$99,0))</f>
        <v>2</v>
      </c>
      <c r="O391" s="8" t="n">
        <f aca="false">INDEX(Mapping!$C$2:$C$99,MATCH(O$1&amp;"|"&amp;Customers!O391,Mapping!$D$2:$D$99,0))</f>
        <v>3</v>
      </c>
      <c r="P391" s="8" t="n">
        <f aca="false">INDEX(Mapping!$C$2:$C$99,MATCH(P$1&amp;"|"&amp;Customers!P391,Mapping!$D$2:$D$99,0))</f>
        <v>2</v>
      </c>
      <c r="Q391" s="8" t="n">
        <f aca="false">INDEX(Mapping!$C$2:$C$99,MATCH(Q$1&amp;"|"&amp;Customers!Q391,Mapping!$D$2:$D$99,0))</f>
        <v>1</v>
      </c>
      <c r="R391" s="8" t="n">
        <f aca="false">INDEX(Mapping!$C$2:$C$99,MATCH(R$1&amp;"|"&amp;Customers!R391,Mapping!$D$2:$D$99,0))</f>
        <v>1</v>
      </c>
      <c r="S391" s="8" t="n">
        <f aca="false">INDEX(Mapping!$C$2:$C$99,MATCH(S$1&amp;"|"&amp;Customers!S391,Mapping!$D$2:$D$99,0))</f>
        <v>3</v>
      </c>
      <c r="T391" s="8" t="n">
        <f aca="false">INDEX(Mapping!$C$2:$C$99,MATCH(T$1&amp;"|"&amp;Customers!T391,Mapping!$D$2:$D$99,0))</f>
        <v>1</v>
      </c>
      <c r="U391" s="8" t="n">
        <f aca="false">INDEX(Mapping!$C$2:$C$99,MATCH(U$1&amp;"|"&amp;Customers!U391,Mapping!$D$2:$D$99,0))</f>
        <v>1</v>
      </c>
      <c r="V391" s="8" t="n">
        <f aca="false">INDEX(Mapping!$C$2:$C$99,MATCH(V$1&amp;"|"&amp;Customers!V391,Mapping!$D$2:$D$99,0))</f>
        <v>1</v>
      </c>
      <c r="W391" s="17" t="n">
        <f aca="false">SUMPRODUCT($C391:$V391,Weights!$C$27:$V$27)</f>
        <v>1.435</v>
      </c>
      <c r="X391" s="18" t="n">
        <f aca="false">ROUND($W391,2)</f>
        <v>1.44</v>
      </c>
      <c r="Y391" s="8" t="str">
        <f aca="false">IF($X391&lt;=2,"Low",IF($X391&lt;=3.49,"Medium","High"))</f>
        <v>Low</v>
      </c>
      <c r="Z391" s="8" t="str">
        <f aca="false">IF(OR($F391&gt;=3,$E391=5,$D391=5,$C391=5,$G391=5,$H391=5,$I391=5,$J391=5,Customers!$W391="Yes"),"Yes","No")</f>
        <v>No</v>
      </c>
      <c r="AA391" s="15" t="str">
        <f aca="false">IF($Z391="Yes","High",$Y391)</f>
        <v>Low</v>
      </c>
      <c r="AB391" s="18" t="n">
        <f aca="false">SUMPRODUCT($C391:$G391,Weights!$C$28:$G$28)</f>
        <v>1</v>
      </c>
      <c r="AC391" s="18" t="n">
        <f aca="false">SUMPRODUCT($H391:$J391,Weights!$H$28:$J$28)</f>
        <v>1</v>
      </c>
      <c r="AD391" s="18" t="n">
        <f aca="false">SUMPRODUCT($K391:$N391,Weights!$K$28:$N$28)</f>
        <v>2.1</v>
      </c>
      <c r="AE391" s="18" t="n">
        <f aca="false">SUMPRODUCT($O391:$Q391,Weights!$O$28:$Q$28)</f>
        <v>2.25</v>
      </c>
      <c r="AF391" s="18" t="n">
        <f aca="false">SUMPRODUCT($R391:$V391,Weights!$R$28:$V$28)</f>
        <v>1.6</v>
      </c>
      <c r="AH391" s="18" t="n">
        <f aca="false">SUMPRODUCT($AB391:$AF391,Validation!$D$7:$H$7)</f>
        <v>1.497142857143</v>
      </c>
      <c r="AI391" s="18" t="n">
        <f aca="false">SUMPRODUCT($AB391:$AF391,Validation!$D$8:$H$8)</f>
        <v>1.372857142857</v>
      </c>
      <c r="AJ391" s="18" t="n">
        <f aca="false">SUMPRODUCT($AB391:$AF391,Validation!$D$9:$H$9)</f>
        <v>1.49299999999995</v>
      </c>
      <c r="AK391" s="18" t="n">
        <f aca="false">SUMPRODUCT($AB391:$AF391,Validation!$D$10:$H$10)</f>
        <v>1.37700000000005</v>
      </c>
      <c r="AL391" s="18" t="n">
        <f aca="false">SUMPRODUCT($AB391:$AF391,Validation!$D$11:$H$11)</f>
        <v>1.351875</v>
      </c>
      <c r="AM391" s="18" t="n">
        <f aca="false">SUMPRODUCT($AB391:$AF391,Validation!$D$12:$H$12)</f>
        <v>1.518125</v>
      </c>
      <c r="AN391" s="18" t="n">
        <f aca="false">SUMPRODUCT($AB391:$AF391,Validation!$D$13:$H$13)</f>
        <v>1.3444444444444</v>
      </c>
      <c r="AO391" s="18" t="n">
        <f aca="false">SUMPRODUCT($AB391:$AF391,Validation!$D$14:$H$14)</f>
        <v>1.5255555555556</v>
      </c>
      <c r="AP391" s="18" t="n">
        <f aca="false">SUMPRODUCT($AB391:$AF391,Validation!$D$15:$H$15)</f>
        <v>1.415588235294</v>
      </c>
      <c r="AQ391" s="18" t="n">
        <f aca="false">SUMPRODUCT($AB391:$AF391,Validation!$D$16:$H$16)</f>
        <v>1.454411764706</v>
      </c>
      <c r="AR391" s="8" t="n">
        <f aca="false">COUNTIF($C391:$V391,"&gt;=4")</f>
        <v>0</v>
      </c>
      <c r="AS391" s="8" t="str">
        <f aca="false">IF($X391&lt;=1.6,"Low",IF($X391&lt;=2.2,"Medium","High"))</f>
        <v>Low</v>
      </c>
      <c r="AT391" s="8" t="str">
        <f aca="false">IF($AR391=0,"Low",IF($AR391&lt;3,"Medium","High"))</f>
        <v>Low</v>
      </c>
      <c r="AU391" s="8" t="str">
        <f aca="false">IF(OR($AS391="High",$AT391="High"),"High",IF(OR($AS391="Medium",$AT391="Medium"),"Medium","Low"))</f>
        <v>Low</v>
      </c>
      <c r="AV391" s="15" t="str">
        <f aca="false">IF($Z391="Yes","High",$AU391)</f>
        <v>Low</v>
      </c>
    </row>
    <row r="392" customFormat="false" ht="15" hidden="false" customHeight="false" outlineLevel="0" collapsed="false">
      <c r="A392" s="7" t="str">
        <f aca="false">Customers!$A392</f>
        <v>NG-10177</v>
      </c>
      <c r="B392" s="7" t="str">
        <f aca="false">Customers!$B392</f>
        <v>Personal</v>
      </c>
      <c r="C392" s="8" t="n">
        <f aca="false">INDEX(Mapping!$C$2:$C$99,MATCH(C$1&amp;"|"&amp;Customers!C392,Mapping!$D$2:$D$99,0))</f>
        <v>1</v>
      </c>
      <c r="D392" s="8" t="n">
        <f aca="false">INDEX(Mapping!$C$2:$C$99,MATCH(D$1&amp;"|"&amp;Customers!D392,Mapping!$D$2:$D$99,0))</f>
        <v>1</v>
      </c>
      <c r="E392" s="8" t="n">
        <f aca="false">INDEX(Mapping!$C$2:$C$99,MATCH(E$1&amp;"|"&amp;Customers!E392,Mapping!$D$2:$D$99,0))</f>
        <v>3</v>
      </c>
      <c r="F392" s="8" t="n">
        <f aca="false">INDEX(Mapping!$C$2:$C$99,MATCH(F$1&amp;"|"&amp;Customers!F392,Mapping!$D$2:$D$99,0))</f>
        <v>1</v>
      </c>
      <c r="G392" s="8" t="n">
        <f aca="false">INDEX(Mapping!$C$2:$C$99,MATCH(G$1&amp;"|"&amp;Customers!G392,Mapping!$D$2:$D$99,0))</f>
        <v>1</v>
      </c>
      <c r="H392" s="8" t="n">
        <f aca="false">INDEX(Mapping!$C$2:$C$99,MATCH(H$1&amp;"|"&amp;Customers!H392,Mapping!$D$2:$D$99,0))</f>
        <v>1</v>
      </c>
      <c r="I392" s="8" t="n">
        <f aca="false">INDEX(Mapping!$C$2:$C$99,MATCH(I$1&amp;"|"&amp;Customers!I392,Mapping!$D$2:$D$99,0))</f>
        <v>1</v>
      </c>
      <c r="J392" s="8" t="n">
        <f aca="false">INDEX(Mapping!$C$2:$C$99,MATCH(J$1&amp;"|"&amp;Customers!J392,Mapping!$D$2:$D$99,0))</f>
        <v>1</v>
      </c>
      <c r="K392" s="8" t="n">
        <f aca="false">INDEX(Mapping!$C$2:$C$99,MATCH(K$1&amp;"|"&amp;Customers!K392,Mapping!$D$2:$D$99,0))</f>
        <v>3</v>
      </c>
      <c r="L392" s="8" t="n">
        <f aca="false">INDEX(Mapping!$C$2:$C$99,MATCH(L$1&amp;"|"&amp;Customers!L392,Mapping!$D$2:$D$99,0))</f>
        <v>3</v>
      </c>
      <c r="M392" s="8" t="n">
        <f aca="false">INDEX(Mapping!$C$2:$C$99,MATCH(M$1&amp;"|"&amp;Customers!M392,Mapping!$D$2:$D$99,0))</f>
        <v>2</v>
      </c>
      <c r="N392" s="8" t="n">
        <f aca="false">INDEX(Mapping!$C$2:$C$99,MATCH(N$1&amp;"|"&amp;Customers!N392,Mapping!$D$2:$D$99,0))</f>
        <v>1</v>
      </c>
      <c r="O392" s="8" t="n">
        <f aca="false">INDEX(Mapping!$C$2:$C$99,MATCH(O$1&amp;"|"&amp;Customers!O392,Mapping!$D$2:$D$99,0))</f>
        <v>1</v>
      </c>
      <c r="P392" s="8" t="n">
        <f aca="false">INDEX(Mapping!$C$2:$C$99,MATCH(P$1&amp;"|"&amp;Customers!P392,Mapping!$D$2:$D$99,0))</f>
        <v>3</v>
      </c>
      <c r="Q392" s="8" t="n">
        <f aca="false">INDEX(Mapping!$C$2:$C$99,MATCH(Q$1&amp;"|"&amp;Customers!Q392,Mapping!$D$2:$D$99,0))</f>
        <v>1</v>
      </c>
      <c r="R392" s="8" t="n">
        <f aca="false">INDEX(Mapping!$C$2:$C$99,MATCH(R$1&amp;"|"&amp;Customers!R392,Mapping!$D$2:$D$99,0))</f>
        <v>1</v>
      </c>
      <c r="S392" s="8" t="n">
        <f aca="false">INDEX(Mapping!$C$2:$C$99,MATCH(S$1&amp;"|"&amp;Customers!S392,Mapping!$D$2:$D$99,0))</f>
        <v>2</v>
      </c>
      <c r="T392" s="8" t="n">
        <f aca="false">INDEX(Mapping!$C$2:$C$99,MATCH(T$1&amp;"|"&amp;Customers!T392,Mapping!$D$2:$D$99,0))</f>
        <v>2</v>
      </c>
      <c r="U392" s="8" t="n">
        <f aca="false">INDEX(Mapping!$C$2:$C$99,MATCH(U$1&amp;"|"&amp;Customers!U392,Mapping!$D$2:$D$99,0))</f>
        <v>1</v>
      </c>
      <c r="V392" s="8" t="n">
        <f aca="false">INDEX(Mapping!$C$2:$C$99,MATCH(V$1&amp;"|"&amp;Customers!V392,Mapping!$D$2:$D$99,0))</f>
        <v>1</v>
      </c>
      <c r="W392" s="17" t="n">
        <f aca="false">SUMPRODUCT($C392:$V392,Weights!$C$27:$V$27)</f>
        <v>1.585</v>
      </c>
      <c r="X392" s="18" t="n">
        <f aca="false">ROUND($W392,2)</f>
        <v>1.59</v>
      </c>
      <c r="Y392" s="8" t="str">
        <f aca="false">IF($X392&lt;=2,"Low",IF($X392&lt;=3.49,"Medium","High"))</f>
        <v>Low</v>
      </c>
      <c r="Z392" s="8" t="str">
        <f aca="false">IF(OR($F392&gt;=3,$E392=5,$D392=5,$C392=5,$G392=5,$H392=5,$I392=5,$J392=5,Customers!$W392="Yes"),"Yes","No")</f>
        <v>No</v>
      </c>
      <c r="AA392" s="15" t="str">
        <f aca="false">IF($Z392="Yes","High",$Y392)</f>
        <v>Low</v>
      </c>
      <c r="AB392" s="18" t="n">
        <f aca="false">SUMPRODUCT($C392:$G392,Weights!$C$28:$G$28)</f>
        <v>1.5</v>
      </c>
      <c r="AC392" s="18" t="n">
        <f aca="false">SUMPRODUCT($H392:$J392,Weights!$H$28:$J$28)</f>
        <v>1</v>
      </c>
      <c r="AD392" s="18" t="n">
        <f aca="false">SUMPRODUCT($K392:$N392,Weights!$K$28:$N$28)</f>
        <v>2.45</v>
      </c>
      <c r="AE392" s="18" t="n">
        <f aca="false">SUMPRODUCT($O392:$Q392,Weights!$O$28:$Q$28)</f>
        <v>1.7</v>
      </c>
      <c r="AF392" s="18" t="n">
        <f aca="false">SUMPRODUCT($R392:$V392,Weights!$R$28:$V$28)</f>
        <v>1.5</v>
      </c>
      <c r="AH392" s="18" t="n">
        <f aca="false">SUMPRODUCT($AB392:$AF392,Validation!$D$7:$H$7)</f>
        <v>1.59714285714265</v>
      </c>
      <c r="AI392" s="18" t="n">
        <f aca="false">SUMPRODUCT($AB392:$AF392,Validation!$D$8:$H$8)</f>
        <v>1.57285714285735</v>
      </c>
      <c r="AJ392" s="18" t="n">
        <f aca="false">SUMPRODUCT($AB392:$AF392,Validation!$D$9:$H$9)</f>
        <v>1.66300000000025</v>
      </c>
      <c r="AK392" s="18" t="n">
        <f aca="false">SUMPRODUCT($AB392:$AF392,Validation!$D$10:$H$10)</f>
        <v>1.50699999999975</v>
      </c>
      <c r="AL392" s="18" t="n">
        <f aca="false">SUMPRODUCT($AB392:$AF392,Validation!$D$11:$H$11)</f>
        <v>1.476875</v>
      </c>
      <c r="AM392" s="18" t="n">
        <f aca="false">SUMPRODUCT($AB392:$AF392,Validation!$D$12:$H$12)</f>
        <v>1.693125</v>
      </c>
      <c r="AN392" s="18" t="n">
        <f aca="false">SUMPRODUCT($AB392:$AF392,Validation!$D$13:$H$13)</f>
        <v>1.5722222222219</v>
      </c>
      <c r="AO392" s="18" t="n">
        <f aca="false">SUMPRODUCT($AB392:$AF392,Validation!$D$14:$H$14)</f>
        <v>1.5977777777781</v>
      </c>
      <c r="AP392" s="18" t="n">
        <f aca="false">SUMPRODUCT($AB392:$AF392,Validation!$D$15:$H$15)</f>
        <v>1.59500000000015</v>
      </c>
      <c r="AQ392" s="18" t="n">
        <f aca="false">SUMPRODUCT($AB392:$AF392,Validation!$D$16:$H$16)</f>
        <v>1.57499999999985</v>
      </c>
      <c r="AR392" s="8" t="n">
        <f aca="false">COUNTIF($C392:$V392,"&gt;=4")</f>
        <v>0</v>
      </c>
      <c r="AS392" s="8" t="str">
        <f aca="false">IF($X392&lt;=1.6,"Low",IF($X392&lt;=2.2,"Medium","High"))</f>
        <v>Low</v>
      </c>
      <c r="AT392" s="8" t="str">
        <f aca="false">IF($AR392=0,"Low",IF($AR392&lt;3,"Medium","High"))</f>
        <v>Low</v>
      </c>
      <c r="AU392" s="8" t="str">
        <f aca="false">IF(OR($AS392="High",$AT392="High"),"High",IF(OR($AS392="Medium",$AT392="Medium"),"Medium","Low"))</f>
        <v>Low</v>
      </c>
      <c r="AV392" s="15" t="str">
        <f aca="false">IF($Z392="Yes","High",$AU392)</f>
        <v>Low</v>
      </c>
    </row>
    <row r="393" customFormat="false" ht="15" hidden="false" customHeight="false" outlineLevel="0" collapsed="false">
      <c r="A393" s="7" t="str">
        <f aca="false">Customers!$A393</f>
        <v>NG-10118</v>
      </c>
      <c r="B393" s="7" t="str">
        <f aca="false">Customers!$B393</f>
        <v>Personal</v>
      </c>
      <c r="C393" s="8" t="n">
        <f aca="false">INDEX(Mapping!$C$2:$C$99,MATCH(C$1&amp;"|"&amp;Customers!C393,Mapping!$D$2:$D$99,0))</f>
        <v>1</v>
      </c>
      <c r="D393" s="8" t="n">
        <f aca="false">INDEX(Mapping!$C$2:$C$99,MATCH(D$1&amp;"|"&amp;Customers!D393,Mapping!$D$2:$D$99,0))</f>
        <v>1</v>
      </c>
      <c r="E393" s="8" t="n">
        <f aca="false">INDEX(Mapping!$C$2:$C$99,MATCH(E$1&amp;"|"&amp;Customers!E393,Mapping!$D$2:$D$99,0))</f>
        <v>1</v>
      </c>
      <c r="F393" s="8" t="n">
        <f aca="false">INDEX(Mapping!$C$2:$C$99,MATCH(F$1&amp;"|"&amp;Customers!F393,Mapping!$D$2:$D$99,0))</f>
        <v>1</v>
      </c>
      <c r="G393" s="8" t="n">
        <f aca="false">INDEX(Mapping!$C$2:$C$99,MATCH(G$1&amp;"|"&amp;Customers!G393,Mapping!$D$2:$D$99,0))</f>
        <v>1</v>
      </c>
      <c r="H393" s="8" t="n">
        <f aca="false">INDEX(Mapping!$C$2:$C$99,MATCH(H$1&amp;"|"&amp;Customers!H393,Mapping!$D$2:$D$99,0))</f>
        <v>1</v>
      </c>
      <c r="I393" s="8" t="n">
        <f aca="false">INDEX(Mapping!$C$2:$C$99,MATCH(I$1&amp;"|"&amp;Customers!I393,Mapping!$D$2:$D$99,0))</f>
        <v>1</v>
      </c>
      <c r="J393" s="8" t="n">
        <f aca="false">INDEX(Mapping!$C$2:$C$99,MATCH(J$1&amp;"|"&amp;Customers!J393,Mapping!$D$2:$D$99,0))</f>
        <v>1</v>
      </c>
      <c r="K393" s="8" t="n">
        <f aca="false">INDEX(Mapping!$C$2:$C$99,MATCH(K$1&amp;"|"&amp;Customers!K393,Mapping!$D$2:$D$99,0))</f>
        <v>2</v>
      </c>
      <c r="L393" s="8" t="n">
        <f aca="false">INDEX(Mapping!$C$2:$C$99,MATCH(L$1&amp;"|"&amp;Customers!L393,Mapping!$D$2:$D$99,0))</f>
        <v>2</v>
      </c>
      <c r="M393" s="8" t="n">
        <f aca="false">INDEX(Mapping!$C$2:$C$99,MATCH(M$1&amp;"|"&amp;Customers!M393,Mapping!$D$2:$D$99,0))</f>
        <v>2</v>
      </c>
      <c r="N393" s="8" t="n">
        <f aca="false">INDEX(Mapping!$C$2:$C$99,MATCH(N$1&amp;"|"&amp;Customers!N393,Mapping!$D$2:$D$99,0))</f>
        <v>2</v>
      </c>
      <c r="O393" s="8" t="n">
        <f aca="false">INDEX(Mapping!$C$2:$C$99,MATCH(O$1&amp;"|"&amp;Customers!O393,Mapping!$D$2:$D$99,0))</f>
        <v>2</v>
      </c>
      <c r="P393" s="8" t="n">
        <f aca="false">INDEX(Mapping!$C$2:$C$99,MATCH(P$1&amp;"|"&amp;Customers!P393,Mapping!$D$2:$D$99,0))</f>
        <v>3</v>
      </c>
      <c r="Q393" s="8" t="n">
        <f aca="false">INDEX(Mapping!$C$2:$C$99,MATCH(Q$1&amp;"|"&amp;Customers!Q393,Mapping!$D$2:$D$99,0))</f>
        <v>1</v>
      </c>
      <c r="R393" s="8" t="n">
        <f aca="false">INDEX(Mapping!$C$2:$C$99,MATCH(R$1&amp;"|"&amp;Customers!R393,Mapping!$D$2:$D$99,0))</f>
        <v>1</v>
      </c>
      <c r="S393" s="8" t="n">
        <f aca="false">INDEX(Mapping!$C$2:$C$99,MATCH(S$1&amp;"|"&amp;Customers!S393,Mapping!$D$2:$D$99,0))</f>
        <v>2</v>
      </c>
      <c r="T393" s="8" t="n">
        <f aca="false">INDEX(Mapping!$C$2:$C$99,MATCH(T$1&amp;"|"&amp;Customers!T393,Mapping!$D$2:$D$99,0))</f>
        <v>1</v>
      </c>
      <c r="U393" s="8" t="n">
        <f aca="false">INDEX(Mapping!$C$2:$C$99,MATCH(U$1&amp;"|"&amp;Customers!U393,Mapping!$D$2:$D$99,0))</f>
        <v>1</v>
      </c>
      <c r="V393" s="8" t="n">
        <f aca="false">INDEX(Mapping!$C$2:$C$99,MATCH(V$1&amp;"|"&amp;Customers!V393,Mapping!$D$2:$D$99,0))</f>
        <v>1</v>
      </c>
      <c r="W393" s="17" t="n">
        <f aca="false">SUMPRODUCT($C393:$V393,Weights!$C$27:$V$27)</f>
        <v>1.36</v>
      </c>
      <c r="X393" s="18" t="n">
        <f aca="false">ROUND($W393,2)</f>
        <v>1.36</v>
      </c>
      <c r="Y393" s="8" t="str">
        <f aca="false">IF($X393&lt;=2,"Low",IF($X393&lt;=3.49,"Medium","High"))</f>
        <v>Low</v>
      </c>
      <c r="Z393" s="8" t="str">
        <f aca="false">IF(OR($F393&gt;=3,$E393=5,$D393=5,$C393=5,$G393=5,$H393=5,$I393=5,$J393=5,Customers!$W393="Yes"),"Yes","No")</f>
        <v>No</v>
      </c>
      <c r="AA393" s="15" t="str">
        <f aca="false">IF($Z393="Yes","High",$Y393)</f>
        <v>Low</v>
      </c>
      <c r="AB393" s="18" t="n">
        <f aca="false">SUMPRODUCT($C393:$G393,Weights!$C$28:$G$28)</f>
        <v>1</v>
      </c>
      <c r="AC393" s="18" t="n">
        <f aca="false">SUMPRODUCT($H393:$J393,Weights!$H$28:$J$28)</f>
        <v>1</v>
      </c>
      <c r="AD393" s="18" t="n">
        <f aca="false">SUMPRODUCT($K393:$N393,Weights!$K$28:$N$28)</f>
        <v>2</v>
      </c>
      <c r="AE393" s="18" t="n">
        <f aca="false">SUMPRODUCT($O393:$Q393,Weights!$O$28:$Q$28)</f>
        <v>2.15</v>
      </c>
      <c r="AF393" s="18" t="n">
        <f aca="false">SUMPRODUCT($R393:$V393,Weights!$R$28:$V$28)</f>
        <v>1.3</v>
      </c>
      <c r="AH393" s="18" t="n">
        <f aca="false">SUMPRODUCT($AB393:$AF393,Validation!$D$7:$H$7)</f>
        <v>1.4114285714286</v>
      </c>
      <c r="AI393" s="18" t="n">
        <f aca="false">SUMPRODUCT($AB393:$AF393,Validation!$D$8:$H$8)</f>
        <v>1.3085714285714</v>
      </c>
      <c r="AJ393" s="18" t="n">
        <f aca="false">SUMPRODUCT($AB393:$AF393,Validation!$D$9:$H$9)</f>
        <v>1.40799999999995</v>
      </c>
      <c r="AK393" s="18" t="n">
        <f aca="false">SUMPRODUCT($AB393:$AF393,Validation!$D$10:$H$10)</f>
        <v>1.31200000000005</v>
      </c>
      <c r="AL393" s="18" t="n">
        <f aca="false">SUMPRODUCT($AB393:$AF393,Validation!$D$11:$H$11)</f>
        <v>1.28</v>
      </c>
      <c r="AM393" s="18" t="n">
        <f aca="false">SUMPRODUCT($AB393:$AF393,Validation!$D$12:$H$12)</f>
        <v>1.44</v>
      </c>
      <c r="AN393" s="18" t="n">
        <f aca="false">SUMPRODUCT($AB393:$AF393,Validation!$D$13:$H$13)</f>
        <v>1.2722222222221</v>
      </c>
      <c r="AO393" s="18" t="n">
        <f aca="false">SUMPRODUCT($AB393:$AF393,Validation!$D$14:$H$14)</f>
        <v>1.4477777777779</v>
      </c>
      <c r="AP393" s="18" t="n">
        <f aca="false">SUMPRODUCT($AB393:$AF393,Validation!$D$15:$H$15)</f>
        <v>1.3670588235293</v>
      </c>
      <c r="AQ393" s="18" t="n">
        <f aca="false">SUMPRODUCT($AB393:$AF393,Validation!$D$16:$H$16)</f>
        <v>1.3529411764707</v>
      </c>
      <c r="AR393" s="8" t="n">
        <f aca="false">COUNTIF($C393:$V393,"&gt;=4")</f>
        <v>0</v>
      </c>
      <c r="AS393" s="8" t="str">
        <f aca="false">IF($X393&lt;=1.6,"Low",IF($X393&lt;=2.2,"Medium","High"))</f>
        <v>Low</v>
      </c>
      <c r="AT393" s="8" t="str">
        <f aca="false">IF($AR393=0,"Low",IF($AR393&lt;3,"Medium","High"))</f>
        <v>Low</v>
      </c>
      <c r="AU393" s="8" t="str">
        <f aca="false">IF(OR($AS393="High",$AT393="High"),"High",IF(OR($AS393="Medium",$AT393="Medium"),"Medium","Low"))</f>
        <v>Low</v>
      </c>
      <c r="AV393" s="15" t="str">
        <f aca="false">IF($Z393="Yes","High",$AU393)</f>
        <v>Low</v>
      </c>
    </row>
    <row r="394" customFormat="false" ht="15" hidden="false" customHeight="false" outlineLevel="0" collapsed="false">
      <c r="A394" s="7" t="str">
        <f aca="false">Customers!$A394</f>
        <v>NG-10151</v>
      </c>
      <c r="B394" s="7" t="str">
        <f aca="false">Customers!$B394</f>
        <v>Personal</v>
      </c>
      <c r="C394" s="8" t="n">
        <f aca="false">INDEX(Mapping!$C$2:$C$99,MATCH(C$1&amp;"|"&amp;Customers!C394,Mapping!$D$2:$D$99,0))</f>
        <v>1</v>
      </c>
      <c r="D394" s="8" t="n">
        <f aca="false">INDEX(Mapping!$C$2:$C$99,MATCH(D$1&amp;"|"&amp;Customers!D394,Mapping!$D$2:$D$99,0))</f>
        <v>1</v>
      </c>
      <c r="E394" s="8" t="n">
        <f aca="false">INDEX(Mapping!$C$2:$C$99,MATCH(E$1&amp;"|"&amp;Customers!E394,Mapping!$D$2:$D$99,0))</f>
        <v>1</v>
      </c>
      <c r="F394" s="8" t="n">
        <f aca="false">INDEX(Mapping!$C$2:$C$99,MATCH(F$1&amp;"|"&amp;Customers!F394,Mapping!$D$2:$D$99,0))</f>
        <v>3</v>
      </c>
      <c r="G394" s="8" t="n">
        <f aca="false">INDEX(Mapping!$C$2:$C$99,MATCH(G$1&amp;"|"&amp;Customers!G394,Mapping!$D$2:$D$99,0))</f>
        <v>1</v>
      </c>
      <c r="H394" s="8" t="n">
        <f aca="false">INDEX(Mapping!$C$2:$C$99,MATCH(H$1&amp;"|"&amp;Customers!H394,Mapping!$D$2:$D$99,0))</f>
        <v>1</v>
      </c>
      <c r="I394" s="8" t="n">
        <f aca="false">INDEX(Mapping!$C$2:$C$99,MATCH(I$1&amp;"|"&amp;Customers!I394,Mapping!$D$2:$D$99,0))</f>
        <v>1</v>
      </c>
      <c r="J394" s="8" t="n">
        <f aca="false">INDEX(Mapping!$C$2:$C$99,MATCH(J$1&amp;"|"&amp;Customers!J394,Mapping!$D$2:$D$99,0))</f>
        <v>1</v>
      </c>
      <c r="K394" s="8" t="n">
        <f aca="false">INDEX(Mapping!$C$2:$C$99,MATCH(K$1&amp;"|"&amp;Customers!K394,Mapping!$D$2:$D$99,0))</f>
        <v>1</v>
      </c>
      <c r="L394" s="8" t="n">
        <f aca="false">INDEX(Mapping!$C$2:$C$99,MATCH(L$1&amp;"|"&amp;Customers!L394,Mapping!$D$2:$D$99,0))</f>
        <v>3</v>
      </c>
      <c r="M394" s="8" t="n">
        <f aca="false">INDEX(Mapping!$C$2:$C$99,MATCH(M$1&amp;"|"&amp;Customers!M394,Mapping!$D$2:$D$99,0))</f>
        <v>2</v>
      </c>
      <c r="N394" s="8" t="n">
        <f aca="false">INDEX(Mapping!$C$2:$C$99,MATCH(N$1&amp;"|"&amp;Customers!N394,Mapping!$D$2:$D$99,0))</f>
        <v>1</v>
      </c>
      <c r="O394" s="8" t="n">
        <f aca="false">INDEX(Mapping!$C$2:$C$99,MATCH(O$1&amp;"|"&amp;Customers!O394,Mapping!$D$2:$D$99,0))</f>
        <v>3</v>
      </c>
      <c r="P394" s="8" t="n">
        <f aca="false">INDEX(Mapping!$C$2:$C$99,MATCH(P$1&amp;"|"&amp;Customers!P394,Mapping!$D$2:$D$99,0))</f>
        <v>3</v>
      </c>
      <c r="Q394" s="8" t="n">
        <f aca="false">INDEX(Mapping!$C$2:$C$99,MATCH(Q$1&amp;"|"&amp;Customers!Q394,Mapping!$D$2:$D$99,0))</f>
        <v>1</v>
      </c>
      <c r="R394" s="8" t="n">
        <f aca="false">INDEX(Mapping!$C$2:$C$99,MATCH(R$1&amp;"|"&amp;Customers!R394,Mapping!$D$2:$D$99,0))</f>
        <v>1</v>
      </c>
      <c r="S394" s="8" t="n">
        <f aca="false">INDEX(Mapping!$C$2:$C$99,MATCH(S$1&amp;"|"&amp;Customers!S394,Mapping!$D$2:$D$99,0))</f>
        <v>2</v>
      </c>
      <c r="T394" s="8" t="n">
        <f aca="false">INDEX(Mapping!$C$2:$C$99,MATCH(T$1&amp;"|"&amp;Customers!T394,Mapping!$D$2:$D$99,0))</f>
        <v>2</v>
      </c>
      <c r="U394" s="8" t="n">
        <f aca="false">INDEX(Mapping!$C$2:$C$99,MATCH(U$1&amp;"|"&amp;Customers!U394,Mapping!$D$2:$D$99,0))</f>
        <v>1</v>
      </c>
      <c r="V394" s="8" t="n">
        <f aca="false">INDEX(Mapping!$C$2:$C$99,MATCH(V$1&amp;"|"&amp;Customers!V394,Mapping!$D$2:$D$99,0))</f>
        <v>2</v>
      </c>
      <c r="W394" s="17" t="n">
        <f aca="false">SUMPRODUCT($C394:$V394,Weights!$C$27:$V$27)</f>
        <v>1.52</v>
      </c>
      <c r="X394" s="18" t="n">
        <f aca="false">ROUND($W394,2)</f>
        <v>1.52</v>
      </c>
      <c r="Y394" s="8" t="str">
        <f aca="false">IF($X394&lt;=2,"Low",IF($X394&lt;=3.49,"Medium","High"))</f>
        <v>Low</v>
      </c>
      <c r="Z394" s="8" t="str">
        <f aca="false">IF(OR($F394&gt;=3,$E394=5,$D394=5,$C394=5,$G394=5,$H394=5,$I394=5,$J394=5,Customers!$W394="Yes"),"Yes","No")</f>
        <v>Yes</v>
      </c>
      <c r="AA394" s="15" t="str">
        <f aca="false">IF($Z394="Yes","High",$Y394)</f>
        <v>High</v>
      </c>
      <c r="AB394" s="18" t="n">
        <f aca="false">SUMPRODUCT($C394:$G394,Weights!$C$28:$G$28)</f>
        <v>1.4</v>
      </c>
      <c r="AC394" s="18" t="n">
        <f aca="false">SUMPRODUCT($H394:$J394,Weights!$H$28:$J$28)</f>
        <v>1</v>
      </c>
      <c r="AD394" s="18" t="n">
        <f aca="false">SUMPRODUCT($K394:$N394,Weights!$K$28:$N$28)</f>
        <v>1.75</v>
      </c>
      <c r="AE394" s="18" t="n">
        <f aca="false">SUMPRODUCT($O394:$Q394,Weights!$O$28:$Q$28)</f>
        <v>2.6</v>
      </c>
      <c r="AF394" s="18" t="n">
        <f aca="false">SUMPRODUCT($R394:$V394,Weights!$R$28:$V$28)</f>
        <v>1.6</v>
      </c>
      <c r="AH394" s="18" t="n">
        <f aca="false">SUMPRODUCT($AB394:$AF394,Validation!$D$7:$H$7)</f>
        <v>1.53714285714325</v>
      </c>
      <c r="AI394" s="18" t="n">
        <f aca="false">SUMPRODUCT($AB394:$AF394,Validation!$D$8:$H$8)</f>
        <v>1.50285714285675</v>
      </c>
      <c r="AJ394" s="18" t="n">
        <f aca="false">SUMPRODUCT($AB394:$AF394,Validation!$D$9:$H$9)</f>
        <v>1.58933333333305</v>
      </c>
      <c r="AK394" s="18" t="n">
        <f aca="false">SUMPRODUCT($AB394:$AF394,Validation!$D$10:$H$10)</f>
        <v>1.45066666666695</v>
      </c>
      <c r="AL394" s="18" t="n">
        <f aca="false">SUMPRODUCT($AB394:$AF394,Validation!$D$11:$H$11)</f>
        <v>1.49125</v>
      </c>
      <c r="AM394" s="18" t="n">
        <f aca="false">SUMPRODUCT($AB394:$AF394,Validation!$D$12:$H$12)</f>
        <v>1.54875</v>
      </c>
      <c r="AN394" s="18" t="n">
        <f aca="false">SUMPRODUCT($AB394:$AF394,Validation!$D$13:$H$13)</f>
        <v>1.3999999999999</v>
      </c>
      <c r="AO394" s="18" t="n">
        <f aca="false">SUMPRODUCT($AB394:$AF394,Validation!$D$14:$H$14)</f>
        <v>1.6400000000001</v>
      </c>
      <c r="AP394" s="18" t="n">
        <f aca="false">SUMPRODUCT($AB394:$AF394,Validation!$D$15:$H$15)</f>
        <v>1.51058823529375</v>
      </c>
      <c r="AQ394" s="18" t="n">
        <f aca="false">SUMPRODUCT($AB394:$AF394,Validation!$D$16:$H$16)</f>
        <v>1.52941176470625</v>
      </c>
      <c r="AR394" s="8" t="n">
        <f aca="false">COUNTIF($C394:$V394,"&gt;=4")</f>
        <v>0</v>
      </c>
      <c r="AS394" s="8" t="str">
        <f aca="false">IF($X394&lt;=1.6,"Low",IF($X394&lt;=2.2,"Medium","High"))</f>
        <v>Low</v>
      </c>
      <c r="AT394" s="8" t="str">
        <f aca="false">IF($AR394=0,"Low",IF($AR394&lt;3,"Medium","High"))</f>
        <v>Low</v>
      </c>
      <c r="AU394" s="8" t="str">
        <f aca="false">IF(OR($AS394="High",$AT394="High"),"High",IF(OR($AS394="Medium",$AT394="Medium"),"Medium","Low"))</f>
        <v>Low</v>
      </c>
      <c r="AV394" s="15" t="str">
        <f aca="false">IF($Z394="Yes","High",$AU394)</f>
        <v>High</v>
      </c>
    </row>
    <row r="395" customFormat="false" ht="15" hidden="false" customHeight="false" outlineLevel="0" collapsed="false">
      <c r="A395" s="7" t="str">
        <f aca="false">Customers!$A395</f>
        <v>NG-10211</v>
      </c>
      <c r="B395" s="7" t="str">
        <f aca="false">Customers!$B395</f>
        <v>Personal</v>
      </c>
      <c r="C395" s="8" t="n">
        <f aca="false">INDEX(Mapping!$C$2:$C$99,MATCH(C$1&amp;"|"&amp;Customers!C395,Mapping!$D$2:$D$99,0))</f>
        <v>1</v>
      </c>
      <c r="D395" s="8" t="n">
        <f aca="false">INDEX(Mapping!$C$2:$C$99,MATCH(D$1&amp;"|"&amp;Customers!D395,Mapping!$D$2:$D$99,0))</f>
        <v>1</v>
      </c>
      <c r="E395" s="8" t="n">
        <f aca="false">INDEX(Mapping!$C$2:$C$99,MATCH(E$1&amp;"|"&amp;Customers!E395,Mapping!$D$2:$D$99,0))</f>
        <v>1</v>
      </c>
      <c r="F395" s="8" t="n">
        <f aca="false">INDEX(Mapping!$C$2:$C$99,MATCH(F$1&amp;"|"&amp;Customers!F395,Mapping!$D$2:$D$99,0))</f>
        <v>1</v>
      </c>
      <c r="G395" s="8" t="n">
        <f aca="false">INDEX(Mapping!$C$2:$C$99,MATCH(G$1&amp;"|"&amp;Customers!G395,Mapping!$D$2:$D$99,0))</f>
        <v>1</v>
      </c>
      <c r="H395" s="8" t="n">
        <f aca="false">INDEX(Mapping!$C$2:$C$99,MATCH(H$1&amp;"|"&amp;Customers!H395,Mapping!$D$2:$D$99,0))</f>
        <v>1</v>
      </c>
      <c r="I395" s="8" t="n">
        <f aca="false">INDEX(Mapping!$C$2:$C$99,MATCH(I$1&amp;"|"&amp;Customers!I395,Mapping!$D$2:$D$99,0))</f>
        <v>1</v>
      </c>
      <c r="J395" s="8" t="n">
        <f aca="false">INDEX(Mapping!$C$2:$C$99,MATCH(J$1&amp;"|"&amp;Customers!J395,Mapping!$D$2:$D$99,0))</f>
        <v>1</v>
      </c>
      <c r="K395" s="8" t="n">
        <f aca="false">INDEX(Mapping!$C$2:$C$99,MATCH(K$1&amp;"|"&amp;Customers!K395,Mapping!$D$2:$D$99,0))</f>
        <v>3</v>
      </c>
      <c r="L395" s="8" t="n">
        <f aca="false">INDEX(Mapping!$C$2:$C$99,MATCH(L$1&amp;"|"&amp;Customers!L395,Mapping!$D$2:$D$99,0))</f>
        <v>3</v>
      </c>
      <c r="M395" s="8" t="n">
        <f aca="false">INDEX(Mapping!$C$2:$C$99,MATCH(M$1&amp;"|"&amp;Customers!M395,Mapping!$D$2:$D$99,0))</f>
        <v>2</v>
      </c>
      <c r="N395" s="8" t="n">
        <f aca="false">INDEX(Mapping!$C$2:$C$99,MATCH(N$1&amp;"|"&amp;Customers!N395,Mapping!$D$2:$D$99,0))</f>
        <v>1</v>
      </c>
      <c r="O395" s="8" t="n">
        <f aca="false">INDEX(Mapping!$C$2:$C$99,MATCH(O$1&amp;"|"&amp;Customers!O395,Mapping!$D$2:$D$99,0))</f>
        <v>2</v>
      </c>
      <c r="P395" s="8" t="n">
        <f aca="false">INDEX(Mapping!$C$2:$C$99,MATCH(P$1&amp;"|"&amp;Customers!P395,Mapping!$D$2:$D$99,0))</f>
        <v>1</v>
      </c>
      <c r="Q395" s="8" t="n">
        <f aca="false">INDEX(Mapping!$C$2:$C$99,MATCH(Q$1&amp;"|"&amp;Customers!Q395,Mapping!$D$2:$D$99,0))</f>
        <v>1</v>
      </c>
      <c r="R395" s="8" t="n">
        <f aca="false">INDEX(Mapping!$C$2:$C$99,MATCH(R$1&amp;"|"&amp;Customers!R395,Mapping!$D$2:$D$99,0))</f>
        <v>1</v>
      </c>
      <c r="S395" s="8" t="n">
        <f aca="false">INDEX(Mapping!$C$2:$C$99,MATCH(S$1&amp;"|"&amp;Customers!S395,Mapping!$D$2:$D$99,0))</f>
        <v>1</v>
      </c>
      <c r="T395" s="8" t="n">
        <f aca="false">INDEX(Mapping!$C$2:$C$99,MATCH(T$1&amp;"|"&amp;Customers!T395,Mapping!$D$2:$D$99,0))</f>
        <v>1</v>
      </c>
      <c r="U395" s="8" t="n">
        <f aca="false">INDEX(Mapping!$C$2:$C$99,MATCH(U$1&amp;"|"&amp;Customers!U395,Mapping!$D$2:$D$99,0))</f>
        <v>1</v>
      </c>
      <c r="V395" s="8" t="n">
        <f aca="false">INDEX(Mapping!$C$2:$C$99,MATCH(V$1&amp;"|"&amp;Customers!V395,Mapping!$D$2:$D$99,0))</f>
        <v>1</v>
      </c>
      <c r="W395" s="17" t="n">
        <f aca="false">SUMPRODUCT($C395:$V395,Weights!$C$27:$V$27)</f>
        <v>1.335</v>
      </c>
      <c r="X395" s="18" t="n">
        <f aca="false">ROUND($W395,2)</f>
        <v>1.34</v>
      </c>
      <c r="Y395" s="8" t="str">
        <f aca="false">IF($X395&lt;=2,"Low",IF($X395&lt;=3.49,"Medium","High"))</f>
        <v>Low</v>
      </c>
      <c r="Z395" s="8" t="str">
        <f aca="false">IF(OR($F395&gt;=3,$E395=5,$D395=5,$C395=5,$G395=5,$H395=5,$I395=5,$J395=5,Customers!$W395="Yes"),"Yes","No")</f>
        <v>No</v>
      </c>
      <c r="AA395" s="15" t="str">
        <f aca="false">IF($Z395="Yes","High",$Y395)</f>
        <v>Low</v>
      </c>
      <c r="AB395" s="18" t="n">
        <f aca="false">SUMPRODUCT($C395:$G395,Weights!$C$28:$G$28)</f>
        <v>1</v>
      </c>
      <c r="AC395" s="18" t="n">
        <f aca="false">SUMPRODUCT($H395:$J395,Weights!$H$28:$J$28)</f>
        <v>1</v>
      </c>
      <c r="AD395" s="18" t="n">
        <f aca="false">SUMPRODUCT($K395:$N395,Weights!$K$28:$N$28)</f>
        <v>2.45</v>
      </c>
      <c r="AE395" s="18" t="n">
        <f aca="false">SUMPRODUCT($O395:$Q395,Weights!$O$28:$Q$28)</f>
        <v>1.45</v>
      </c>
      <c r="AF395" s="18" t="n">
        <f aca="false">SUMPRODUCT($R395:$V395,Weights!$R$28:$V$28)</f>
        <v>1</v>
      </c>
      <c r="AH395" s="18" t="n">
        <f aca="false">SUMPRODUCT($AB395:$AF395,Validation!$D$7:$H$7)</f>
        <v>1.38285714285665</v>
      </c>
      <c r="AI395" s="18" t="n">
        <f aca="false">SUMPRODUCT($AB395:$AF395,Validation!$D$8:$H$8)</f>
        <v>1.28714285714335</v>
      </c>
      <c r="AJ395" s="18" t="n">
        <f aca="false">SUMPRODUCT($AB395:$AF395,Validation!$D$9:$H$9)</f>
        <v>1.379666666667</v>
      </c>
      <c r="AK395" s="18" t="n">
        <f aca="false">SUMPRODUCT($AB395:$AF395,Validation!$D$10:$H$10)</f>
        <v>1.290333333333</v>
      </c>
      <c r="AL395" s="18" t="n">
        <f aca="false">SUMPRODUCT($AB395:$AF395,Validation!$D$11:$H$11)</f>
        <v>1.195625</v>
      </c>
      <c r="AM395" s="18" t="n">
        <f aca="false">SUMPRODUCT($AB395:$AF395,Validation!$D$12:$H$12)</f>
        <v>1.474375</v>
      </c>
      <c r="AN395" s="18" t="n">
        <f aca="false">SUMPRODUCT($AB395:$AF395,Validation!$D$13:$H$13)</f>
        <v>1.3222222222219</v>
      </c>
      <c r="AO395" s="18" t="n">
        <f aca="false">SUMPRODUCT($AB395:$AF395,Validation!$D$14:$H$14)</f>
        <v>1.3477777777781</v>
      </c>
      <c r="AP395" s="18" t="n">
        <f aca="false">SUMPRODUCT($AB395:$AF395,Validation!$D$15:$H$15)</f>
        <v>1.37441176470615</v>
      </c>
      <c r="AQ395" s="18" t="n">
        <f aca="false">SUMPRODUCT($AB395:$AF395,Validation!$D$16:$H$16)</f>
        <v>1.29558823529385</v>
      </c>
      <c r="AR395" s="8" t="n">
        <f aca="false">COUNTIF($C395:$V395,"&gt;=4")</f>
        <v>0</v>
      </c>
      <c r="AS395" s="8" t="str">
        <f aca="false">IF($X395&lt;=1.6,"Low",IF($X395&lt;=2.2,"Medium","High"))</f>
        <v>Low</v>
      </c>
      <c r="AT395" s="8" t="str">
        <f aca="false">IF($AR395=0,"Low",IF($AR395&lt;3,"Medium","High"))</f>
        <v>Low</v>
      </c>
      <c r="AU395" s="8" t="str">
        <f aca="false">IF(OR($AS395="High",$AT395="High"),"High",IF(OR($AS395="Medium",$AT395="Medium"),"Medium","Low"))</f>
        <v>Low</v>
      </c>
      <c r="AV395" s="15" t="str">
        <f aca="false">IF($Z395="Yes","High",$AU395)</f>
        <v>Low</v>
      </c>
    </row>
    <row r="396" customFormat="false" ht="15" hidden="false" customHeight="false" outlineLevel="0" collapsed="false">
      <c r="A396" s="7" t="str">
        <f aca="false">Customers!$A396</f>
        <v>NG-10162</v>
      </c>
      <c r="B396" s="7" t="str">
        <f aca="false">Customers!$B396</f>
        <v>Personal</v>
      </c>
      <c r="C396" s="8" t="n">
        <f aca="false">INDEX(Mapping!$C$2:$C$99,MATCH(C$1&amp;"|"&amp;Customers!C396,Mapping!$D$2:$D$99,0))</f>
        <v>1</v>
      </c>
      <c r="D396" s="8" t="n">
        <f aca="false">INDEX(Mapping!$C$2:$C$99,MATCH(D$1&amp;"|"&amp;Customers!D396,Mapping!$D$2:$D$99,0))</f>
        <v>1</v>
      </c>
      <c r="E396" s="8" t="n">
        <f aca="false">INDEX(Mapping!$C$2:$C$99,MATCH(E$1&amp;"|"&amp;Customers!E396,Mapping!$D$2:$D$99,0))</f>
        <v>1</v>
      </c>
      <c r="F396" s="8" t="n">
        <f aca="false">INDEX(Mapping!$C$2:$C$99,MATCH(F$1&amp;"|"&amp;Customers!F396,Mapping!$D$2:$D$99,0))</f>
        <v>1</v>
      </c>
      <c r="G396" s="8" t="n">
        <f aca="false">INDEX(Mapping!$C$2:$C$99,MATCH(G$1&amp;"|"&amp;Customers!G396,Mapping!$D$2:$D$99,0))</f>
        <v>2</v>
      </c>
      <c r="H396" s="8" t="n">
        <f aca="false">INDEX(Mapping!$C$2:$C$99,MATCH(H$1&amp;"|"&amp;Customers!H396,Mapping!$D$2:$D$99,0))</f>
        <v>1</v>
      </c>
      <c r="I396" s="8" t="n">
        <f aca="false">INDEX(Mapping!$C$2:$C$99,MATCH(I$1&amp;"|"&amp;Customers!I396,Mapping!$D$2:$D$99,0))</f>
        <v>1</v>
      </c>
      <c r="J396" s="8" t="n">
        <f aca="false">INDEX(Mapping!$C$2:$C$99,MATCH(J$1&amp;"|"&amp;Customers!J396,Mapping!$D$2:$D$99,0))</f>
        <v>1</v>
      </c>
      <c r="K396" s="8" t="n">
        <f aca="false">INDEX(Mapping!$C$2:$C$99,MATCH(K$1&amp;"|"&amp;Customers!K396,Mapping!$D$2:$D$99,0))</f>
        <v>2</v>
      </c>
      <c r="L396" s="8" t="n">
        <f aca="false">INDEX(Mapping!$C$2:$C$99,MATCH(L$1&amp;"|"&amp;Customers!L396,Mapping!$D$2:$D$99,0))</f>
        <v>3</v>
      </c>
      <c r="M396" s="8" t="n">
        <f aca="false">INDEX(Mapping!$C$2:$C$99,MATCH(M$1&amp;"|"&amp;Customers!M396,Mapping!$D$2:$D$99,0))</f>
        <v>1</v>
      </c>
      <c r="N396" s="8" t="n">
        <f aca="false">INDEX(Mapping!$C$2:$C$99,MATCH(N$1&amp;"|"&amp;Customers!N396,Mapping!$D$2:$D$99,0))</f>
        <v>1</v>
      </c>
      <c r="O396" s="8" t="n">
        <f aca="false">INDEX(Mapping!$C$2:$C$99,MATCH(O$1&amp;"|"&amp;Customers!O396,Mapping!$D$2:$D$99,0))</f>
        <v>1</v>
      </c>
      <c r="P396" s="8" t="n">
        <f aca="false">INDEX(Mapping!$C$2:$C$99,MATCH(P$1&amp;"|"&amp;Customers!P396,Mapping!$D$2:$D$99,0))</f>
        <v>3</v>
      </c>
      <c r="Q396" s="8" t="n">
        <f aca="false">INDEX(Mapping!$C$2:$C$99,MATCH(Q$1&amp;"|"&amp;Customers!Q396,Mapping!$D$2:$D$99,0))</f>
        <v>1</v>
      </c>
      <c r="R396" s="8" t="n">
        <f aca="false">INDEX(Mapping!$C$2:$C$99,MATCH(R$1&amp;"|"&amp;Customers!R396,Mapping!$D$2:$D$99,0))</f>
        <v>2</v>
      </c>
      <c r="S396" s="8" t="n">
        <f aca="false">INDEX(Mapping!$C$2:$C$99,MATCH(S$1&amp;"|"&amp;Customers!S396,Mapping!$D$2:$D$99,0))</f>
        <v>2</v>
      </c>
      <c r="T396" s="8" t="n">
        <f aca="false">INDEX(Mapping!$C$2:$C$99,MATCH(T$1&amp;"|"&amp;Customers!T396,Mapping!$D$2:$D$99,0))</f>
        <v>1</v>
      </c>
      <c r="U396" s="8" t="n">
        <f aca="false">INDEX(Mapping!$C$2:$C$99,MATCH(U$1&amp;"|"&amp;Customers!U396,Mapping!$D$2:$D$99,0))</f>
        <v>1</v>
      </c>
      <c r="V396" s="8" t="n">
        <f aca="false">INDEX(Mapping!$C$2:$C$99,MATCH(V$1&amp;"|"&amp;Customers!V396,Mapping!$D$2:$D$99,0))</f>
        <v>1</v>
      </c>
      <c r="W396" s="17" t="n">
        <f aca="false">SUMPRODUCT($C396:$V396,Weights!$C$27:$V$27)</f>
        <v>1.3675</v>
      </c>
      <c r="X396" s="18" t="n">
        <f aca="false">ROUND($W396,2)</f>
        <v>1.37</v>
      </c>
      <c r="Y396" s="8" t="str">
        <f aca="false">IF($X396&lt;=2,"Low",IF($X396&lt;=3.49,"Medium","High"))</f>
        <v>Low</v>
      </c>
      <c r="Z396" s="8" t="str">
        <f aca="false">IF(OR($F396&gt;=3,$E396=5,$D396=5,$C396=5,$G396=5,$H396=5,$I396=5,$J396=5,Customers!$W396="Yes"),"Yes","No")</f>
        <v>No</v>
      </c>
      <c r="AA396" s="15" t="str">
        <f aca="false">IF($Z396="Yes","High",$Y396)</f>
        <v>Low</v>
      </c>
      <c r="AB396" s="18" t="n">
        <f aca="false">SUMPRODUCT($C396:$G396,Weights!$C$28:$G$28)</f>
        <v>1.15</v>
      </c>
      <c r="AC396" s="18" t="n">
        <f aca="false">SUMPRODUCT($H396:$J396,Weights!$H$28:$J$28)</f>
        <v>1</v>
      </c>
      <c r="AD396" s="18" t="n">
        <f aca="false">SUMPRODUCT($K396:$N396,Weights!$K$28:$N$28)</f>
        <v>1.85</v>
      </c>
      <c r="AE396" s="18" t="n">
        <f aca="false">SUMPRODUCT($O396:$Q396,Weights!$O$28:$Q$28)</f>
        <v>1.7</v>
      </c>
      <c r="AF396" s="18" t="n">
        <f aca="false">SUMPRODUCT($R396:$V396,Weights!$R$28:$V$28)</f>
        <v>1.55</v>
      </c>
      <c r="AH396" s="18" t="n">
        <f aca="false">SUMPRODUCT($AB396:$AF396,Validation!$D$7:$H$7)</f>
        <v>1.3985714285715</v>
      </c>
      <c r="AI396" s="18" t="n">
        <f aca="false">SUMPRODUCT($AB396:$AF396,Validation!$D$8:$H$8)</f>
        <v>1.3364285714285</v>
      </c>
      <c r="AJ396" s="18" t="n">
        <f aca="false">SUMPRODUCT($AB396:$AF396,Validation!$D$9:$H$9)</f>
        <v>1.41650000000005</v>
      </c>
      <c r="AK396" s="18" t="n">
        <f aca="false">SUMPRODUCT($AB396:$AF396,Validation!$D$10:$H$10)</f>
        <v>1.31849999999995</v>
      </c>
      <c r="AL396" s="18" t="n">
        <f aca="false">SUMPRODUCT($AB396:$AF396,Validation!$D$11:$H$11)</f>
        <v>1.3071875</v>
      </c>
      <c r="AM396" s="18" t="n">
        <f aca="false">SUMPRODUCT($AB396:$AF396,Validation!$D$12:$H$12)</f>
        <v>1.4278125</v>
      </c>
      <c r="AN396" s="18" t="n">
        <f aca="false">SUMPRODUCT($AB396:$AF396,Validation!$D$13:$H$13)</f>
        <v>1.3305555555555</v>
      </c>
      <c r="AO396" s="18" t="n">
        <f aca="false">SUMPRODUCT($AB396:$AF396,Validation!$D$14:$H$14)</f>
        <v>1.4044444444445</v>
      </c>
      <c r="AP396" s="18" t="n">
        <f aca="false">SUMPRODUCT($AB396:$AF396,Validation!$D$15:$H$15)</f>
        <v>1.3460294117647</v>
      </c>
      <c r="AQ396" s="18" t="n">
        <f aca="false">SUMPRODUCT($AB396:$AF396,Validation!$D$16:$H$16)</f>
        <v>1.3889705882353</v>
      </c>
      <c r="AR396" s="8" t="n">
        <f aca="false">COUNTIF($C396:$V396,"&gt;=4")</f>
        <v>0</v>
      </c>
      <c r="AS396" s="8" t="str">
        <f aca="false">IF($X396&lt;=1.6,"Low",IF($X396&lt;=2.2,"Medium","High"))</f>
        <v>Low</v>
      </c>
      <c r="AT396" s="8" t="str">
        <f aca="false">IF($AR396=0,"Low",IF($AR396&lt;3,"Medium","High"))</f>
        <v>Low</v>
      </c>
      <c r="AU396" s="8" t="str">
        <f aca="false">IF(OR($AS396="High",$AT396="High"),"High",IF(OR($AS396="Medium",$AT396="Medium"),"Medium","Low"))</f>
        <v>Low</v>
      </c>
      <c r="AV396" s="15" t="str">
        <f aca="false">IF($Z396="Yes","High",$AU396)</f>
        <v>Low</v>
      </c>
    </row>
    <row r="397" customFormat="false" ht="15" hidden="false" customHeight="false" outlineLevel="0" collapsed="false">
      <c r="A397" s="7" t="str">
        <f aca="false">Customers!$A397</f>
        <v>NG-10185</v>
      </c>
      <c r="B397" s="7" t="str">
        <f aca="false">Customers!$B397</f>
        <v>Personal</v>
      </c>
      <c r="C397" s="8" t="n">
        <f aca="false">INDEX(Mapping!$C$2:$C$99,MATCH(C$1&amp;"|"&amp;Customers!C397,Mapping!$D$2:$D$99,0))</f>
        <v>1</v>
      </c>
      <c r="D397" s="8" t="n">
        <f aca="false">INDEX(Mapping!$C$2:$C$99,MATCH(D$1&amp;"|"&amp;Customers!D397,Mapping!$D$2:$D$99,0))</f>
        <v>1</v>
      </c>
      <c r="E397" s="8" t="n">
        <f aca="false">INDEX(Mapping!$C$2:$C$99,MATCH(E$1&amp;"|"&amp;Customers!E397,Mapping!$D$2:$D$99,0))</f>
        <v>5</v>
      </c>
      <c r="F397" s="8" t="n">
        <f aca="false">INDEX(Mapping!$C$2:$C$99,MATCH(F$1&amp;"|"&amp;Customers!F397,Mapping!$D$2:$D$99,0))</f>
        <v>1</v>
      </c>
      <c r="G397" s="8" t="n">
        <f aca="false">INDEX(Mapping!$C$2:$C$99,MATCH(G$1&amp;"|"&amp;Customers!G397,Mapping!$D$2:$D$99,0))</f>
        <v>1</v>
      </c>
      <c r="H397" s="8" t="n">
        <f aca="false">INDEX(Mapping!$C$2:$C$99,MATCH(H$1&amp;"|"&amp;Customers!H397,Mapping!$D$2:$D$99,0))</f>
        <v>1</v>
      </c>
      <c r="I397" s="8" t="n">
        <f aca="false">INDEX(Mapping!$C$2:$C$99,MATCH(I$1&amp;"|"&amp;Customers!I397,Mapping!$D$2:$D$99,0))</f>
        <v>1</v>
      </c>
      <c r="J397" s="8" t="n">
        <f aca="false">INDEX(Mapping!$C$2:$C$99,MATCH(J$1&amp;"|"&amp;Customers!J397,Mapping!$D$2:$D$99,0))</f>
        <v>1</v>
      </c>
      <c r="K397" s="8" t="n">
        <f aca="false">INDEX(Mapping!$C$2:$C$99,MATCH(K$1&amp;"|"&amp;Customers!K397,Mapping!$D$2:$D$99,0))</f>
        <v>1</v>
      </c>
      <c r="L397" s="8" t="n">
        <f aca="false">INDEX(Mapping!$C$2:$C$99,MATCH(L$1&amp;"|"&amp;Customers!L397,Mapping!$D$2:$D$99,0))</f>
        <v>2</v>
      </c>
      <c r="M397" s="8" t="n">
        <f aca="false">INDEX(Mapping!$C$2:$C$99,MATCH(M$1&amp;"|"&amp;Customers!M397,Mapping!$D$2:$D$99,0))</f>
        <v>2</v>
      </c>
      <c r="N397" s="8" t="n">
        <f aca="false">INDEX(Mapping!$C$2:$C$99,MATCH(N$1&amp;"|"&amp;Customers!N397,Mapping!$D$2:$D$99,0))</f>
        <v>1</v>
      </c>
      <c r="O397" s="8" t="n">
        <f aca="false">INDEX(Mapping!$C$2:$C$99,MATCH(O$1&amp;"|"&amp;Customers!O397,Mapping!$D$2:$D$99,0))</f>
        <v>3</v>
      </c>
      <c r="P397" s="8" t="n">
        <f aca="false">INDEX(Mapping!$C$2:$C$99,MATCH(P$1&amp;"|"&amp;Customers!P397,Mapping!$D$2:$D$99,0))</f>
        <v>3</v>
      </c>
      <c r="Q397" s="8" t="n">
        <f aca="false">INDEX(Mapping!$C$2:$C$99,MATCH(Q$1&amp;"|"&amp;Customers!Q397,Mapping!$D$2:$D$99,0))</f>
        <v>1</v>
      </c>
      <c r="R397" s="8" t="n">
        <f aca="false">INDEX(Mapping!$C$2:$C$99,MATCH(R$1&amp;"|"&amp;Customers!R397,Mapping!$D$2:$D$99,0))</f>
        <v>4</v>
      </c>
      <c r="S397" s="8" t="n">
        <f aca="false">INDEX(Mapping!$C$2:$C$99,MATCH(S$1&amp;"|"&amp;Customers!S397,Mapping!$D$2:$D$99,0))</f>
        <v>1</v>
      </c>
      <c r="T397" s="8" t="n">
        <f aca="false">INDEX(Mapping!$C$2:$C$99,MATCH(T$1&amp;"|"&amp;Customers!T397,Mapping!$D$2:$D$99,0))</f>
        <v>1</v>
      </c>
      <c r="U397" s="8" t="n">
        <f aca="false">INDEX(Mapping!$C$2:$C$99,MATCH(U$1&amp;"|"&amp;Customers!U397,Mapping!$D$2:$D$99,0))</f>
        <v>1</v>
      </c>
      <c r="V397" s="8" t="n">
        <f aca="false">INDEX(Mapping!$C$2:$C$99,MATCH(V$1&amp;"|"&amp;Customers!V397,Mapping!$D$2:$D$99,0))</f>
        <v>2</v>
      </c>
      <c r="W397" s="17" t="n">
        <f aca="false">SUMPRODUCT($C397:$V397,Weights!$C$27:$V$27)</f>
        <v>1.6875</v>
      </c>
      <c r="X397" s="18" t="n">
        <f aca="false">ROUND($W397,2)</f>
        <v>1.69</v>
      </c>
      <c r="Y397" s="8" t="str">
        <f aca="false">IF($X397&lt;=2,"Low",IF($X397&lt;=3.49,"Medium","High"))</f>
        <v>Low</v>
      </c>
      <c r="Z397" s="8" t="str">
        <f aca="false">IF(OR($F397&gt;=3,$E397=5,$D397=5,$C397=5,$G397=5,$H397=5,$I397=5,$J397=5,Customers!$W397="Yes"),"Yes","No")</f>
        <v>Yes</v>
      </c>
      <c r="AA397" s="15" t="str">
        <f aca="false">IF($Z397="Yes","High",$Y397)</f>
        <v>High</v>
      </c>
      <c r="AB397" s="18" t="n">
        <f aca="false">SUMPRODUCT($C397:$G397,Weights!$C$28:$G$28)</f>
        <v>2</v>
      </c>
      <c r="AC397" s="18" t="n">
        <f aca="false">SUMPRODUCT($H397:$J397,Weights!$H$28:$J$28)</f>
        <v>1</v>
      </c>
      <c r="AD397" s="18" t="n">
        <f aca="false">SUMPRODUCT($K397:$N397,Weights!$K$28:$N$28)</f>
        <v>1.5</v>
      </c>
      <c r="AE397" s="18" t="n">
        <f aca="false">SUMPRODUCT($O397:$Q397,Weights!$O$28:$Q$28)</f>
        <v>2.6</v>
      </c>
      <c r="AF397" s="18" t="n">
        <f aca="false">SUMPRODUCT($R397:$V397,Weights!$R$28:$V$28)</f>
        <v>1.85</v>
      </c>
      <c r="AH397" s="18" t="n">
        <f aca="false">SUMPRODUCT($AB397:$AF397,Validation!$D$7:$H$7)</f>
        <v>1.64285714285775</v>
      </c>
      <c r="AI397" s="18" t="n">
        <f aca="false">SUMPRODUCT($AB397:$AF397,Validation!$D$8:$H$8)</f>
        <v>1.73214285714225</v>
      </c>
      <c r="AJ397" s="18" t="n">
        <f aca="false">SUMPRODUCT($AB397:$AF397,Validation!$D$9:$H$9)</f>
        <v>1.7791666666663</v>
      </c>
      <c r="AK397" s="18" t="n">
        <f aca="false">SUMPRODUCT($AB397:$AF397,Validation!$D$10:$H$10)</f>
        <v>1.5958333333337</v>
      </c>
      <c r="AL397" s="18" t="n">
        <f aca="false">SUMPRODUCT($AB397:$AF397,Validation!$D$11:$H$11)</f>
        <v>1.7109375</v>
      </c>
      <c r="AM397" s="18" t="n">
        <f aca="false">SUMPRODUCT($AB397:$AF397,Validation!$D$12:$H$12)</f>
        <v>1.6640625</v>
      </c>
      <c r="AN397" s="18" t="n">
        <f aca="false">SUMPRODUCT($AB397:$AF397,Validation!$D$13:$H$13)</f>
        <v>1.58611111111095</v>
      </c>
      <c r="AO397" s="18" t="n">
        <f aca="false">SUMPRODUCT($AB397:$AF397,Validation!$D$14:$H$14)</f>
        <v>1.78888888888905</v>
      </c>
      <c r="AP397" s="18" t="n">
        <f aca="false">SUMPRODUCT($AB397:$AF397,Validation!$D$15:$H$15)</f>
        <v>1.6683823529407</v>
      </c>
      <c r="AQ397" s="18" t="n">
        <f aca="false">SUMPRODUCT($AB397:$AF397,Validation!$D$16:$H$16)</f>
        <v>1.7066176470593</v>
      </c>
      <c r="AR397" s="8" t="n">
        <f aca="false">COUNTIF($C397:$V397,"&gt;=4")</f>
        <v>2</v>
      </c>
      <c r="AS397" s="8" t="str">
        <f aca="false">IF($X397&lt;=1.6,"Low",IF($X397&lt;=2.2,"Medium","High"))</f>
        <v>Medium</v>
      </c>
      <c r="AT397" s="8" t="str">
        <f aca="false">IF($AR397=0,"Low",IF($AR397&lt;3,"Medium","High"))</f>
        <v>Medium</v>
      </c>
      <c r="AU397" s="8" t="str">
        <f aca="false">IF(OR($AS397="High",$AT397="High"),"High",IF(OR($AS397="Medium",$AT397="Medium"),"Medium","Low"))</f>
        <v>Medium</v>
      </c>
      <c r="AV397" s="15" t="str">
        <f aca="false">IF($Z397="Yes","High",$AU397)</f>
        <v>High</v>
      </c>
    </row>
    <row r="398" customFormat="false" ht="15" hidden="false" customHeight="false" outlineLevel="0" collapsed="false">
      <c r="A398" s="7" t="str">
        <f aca="false">Customers!$A398</f>
        <v>NG-10288</v>
      </c>
      <c r="B398" s="7" t="str">
        <f aca="false">Customers!$B398</f>
        <v>Personal</v>
      </c>
      <c r="C398" s="8" t="n">
        <f aca="false">INDEX(Mapping!$C$2:$C$99,MATCH(C$1&amp;"|"&amp;Customers!C398,Mapping!$D$2:$D$99,0))</f>
        <v>1</v>
      </c>
      <c r="D398" s="8" t="n">
        <f aca="false">INDEX(Mapping!$C$2:$C$99,MATCH(D$1&amp;"|"&amp;Customers!D398,Mapping!$D$2:$D$99,0))</f>
        <v>1</v>
      </c>
      <c r="E398" s="8" t="n">
        <f aca="false">INDEX(Mapping!$C$2:$C$99,MATCH(E$1&amp;"|"&amp;Customers!E398,Mapping!$D$2:$D$99,0))</f>
        <v>1</v>
      </c>
      <c r="F398" s="8" t="n">
        <f aca="false">INDEX(Mapping!$C$2:$C$99,MATCH(F$1&amp;"|"&amp;Customers!F398,Mapping!$D$2:$D$99,0))</f>
        <v>1</v>
      </c>
      <c r="G398" s="8" t="n">
        <f aca="false">INDEX(Mapping!$C$2:$C$99,MATCH(G$1&amp;"|"&amp;Customers!G398,Mapping!$D$2:$D$99,0))</f>
        <v>2</v>
      </c>
      <c r="H398" s="8" t="n">
        <f aca="false">INDEX(Mapping!$C$2:$C$99,MATCH(H$1&amp;"|"&amp;Customers!H398,Mapping!$D$2:$D$99,0))</f>
        <v>1</v>
      </c>
      <c r="I398" s="8" t="n">
        <f aca="false">INDEX(Mapping!$C$2:$C$99,MATCH(I$1&amp;"|"&amp;Customers!I398,Mapping!$D$2:$D$99,0))</f>
        <v>1</v>
      </c>
      <c r="J398" s="8" t="n">
        <f aca="false">INDEX(Mapping!$C$2:$C$99,MATCH(J$1&amp;"|"&amp;Customers!J398,Mapping!$D$2:$D$99,0))</f>
        <v>1</v>
      </c>
      <c r="K398" s="8" t="n">
        <f aca="false">INDEX(Mapping!$C$2:$C$99,MATCH(K$1&amp;"|"&amp;Customers!K398,Mapping!$D$2:$D$99,0))</f>
        <v>2</v>
      </c>
      <c r="L398" s="8" t="n">
        <f aca="false">INDEX(Mapping!$C$2:$C$99,MATCH(L$1&amp;"|"&amp;Customers!L398,Mapping!$D$2:$D$99,0))</f>
        <v>3</v>
      </c>
      <c r="M398" s="8" t="n">
        <f aca="false">INDEX(Mapping!$C$2:$C$99,MATCH(M$1&amp;"|"&amp;Customers!M398,Mapping!$D$2:$D$99,0))</f>
        <v>3</v>
      </c>
      <c r="N398" s="8" t="n">
        <f aca="false">INDEX(Mapping!$C$2:$C$99,MATCH(N$1&amp;"|"&amp;Customers!N398,Mapping!$D$2:$D$99,0))</f>
        <v>1</v>
      </c>
      <c r="O398" s="8" t="n">
        <f aca="false">INDEX(Mapping!$C$2:$C$99,MATCH(O$1&amp;"|"&amp;Customers!O398,Mapping!$D$2:$D$99,0))</f>
        <v>3</v>
      </c>
      <c r="P398" s="8" t="n">
        <f aca="false">INDEX(Mapping!$C$2:$C$99,MATCH(P$1&amp;"|"&amp;Customers!P398,Mapping!$D$2:$D$99,0))</f>
        <v>3</v>
      </c>
      <c r="Q398" s="8" t="n">
        <f aca="false">INDEX(Mapping!$C$2:$C$99,MATCH(Q$1&amp;"|"&amp;Customers!Q398,Mapping!$D$2:$D$99,0))</f>
        <v>1</v>
      </c>
      <c r="R398" s="8" t="n">
        <f aca="false">INDEX(Mapping!$C$2:$C$99,MATCH(R$1&amp;"|"&amp;Customers!R398,Mapping!$D$2:$D$99,0))</f>
        <v>1</v>
      </c>
      <c r="S398" s="8" t="n">
        <f aca="false">INDEX(Mapping!$C$2:$C$99,MATCH(S$1&amp;"|"&amp;Customers!S398,Mapping!$D$2:$D$99,0))</f>
        <v>2</v>
      </c>
      <c r="T398" s="8" t="n">
        <f aca="false">INDEX(Mapping!$C$2:$C$99,MATCH(T$1&amp;"|"&amp;Customers!T398,Mapping!$D$2:$D$99,0))</f>
        <v>3</v>
      </c>
      <c r="U398" s="8" t="n">
        <f aca="false">INDEX(Mapping!$C$2:$C$99,MATCH(U$1&amp;"|"&amp;Customers!U398,Mapping!$D$2:$D$99,0))</f>
        <v>2</v>
      </c>
      <c r="V398" s="8" t="n">
        <f aca="false">INDEX(Mapping!$C$2:$C$99,MATCH(V$1&amp;"|"&amp;Customers!V398,Mapping!$D$2:$D$99,0))</f>
        <v>1</v>
      </c>
      <c r="W398" s="17" t="n">
        <f aca="false">SUMPRODUCT($C398:$V398,Weights!$C$27:$V$27)</f>
        <v>1.6025</v>
      </c>
      <c r="X398" s="18" t="n">
        <f aca="false">ROUND($W398,2)</f>
        <v>1.6</v>
      </c>
      <c r="Y398" s="8" t="str">
        <f aca="false">IF($X398&lt;=2,"Low",IF($X398&lt;=3.49,"Medium","High"))</f>
        <v>Low</v>
      </c>
      <c r="Z398" s="8" t="str">
        <f aca="false">IF(OR($F398&gt;=3,$E398=5,$D398=5,$C398=5,$G398=5,$H398=5,$I398=5,$J398=5,Customers!$W398="Yes"),"Yes","No")</f>
        <v>No</v>
      </c>
      <c r="AA398" s="15" t="str">
        <f aca="false">IF($Z398="Yes","High",$Y398)</f>
        <v>Low</v>
      </c>
      <c r="AB398" s="18" t="n">
        <f aca="false">SUMPRODUCT($C398:$G398,Weights!$C$28:$G$28)</f>
        <v>1.15</v>
      </c>
      <c r="AC398" s="18" t="n">
        <f aca="false">SUMPRODUCT($H398:$J398,Weights!$H$28:$J$28)</f>
        <v>1</v>
      </c>
      <c r="AD398" s="18" t="n">
        <f aca="false">SUMPRODUCT($K398:$N398,Weights!$K$28:$N$28)</f>
        <v>2.35</v>
      </c>
      <c r="AE398" s="18" t="n">
        <f aca="false">SUMPRODUCT($O398:$Q398,Weights!$O$28:$Q$28)</f>
        <v>2.6</v>
      </c>
      <c r="AF398" s="18" t="n">
        <f aca="false">SUMPRODUCT($R398:$V398,Weights!$R$28:$V$28)</f>
        <v>1.85</v>
      </c>
      <c r="AH398" s="18" t="n">
        <f aca="false">SUMPRODUCT($AB398:$AF398,Validation!$D$7:$H$7)</f>
        <v>1.6671428571431</v>
      </c>
      <c r="AI398" s="18" t="n">
        <f aca="false">SUMPRODUCT($AB398:$AF398,Validation!$D$8:$H$8)</f>
        <v>1.5378571428569</v>
      </c>
      <c r="AJ398" s="18" t="n">
        <f aca="false">SUMPRODUCT($AB398:$AF398,Validation!$D$9:$H$9)</f>
        <v>1.68283333333325</v>
      </c>
      <c r="AK398" s="18" t="n">
        <f aca="false">SUMPRODUCT($AB398:$AF398,Validation!$D$10:$H$10)</f>
        <v>1.52216666666675</v>
      </c>
      <c r="AL398" s="18" t="n">
        <f aca="false">SUMPRODUCT($AB398:$AF398,Validation!$D$11:$H$11)</f>
        <v>1.5090625</v>
      </c>
      <c r="AM398" s="18" t="n">
        <f aca="false">SUMPRODUCT($AB398:$AF398,Validation!$D$12:$H$12)</f>
        <v>1.6959375</v>
      </c>
      <c r="AN398" s="18" t="n">
        <f aca="false">SUMPRODUCT($AB398:$AF398,Validation!$D$13:$H$13)</f>
        <v>1.4916666666666</v>
      </c>
      <c r="AO398" s="18" t="n">
        <f aca="false">SUMPRODUCT($AB398:$AF398,Validation!$D$14:$H$14)</f>
        <v>1.7133333333334</v>
      </c>
      <c r="AP398" s="18" t="n">
        <f aca="false">SUMPRODUCT($AB398:$AF398,Validation!$D$15:$H$15)</f>
        <v>1.573382352941</v>
      </c>
      <c r="AQ398" s="18" t="n">
        <f aca="false">SUMPRODUCT($AB398:$AF398,Validation!$D$16:$H$16)</f>
        <v>1.631617647059</v>
      </c>
      <c r="AR398" s="8" t="n">
        <f aca="false">COUNTIF($C398:$V398,"&gt;=4")</f>
        <v>0</v>
      </c>
      <c r="AS398" s="8" t="str">
        <f aca="false">IF($X398&lt;=1.6,"Low",IF($X398&lt;=2.2,"Medium","High"))</f>
        <v>Low</v>
      </c>
      <c r="AT398" s="8" t="str">
        <f aca="false">IF($AR398=0,"Low",IF($AR398&lt;3,"Medium","High"))</f>
        <v>Low</v>
      </c>
      <c r="AU398" s="8" t="str">
        <f aca="false">IF(OR($AS398="High",$AT398="High"),"High",IF(OR($AS398="Medium",$AT398="Medium"),"Medium","Low"))</f>
        <v>Low</v>
      </c>
      <c r="AV398" s="15" t="str">
        <f aca="false">IF($Z398="Yes","High",$AU398)</f>
        <v>Low</v>
      </c>
    </row>
    <row r="399" customFormat="false" ht="15" hidden="false" customHeight="false" outlineLevel="0" collapsed="false">
      <c r="A399" s="7" t="str">
        <f aca="false">Customers!$A399</f>
        <v>NG-10281</v>
      </c>
      <c r="B399" s="7" t="str">
        <f aca="false">Customers!$B399</f>
        <v>Personal</v>
      </c>
      <c r="C399" s="8" t="n">
        <f aca="false">INDEX(Mapping!$C$2:$C$99,MATCH(C$1&amp;"|"&amp;Customers!C399,Mapping!$D$2:$D$99,0))</f>
        <v>1</v>
      </c>
      <c r="D399" s="8" t="n">
        <f aca="false">INDEX(Mapping!$C$2:$C$99,MATCH(D$1&amp;"|"&amp;Customers!D399,Mapping!$D$2:$D$99,0))</f>
        <v>1</v>
      </c>
      <c r="E399" s="8" t="n">
        <f aca="false">INDEX(Mapping!$C$2:$C$99,MATCH(E$1&amp;"|"&amp;Customers!E399,Mapping!$D$2:$D$99,0))</f>
        <v>3</v>
      </c>
      <c r="F399" s="8" t="n">
        <f aca="false">INDEX(Mapping!$C$2:$C$99,MATCH(F$1&amp;"|"&amp;Customers!F399,Mapping!$D$2:$D$99,0))</f>
        <v>1</v>
      </c>
      <c r="G399" s="8" t="n">
        <f aca="false">INDEX(Mapping!$C$2:$C$99,MATCH(G$1&amp;"|"&amp;Customers!G399,Mapping!$D$2:$D$99,0))</f>
        <v>1</v>
      </c>
      <c r="H399" s="8" t="n">
        <f aca="false">INDEX(Mapping!$C$2:$C$99,MATCH(H$1&amp;"|"&amp;Customers!H399,Mapping!$D$2:$D$99,0))</f>
        <v>1</v>
      </c>
      <c r="I399" s="8" t="n">
        <f aca="false">INDEX(Mapping!$C$2:$C$99,MATCH(I$1&amp;"|"&amp;Customers!I399,Mapping!$D$2:$D$99,0))</f>
        <v>1</v>
      </c>
      <c r="J399" s="8" t="n">
        <f aca="false">INDEX(Mapping!$C$2:$C$99,MATCH(J$1&amp;"|"&amp;Customers!J399,Mapping!$D$2:$D$99,0))</f>
        <v>1</v>
      </c>
      <c r="K399" s="8" t="n">
        <f aca="false">INDEX(Mapping!$C$2:$C$99,MATCH(K$1&amp;"|"&amp;Customers!K399,Mapping!$D$2:$D$99,0))</f>
        <v>2</v>
      </c>
      <c r="L399" s="8" t="n">
        <f aca="false">INDEX(Mapping!$C$2:$C$99,MATCH(L$1&amp;"|"&amp;Customers!L399,Mapping!$D$2:$D$99,0))</f>
        <v>2</v>
      </c>
      <c r="M399" s="8" t="n">
        <f aca="false">INDEX(Mapping!$C$2:$C$99,MATCH(M$1&amp;"|"&amp;Customers!M399,Mapping!$D$2:$D$99,0))</f>
        <v>2</v>
      </c>
      <c r="N399" s="8" t="n">
        <f aca="false">INDEX(Mapping!$C$2:$C$99,MATCH(N$1&amp;"|"&amp;Customers!N399,Mapping!$D$2:$D$99,0))</f>
        <v>1</v>
      </c>
      <c r="O399" s="8" t="n">
        <f aca="false">INDEX(Mapping!$C$2:$C$99,MATCH(O$1&amp;"|"&amp;Customers!O399,Mapping!$D$2:$D$99,0))</f>
        <v>3</v>
      </c>
      <c r="P399" s="8" t="n">
        <f aca="false">INDEX(Mapping!$C$2:$C$99,MATCH(P$1&amp;"|"&amp;Customers!P399,Mapping!$D$2:$D$99,0))</f>
        <v>3</v>
      </c>
      <c r="Q399" s="8" t="n">
        <f aca="false">INDEX(Mapping!$C$2:$C$99,MATCH(Q$1&amp;"|"&amp;Customers!Q399,Mapping!$D$2:$D$99,0))</f>
        <v>3</v>
      </c>
      <c r="R399" s="8" t="n">
        <f aca="false">INDEX(Mapping!$C$2:$C$99,MATCH(R$1&amp;"|"&amp;Customers!R399,Mapping!$D$2:$D$99,0))</f>
        <v>1</v>
      </c>
      <c r="S399" s="8" t="n">
        <f aca="false">INDEX(Mapping!$C$2:$C$99,MATCH(S$1&amp;"|"&amp;Customers!S399,Mapping!$D$2:$D$99,0))</f>
        <v>2</v>
      </c>
      <c r="T399" s="8" t="n">
        <f aca="false">INDEX(Mapping!$C$2:$C$99,MATCH(T$1&amp;"|"&amp;Customers!T399,Mapping!$D$2:$D$99,0))</f>
        <v>2</v>
      </c>
      <c r="U399" s="8" t="n">
        <f aca="false">INDEX(Mapping!$C$2:$C$99,MATCH(U$1&amp;"|"&amp;Customers!U399,Mapping!$D$2:$D$99,0))</f>
        <v>1</v>
      </c>
      <c r="V399" s="8" t="n">
        <f aca="false">INDEX(Mapping!$C$2:$C$99,MATCH(V$1&amp;"|"&amp;Customers!V399,Mapping!$D$2:$D$99,0))</f>
        <v>1</v>
      </c>
      <c r="W399" s="17" t="n">
        <f aca="false">SUMPRODUCT($C399:$V399,Weights!$C$27:$V$27)</f>
        <v>1.595</v>
      </c>
      <c r="X399" s="18" t="n">
        <f aca="false">ROUND($W399,2)</f>
        <v>1.6</v>
      </c>
      <c r="Y399" s="8" t="str">
        <f aca="false">IF($X399&lt;=2,"Low",IF($X399&lt;=3.49,"Medium","High"))</f>
        <v>Low</v>
      </c>
      <c r="Z399" s="8" t="str">
        <f aca="false">IF(OR($F399&gt;=3,$E399=5,$D399=5,$C399=5,$G399=5,$H399=5,$I399=5,$J399=5,Customers!$W399="Yes"),"Yes","No")</f>
        <v>No</v>
      </c>
      <c r="AA399" s="15" t="str">
        <f aca="false">IF($Z399="Yes","High",$Y399)</f>
        <v>Low</v>
      </c>
      <c r="AB399" s="18" t="n">
        <f aca="false">SUMPRODUCT($C399:$G399,Weights!$C$28:$G$28)</f>
        <v>1.5</v>
      </c>
      <c r="AC399" s="18" t="n">
        <f aca="false">SUMPRODUCT($H399:$J399,Weights!$H$28:$J$28)</f>
        <v>1</v>
      </c>
      <c r="AD399" s="18" t="n">
        <f aca="false">SUMPRODUCT($K399:$N399,Weights!$K$28:$N$28)</f>
        <v>1.85</v>
      </c>
      <c r="AE399" s="18" t="n">
        <f aca="false">SUMPRODUCT($O399:$Q399,Weights!$O$28:$Q$28)</f>
        <v>3</v>
      </c>
      <c r="AF399" s="18" t="n">
        <f aca="false">SUMPRODUCT($R399:$V399,Weights!$R$28:$V$28)</f>
        <v>1.5</v>
      </c>
      <c r="AH399" s="18" t="n">
        <f aca="false">SUMPRODUCT($AB399:$AF399,Validation!$D$7:$H$7)</f>
        <v>1.60857142857185</v>
      </c>
      <c r="AI399" s="18" t="n">
        <f aca="false">SUMPRODUCT($AB399:$AF399,Validation!$D$8:$H$8)</f>
        <v>1.58142857142815</v>
      </c>
      <c r="AJ399" s="18" t="n">
        <f aca="false">SUMPRODUCT($AB399:$AF399,Validation!$D$9:$H$9)</f>
        <v>1.67433333333295</v>
      </c>
      <c r="AK399" s="18" t="n">
        <f aca="false">SUMPRODUCT($AB399:$AF399,Validation!$D$10:$H$10)</f>
        <v>1.51566666666705</v>
      </c>
      <c r="AL399" s="18" t="n">
        <f aca="false">SUMPRODUCT($AB399:$AF399,Validation!$D$11:$H$11)</f>
        <v>1.563125</v>
      </c>
      <c r="AM399" s="18" t="n">
        <f aca="false">SUMPRODUCT($AB399:$AF399,Validation!$D$12:$H$12)</f>
        <v>1.626875</v>
      </c>
      <c r="AN399" s="18" t="n">
        <f aca="false">SUMPRODUCT($AB399:$AF399,Validation!$D$13:$H$13)</f>
        <v>1.4388888888887</v>
      </c>
      <c r="AO399" s="18" t="n">
        <f aca="false">SUMPRODUCT($AB399:$AF399,Validation!$D$14:$H$14)</f>
        <v>1.7511111111113</v>
      </c>
      <c r="AP399" s="18" t="n">
        <f aca="false">SUMPRODUCT($AB399:$AF399,Validation!$D$15:$H$15)</f>
        <v>1.60617647058775</v>
      </c>
      <c r="AQ399" s="18" t="n">
        <f aca="false">SUMPRODUCT($AB399:$AF399,Validation!$D$16:$H$16)</f>
        <v>1.58382352941225</v>
      </c>
      <c r="AR399" s="8" t="n">
        <f aca="false">COUNTIF($C399:$V399,"&gt;=4")</f>
        <v>0</v>
      </c>
      <c r="AS399" s="8" t="str">
        <f aca="false">IF($X399&lt;=1.6,"Low",IF($X399&lt;=2.2,"Medium","High"))</f>
        <v>Low</v>
      </c>
      <c r="AT399" s="8" t="str">
        <f aca="false">IF($AR399=0,"Low",IF($AR399&lt;3,"Medium","High"))</f>
        <v>Low</v>
      </c>
      <c r="AU399" s="8" t="str">
        <f aca="false">IF(OR($AS399="High",$AT399="High"),"High",IF(OR($AS399="Medium",$AT399="Medium"),"Medium","Low"))</f>
        <v>Low</v>
      </c>
      <c r="AV399" s="15" t="str">
        <f aca="false">IF($Z399="Yes","High",$AU399)</f>
        <v>Low</v>
      </c>
    </row>
    <row r="400" customFormat="false" ht="15" hidden="false" customHeight="false" outlineLevel="0" collapsed="false">
      <c r="A400" s="7" t="str">
        <f aca="false">Customers!$A400</f>
        <v>NG-10285</v>
      </c>
      <c r="B400" s="7" t="str">
        <f aca="false">Customers!$B400</f>
        <v>Personal</v>
      </c>
      <c r="C400" s="8" t="n">
        <f aca="false">INDEX(Mapping!$C$2:$C$99,MATCH(C$1&amp;"|"&amp;Customers!C400,Mapping!$D$2:$D$99,0))</f>
        <v>1</v>
      </c>
      <c r="D400" s="8" t="n">
        <f aca="false">INDEX(Mapping!$C$2:$C$99,MATCH(D$1&amp;"|"&amp;Customers!D400,Mapping!$D$2:$D$99,0))</f>
        <v>1</v>
      </c>
      <c r="E400" s="8" t="n">
        <f aca="false">INDEX(Mapping!$C$2:$C$99,MATCH(E$1&amp;"|"&amp;Customers!E400,Mapping!$D$2:$D$99,0))</f>
        <v>3</v>
      </c>
      <c r="F400" s="8" t="n">
        <f aca="false">INDEX(Mapping!$C$2:$C$99,MATCH(F$1&amp;"|"&amp;Customers!F400,Mapping!$D$2:$D$99,0))</f>
        <v>1</v>
      </c>
      <c r="G400" s="8" t="n">
        <f aca="false">INDEX(Mapping!$C$2:$C$99,MATCH(G$1&amp;"|"&amp;Customers!G400,Mapping!$D$2:$D$99,0))</f>
        <v>1</v>
      </c>
      <c r="H400" s="8" t="n">
        <f aca="false">INDEX(Mapping!$C$2:$C$99,MATCH(H$1&amp;"|"&amp;Customers!H400,Mapping!$D$2:$D$99,0))</f>
        <v>1</v>
      </c>
      <c r="I400" s="8" t="n">
        <f aca="false">INDEX(Mapping!$C$2:$C$99,MATCH(I$1&amp;"|"&amp;Customers!I400,Mapping!$D$2:$D$99,0))</f>
        <v>1</v>
      </c>
      <c r="J400" s="8" t="n">
        <f aca="false">INDEX(Mapping!$C$2:$C$99,MATCH(J$1&amp;"|"&amp;Customers!J400,Mapping!$D$2:$D$99,0))</f>
        <v>1</v>
      </c>
      <c r="K400" s="8" t="n">
        <f aca="false">INDEX(Mapping!$C$2:$C$99,MATCH(K$1&amp;"|"&amp;Customers!K400,Mapping!$D$2:$D$99,0))</f>
        <v>3</v>
      </c>
      <c r="L400" s="8" t="n">
        <f aca="false">INDEX(Mapping!$C$2:$C$99,MATCH(L$1&amp;"|"&amp;Customers!L400,Mapping!$D$2:$D$99,0))</f>
        <v>2</v>
      </c>
      <c r="M400" s="8" t="n">
        <f aca="false">INDEX(Mapping!$C$2:$C$99,MATCH(M$1&amp;"|"&amp;Customers!M400,Mapping!$D$2:$D$99,0))</f>
        <v>5</v>
      </c>
      <c r="N400" s="8" t="n">
        <f aca="false">INDEX(Mapping!$C$2:$C$99,MATCH(N$1&amp;"|"&amp;Customers!N400,Mapping!$D$2:$D$99,0))</f>
        <v>1</v>
      </c>
      <c r="O400" s="8" t="n">
        <f aca="false">INDEX(Mapping!$C$2:$C$99,MATCH(O$1&amp;"|"&amp;Customers!O400,Mapping!$D$2:$D$99,0))</f>
        <v>3</v>
      </c>
      <c r="P400" s="8" t="n">
        <f aca="false">INDEX(Mapping!$C$2:$C$99,MATCH(P$1&amp;"|"&amp;Customers!P400,Mapping!$D$2:$D$99,0))</f>
        <v>3</v>
      </c>
      <c r="Q400" s="8" t="n">
        <f aca="false">INDEX(Mapping!$C$2:$C$99,MATCH(Q$1&amp;"|"&amp;Customers!Q400,Mapping!$D$2:$D$99,0))</f>
        <v>2</v>
      </c>
      <c r="R400" s="8" t="n">
        <f aca="false">INDEX(Mapping!$C$2:$C$99,MATCH(R$1&amp;"|"&amp;Customers!R400,Mapping!$D$2:$D$99,0))</f>
        <v>1</v>
      </c>
      <c r="S400" s="8" t="n">
        <f aca="false">INDEX(Mapping!$C$2:$C$99,MATCH(S$1&amp;"|"&amp;Customers!S400,Mapping!$D$2:$D$99,0))</f>
        <v>2</v>
      </c>
      <c r="T400" s="8" t="n">
        <f aca="false">INDEX(Mapping!$C$2:$C$99,MATCH(T$1&amp;"|"&amp;Customers!T400,Mapping!$D$2:$D$99,0))</f>
        <v>1</v>
      </c>
      <c r="U400" s="8" t="n">
        <f aca="false">INDEX(Mapping!$C$2:$C$99,MATCH(U$1&amp;"|"&amp;Customers!U400,Mapping!$D$2:$D$99,0))</f>
        <v>1</v>
      </c>
      <c r="V400" s="8" t="n">
        <f aca="false">INDEX(Mapping!$C$2:$C$99,MATCH(V$1&amp;"|"&amp;Customers!V400,Mapping!$D$2:$D$99,0))</f>
        <v>1</v>
      </c>
      <c r="W400" s="17" t="n">
        <f aca="false">SUMPRODUCT($C400:$V400,Weights!$C$27:$V$27)</f>
        <v>1.765</v>
      </c>
      <c r="X400" s="18" t="n">
        <f aca="false">ROUND($W400,2)</f>
        <v>1.77</v>
      </c>
      <c r="Y400" s="8" t="str">
        <f aca="false">IF($X400&lt;=2,"Low",IF($X400&lt;=3.49,"Medium","High"))</f>
        <v>Low</v>
      </c>
      <c r="Z400" s="8" t="str">
        <f aca="false">IF(OR($F400&gt;=3,$E400=5,$D400=5,$C400=5,$G400=5,$H400=5,$I400=5,$J400=5,Customers!$W400="Yes"),"Yes","No")</f>
        <v>No</v>
      </c>
      <c r="AA400" s="15" t="str">
        <f aca="false">IF($Z400="Yes","High",$Y400)</f>
        <v>Low</v>
      </c>
      <c r="AB400" s="18" t="n">
        <f aca="false">SUMPRODUCT($C400:$G400,Weights!$C$28:$G$28)</f>
        <v>1.5</v>
      </c>
      <c r="AC400" s="18" t="n">
        <f aca="false">SUMPRODUCT($H400:$J400,Weights!$H$28:$J$28)</f>
        <v>1</v>
      </c>
      <c r="AD400" s="18" t="n">
        <f aca="false">SUMPRODUCT($K400:$N400,Weights!$K$28:$N$28)</f>
        <v>2.95</v>
      </c>
      <c r="AE400" s="18" t="n">
        <f aca="false">SUMPRODUCT($O400:$Q400,Weights!$O$28:$Q$28)</f>
        <v>2.8</v>
      </c>
      <c r="AF400" s="18" t="n">
        <f aca="false">SUMPRODUCT($R400:$V400,Weights!$R$28:$V$28)</f>
        <v>1.3</v>
      </c>
      <c r="AH400" s="18" t="n">
        <f aca="false">SUMPRODUCT($AB400:$AF400,Validation!$D$7:$H$7)</f>
        <v>1.80285714285695</v>
      </c>
      <c r="AI400" s="18" t="n">
        <f aca="false">SUMPRODUCT($AB400:$AF400,Validation!$D$8:$H$8)</f>
        <v>1.72714285714305</v>
      </c>
      <c r="AJ400" s="18" t="n">
        <f aca="false">SUMPRODUCT($AB400:$AF400,Validation!$D$9:$H$9)</f>
        <v>1.86700000000005</v>
      </c>
      <c r="AK400" s="18" t="n">
        <f aca="false">SUMPRODUCT($AB400:$AF400,Validation!$D$10:$H$10)</f>
        <v>1.66299999999995</v>
      </c>
      <c r="AL400" s="18" t="n">
        <f aca="false">SUMPRODUCT($AB400:$AF400,Validation!$D$11:$H$11)</f>
        <v>1.616875</v>
      </c>
      <c r="AM400" s="18" t="n">
        <f aca="false">SUMPRODUCT($AB400:$AF400,Validation!$D$12:$H$12)</f>
        <v>1.913125</v>
      </c>
      <c r="AN400" s="18" t="n">
        <f aca="false">SUMPRODUCT($AB400:$AF400,Validation!$D$13:$H$13)</f>
        <v>1.6499999999995</v>
      </c>
      <c r="AO400" s="18" t="n">
        <f aca="false">SUMPRODUCT($AB400:$AF400,Validation!$D$14:$H$14)</f>
        <v>1.8800000000005</v>
      </c>
      <c r="AP400" s="18" t="n">
        <f aca="false">SUMPRODUCT($AB400:$AF400,Validation!$D$15:$H$15)</f>
        <v>1.81970588235285</v>
      </c>
      <c r="AQ400" s="18" t="n">
        <f aca="false">SUMPRODUCT($AB400:$AF400,Validation!$D$16:$H$16)</f>
        <v>1.71029411764715</v>
      </c>
      <c r="AR400" s="8" t="n">
        <f aca="false">COUNTIF($C400:$V400,"&gt;=4")</f>
        <v>1</v>
      </c>
      <c r="AS400" s="8" t="str">
        <f aca="false">IF($X400&lt;=1.6,"Low",IF($X400&lt;=2.2,"Medium","High"))</f>
        <v>Medium</v>
      </c>
      <c r="AT400" s="8" t="str">
        <f aca="false">IF($AR400=0,"Low",IF($AR400&lt;3,"Medium","High"))</f>
        <v>Medium</v>
      </c>
      <c r="AU400" s="8" t="str">
        <f aca="false">IF(OR($AS400="High",$AT400="High"),"High",IF(OR($AS400="Medium",$AT400="Medium"),"Medium","Low"))</f>
        <v>Medium</v>
      </c>
      <c r="AV400" s="15" t="str">
        <f aca="false">IF($Z400="Yes","High",$AU400)</f>
        <v>Medium</v>
      </c>
    </row>
    <row r="401" customFormat="false" ht="15" hidden="false" customHeight="false" outlineLevel="0" collapsed="false">
      <c r="A401" s="7" t="str">
        <f aca="false">Customers!$A401</f>
        <v>NG-10037</v>
      </c>
      <c r="B401" s="7" t="str">
        <f aca="false">Customers!$B401</f>
        <v>Personal</v>
      </c>
      <c r="C401" s="8" t="n">
        <f aca="false">INDEX(Mapping!$C$2:$C$99,MATCH(C$1&amp;"|"&amp;Customers!C401,Mapping!$D$2:$D$99,0))</f>
        <v>1</v>
      </c>
      <c r="D401" s="8" t="n">
        <f aca="false">INDEX(Mapping!$C$2:$C$99,MATCH(D$1&amp;"|"&amp;Customers!D401,Mapping!$D$2:$D$99,0))</f>
        <v>1</v>
      </c>
      <c r="E401" s="8" t="n">
        <f aca="false">INDEX(Mapping!$C$2:$C$99,MATCH(E$1&amp;"|"&amp;Customers!E401,Mapping!$D$2:$D$99,0))</f>
        <v>3</v>
      </c>
      <c r="F401" s="8" t="n">
        <f aca="false">INDEX(Mapping!$C$2:$C$99,MATCH(F$1&amp;"|"&amp;Customers!F401,Mapping!$D$2:$D$99,0))</f>
        <v>1</v>
      </c>
      <c r="G401" s="8" t="n">
        <f aca="false">INDEX(Mapping!$C$2:$C$99,MATCH(G$1&amp;"|"&amp;Customers!G401,Mapping!$D$2:$D$99,0))</f>
        <v>1</v>
      </c>
      <c r="H401" s="8" t="n">
        <f aca="false">INDEX(Mapping!$C$2:$C$99,MATCH(H$1&amp;"|"&amp;Customers!H401,Mapping!$D$2:$D$99,0))</f>
        <v>1</v>
      </c>
      <c r="I401" s="8" t="n">
        <f aca="false">INDEX(Mapping!$C$2:$C$99,MATCH(I$1&amp;"|"&amp;Customers!I401,Mapping!$D$2:$D$99,0))</f>
        <v>2</v>
      </c>
      <c r="J401" s="8" t="n">
        <f aca="false">INDEX(Mapping!$C$2:$C$99,MATCH(J$1&amp;"|"&amp;Customers!J401,Mapping!$D$2:$D$99,0))</f>
        <v>1</v>
      </c>
      <c r="K401" s="8" t="n">
        <f aca="false">INDEX(Mapping!$C$2:$C$99,MATCH(K$1&amp;"|"&amp;Customers!K401,Mapping!$D$2:$D$99,0))</f>
        <v>1</v>
      </c>
      <c r="L401" s="8" t="n">
        <f aca="false">INDEX(Mapping!$C$2:$C$99,MATCH(L$1&amp;"|"&amp;Customers!L401,Mapping!$D$2:$D$99,0))</f>
        <v>2</v>
      </c>
      <c r="M401" s="8" t="n">
        <f aca="false">INDEX(Mapping!$C$2:$C$99,MATCH(M$1&amp;"|"&amp;Customers!M401,Mapping!$D$2:$D$99,0))</f>
        <v>1</v>
      </c>
      <c r="N401" s="8" t="n">
        <f aca="false">INDEX(Mapping!$C$2:$C$99,MATCH(N$1&amp;"|"&amp;Customers!N401,Mapping!$D$2:$D$99,0))</f>
        <v>1</v>
      </c>
      <c r="O401" s="8" t="n">
        <f aca="false">INDEX(Mapping!$C$2:$C$99,MATCH(O$1&amp;"|"&amp;Customers!O401,Mapping!$D$2:$D$99,0))</f>
        <v>2</v>
      </c>
      <c r="P401" s="8" t="n">
        <f aca="false">INDEX(Mapping!$C$2:$C$99,MATCH(P$1&amp;"|"&amp;Customers!P401,Mapping!$D$2:$D$99,0))</f>
        <v>4</v>
      </c>
      <c r="Q401" s="8" t="n">
        <f aca="false">INDEX(Mapping!$C$2:$C$99,MATCH(Q$1&amp;"|"&amp;Customers!Q401,Mapping!$D$2:$D$99,0))</f>
        <v>3</v>
      </c>
      <c r="R401" s="8" t="n">
        <f aca="false">INDEX(Mapping!$C$2:$C$99,MATCH(R$1&amp;"|"&amp;Customers!R401,Mapping!$D$2:$D$99,0))</f>
        <v>1</v>
      </c>
      <c r="S401" s="8" t="n">
        <f aca="false">INDEX(Mapping!$C$2:$C$99,MATCH(S$1&amp;"|"&amp;Customers!S401,Mapping!$D$2:$D$99,0))</f>
        <v>1</v>
      </c>
      <c r="T401" s="8" t="n">
        <f aca="false">INDEX(Mapping!$C$2:$C$99,MATCH(T$1&amp;"|"&amp;Customers!T401,Mapping!$D$2:$D$99,0))</f>
        <v>1</v>
      </c>
      <c r="U401" s="8" t="n">
        <f aca="false">INDEX(Mapping!$C$2:$C$99,MATCH(U$1&amp;"|"&amp;Customers!U401,Mapping!$D$2:$D$99,0))</f>
        <v>4</v>
      </c>
      <c r="V401" s="8" t="n">
        <f aca="false">INDEX(Mapping!$C$2:$C$99,MATCH(V$1&amp;"|"&amp;Customers!V401,Mapping!$D$2:$D$99,0))</f>
        <v>1</v>
      </c>
      <c r="W401" s="17" t="n">
        <f aca="false">SUMPRODUCT($C401:$V401,Weights!$C$27:$V$27)</f>
        <v>1.5075</v>
      </c>
      <c r="X401" s="18" t="n">
        <f aca="false">ROUND($W401,2)</f>
        <v>1.51</v>
      </c>
      <c r="Y401" s="8" t="str">
        <f aca="false">IF($X401&lt;=2,"Low",IF($X401&lt;=3.49,"Medium","High"))</f>
        <v>Low</v>
      </c>
      <c r="Z401" s="8" t="str">
        <f aca="false">IF(OR($F401&gt;=3,$E401=5,$D401=5,$C401=5,$G401=5,$H401=5,$I401=5,$J401=5,Customers!$W401="Yes"),"Yes","No")</f>
        <v>No</v>
      </c>
      <c r="AA401" s="15" t="str">
        <f aca="false">IF($Z401="Yes","High",$Y401)</f>
        <v>Low</v>
      </c>
      <c r="AB401" s="18" t="n">
        <f aca="false">SUMPRODUCT($C401:$G401,Weights!$C$28:$G$28)</f>
        <v>1.5</v>
      </c>
      <c r="AC401" s="18" t="n">
        <f aca="false">SUMPRODUCT($H401:$J401,Weights!$H$28:$J$28)</f>
        <v>1.2</v>
      </c>
      <c r="AD401" s="18" t="n">
        <f aca="false">SUMPRODUCT($K401:$N401,Weights!$K$28:$N$28)</f>
        <v>1.25</v>
      </c>
      <c r="AE401" s="18" t="n">
        <f aca="false">SUMPRODUCT($O401:$Q401,Weights!$O$28:$Q$28)</f>
        <v>2.9</v>
      </c>
      <c r="AF401" s="18" t="n">
        <f aca="false">SUMPRODUCT($R401:$V401,Weights!$R$28:$V$28)</f>
        <v>1.45</v>
      </c>
      <c r="AH401" s="18" t="n">
        <f aca="false">SUMPRODUCT($AB401:$AF401,Validation!$D$7:$H$7)</f>
        <v>1.508571428572</v>
      </c>
      <c r="AI401" s="18" t="n">
        <f aca="false">SUMPRODUCT($AB401:$AF401,Validation!$D$8:$H$8)</f>
        <v>1.506428571428</v>
      </c>
      <c r="AJ401" s="18" t="n">
        <f aca="false">SUMPRODUCT($AB401:$AF401,Validation!$D$9:$H$9)</f>
        <v>1.54849999999945</v>
      </c>
      <c r="AK401" s="18" t="n">
        <f aca="false">SUMPRODUCT($AB401:$AF401,Validation!$D$10:$H$10)</f>
        <v>1.46650000000055</v>
      </c>
      <c r="AL401" s="18" t="n">
        <f aca="false">SUMPRODUCT($AB401:$AF401,Validation!$D$11:$H$11)</f>
        <v>1.5396875</v>
      </c>
      <c r="AM401" s="18" t="n">
        <f aca="false">SUMPRODUCT($AB401:$AF401,Validation!$D$12:$H$12)</f>
        <v>1.4753125</v>
      </c>
      <c r="AN401" s="18" t="n">
        <f aca="false">SUMPRODUCT($AB401:$AF401,Validation!$D$13:$H$13)</f>
        <v>1.35277777777775</v>
      </c>
      <c r="AO401" s="18" t="n">
        <f aca="false">SUMPRODUCT($AB401:$AF401,Validation!$D$14:$H$14)</f>
        <v>1.66222222222225</v>
      </c>
      <c r="AP401" s="18" t="n">
        <f aca="false">SUMPRODUCT($AB401:$AF401,Validation!$D$15:$H$15)</f>
        <v>1.51426470588175</v>
      </c>
      <c r="AQ401" s="18" t="n">
        <f aca="false">SUMPRODUCT($AB401:$AF401,Validation!$D$16:$H$16)</f>
        <v>1.50073529411825</v>
      </c>
      <c r="AR401" s="8" t="n">
        <f aca="false">COUNTIF($C401:$V401,"&gt;=4")</f>
        <v>2</v>
      </c>
      <c r="AS401" s="8" t="str">
        <f aca="false">IF($X401&lt;=1.6,"Low",IF($X401&lt;=2.2,"Medium","High"))</f>
        <v>Low</v>
      </c>
      <c r="AT401" s="8" t="str">
        <f aca="false">IF($AR401=0,"Low",IF($AR401&lt;3,"Medium","High"))</f>
        <v>Medium</v>
      </c>
      <c r="AU401" s="8" t="str">
        <f aca="false">IF(OR($AS401="High",$AT401="High"),"High",IF(OR($AS401="Medium",$AT401="Medium"),"Medium","Low"))</f>
        <v>Medium</v>
      </c>
      <c r="AV401" s="15" t="str">
        <f aca="false">IF($Z401="Yes","High",$AU401)</f>
        <v>Medium</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B1:G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7" min="3" style="0" width="12"/>
    <col collapsed="false" customWidth="true" hidden="false" outlineLevel="0" max="8" min="8" style="0" width="40"/>
  </cols>
  <sheetData>
    <row r="1" customFormat="false" ht="17.35" hidden="false" customHeight="false" outlineLevel="0" collapsed="false">
      <c r="B1" s="19" t="s">
        <v>910</v>
      </c>
    </row>
    <row r="2" customFormat="false" ht="15" hidden="false" customHeight="false" outlineLevel="0" collapsed="false">
      <c r="B2" s="14" t="s">
        <v>911</v>
      </c>
    </row>
    <row r="4" customFormat="false" ht="15" hidden="false" customHeight="false" outlineLevel="0" collapsed="false">
      <c r="B4" s="6" t="s">
        <v>912</v>
      </c>
    </row>
    <row r="5" customFormat="false" ht="15" hidden="false" customHeight="false" outlineLevel="0" collapsed="false">
      <c r="B5" s="20" t="s">
        <v>913</v>
      </c>
      <c r="C5" s="20" t="s">
        <v>914</v>
      </c>
      <c r="D5" s="20" t="s">
        <v>915</v>
      </c>
    </row>
    <row r="6" customFormat="false" ht="15" hidden="false" customHeight="false" outlineLevel="0" collapsed="false">
      <c r="B6" s="7" t="s">
        <v>916</v>
      </c>
      <c r="C6" s="8" t="n">
        <f aca="false">COUNTIF(Scoring!$AA$2:$AA$401,$B6)</f>
        <v>295</v>
      </c>
      <c r="D6" s="21" t="n">
        <f aca="false">$C6/400</f>
        <v>0.7375</v>
      </c>
    </row>
    <row r="7" customFormat="false" ht="15" hidden="false" customHeight="false" outlineLevel="0" collapsed="false">
      <c r="B7" s="7" t="s">
        <v>917</v>
      </c>
      <c r="C7" s="8" t="n">
        <f aca="false">COUNTIF(Scoring!$AA$2:$AA$401,$B7)</f>
        <v>62</v>
      </c>
      <c r="D7" s="21" t="n">
        <f aca="false">$C7/400</f>
        <v>0.155</v>
      </c>
    </row>
    <row r="8" customFormat="false" ht="15" hidden="false" customHeight="false" outlineLevel="0" collapsed="false">
      <c r="B8" s="22" t="s">
        <v>918</v>
      </c>
      <c r="C8" s="8" t="n">
        <f aca="false">COUNTIF(Scoring!$AA$2:$AA$401,$B8)</f>
        <v>43</v>
      </c>
      <c r="D8" s="21" t="n">
        <f aca="false">$C8/400</f>
        <v>0.1075</v>
      </c>
    </row>
    <row r="9" customFormat="false" ht="15" hidden="false" customHeight="false" outlineLevel="0" collapsed="false">
      <c r="B9" s="6" t="s">
        <v>157</v>
      </c>
      <c r="C9" s="23" t="n">
        <f aca="false">SUM($C$6:$C$8)</f>
        <v>400</v>
      </c>
    </row>
    <row r="11" customFormat="false" ht="15" hidden="false" customHeight="false" outlineLevel="0" collapsed="false">
      <c r="B11" s="6" t="s">
        <v>919</v>
      </c>
    </row>
    <row r="12" customFormat="false" ht="15" hidden="false" customHeight="false" outlineLevel="0" collapsed="false">
      <c r="B12" s="20" t="s">
        <v>889</v>
      </c>
      <c r="C12" s="20" t="s">
        <v>914</v>
      </c>
      <c r="D12" s="20" t="s">
        <v>915</v>
      </c>
    </row>
    <row r="13" customFormat="false" ht="15" hidden="false" customHeight="false" outlineLevel="0" collapsed="false">
      <c r="B13" s="7" t="s">
        <v>916</v>
      </c>
      <c r="C13" s="8" t="n">
        <f aca="false">COUNTIF(Scoring!$Y$2:$Y$401,$B13)</f>
        <v>313</v>
      </c>
      <c r="D13" s="21" t="n">
        <f aca="false">$C13/400</f>
        <v>0.7825</v>
      </c>
    </row>
    <row r="14" customFormat="false" ht="15" hidden="false" customHeight="false" outlineLevel="0" collapsed="false">
      <c r="B14" s="7" t="s">
        <v>917</v>
      </c>
      <c r="C14" s="8" t="n">
        <f aca="false">COUNTIF(Scoring!$Y$2:$Y$401,$B14)</f>
        <v>87</v>
      </c>
      <c r="D14" s="21" t="n">
        <f aca="false">$C14/400</f>
        <v>0.2175</v>
      </c>
    </row>
    <row r="15" customFormat="false" ht="15" hidden="false" customHeight="false" outlineLevel="0" collapsed="false">
      <c r="B15" s="7" t="s">
        <v>918</v>
      </c>
      <c r="C15" s="8" t="n">
        <f aca="false">COUNTIF(Scoring!$Y$2:$Y$401,$B15)</f>
        <v>0</v>
      </c>
      <c r="D15" s="21" t="n">
        <f aca="false">$C15/400</f>
        <v>0</v>
      </c>
    </row>
    <row r="16" customFormat="false" ht="15" hidden="false" customHeight="false" outlineLevel="0" collapsed="false">
      <c r="B16" s="6" t="s">
        <v>920</v>
      </c>
      <c r="C16" s="24" t="n">
        <f aca="false">COUNTIFS(Scoring!$Y$2:$Y$401,"&lt;&gt;High",Scoring!$AA$2:$AA$401,"High")</f>
        <v>43</v>
      </c>
    </row>
    <row r="19" customFormat="false" ht="15" hidden="false" customHeight="false" outlineLevel="0" collapsed="false">
      <c r="B19" s="6" t="s">
        <v>921</v>
      </c>
    </row>
    <row r="20" customFormat="false" ht="15" hidden="false" customHeight="false" outlineLevel="0" collapsed="false">
      <c r="B20" s="20" t="s">
        <v>890</v>
      </c>
      <c r="C20" s="20" t="s">
        <v>914</v>
      </c>
    </row>
    <row r="21" customFormat="false" ht="15" hidden="false" customHeight="false" outlineLevel="0" collapsed="false">
      <c r="B21" s="7" t="s">
        <v>922</v>
      </c>
      <c r="C21" s="8" t="n">
        <f aca="false">COUNTIF(Scoring!$F$2:$F$401,"&gt;=3")</f>
        <v>11</v>
      </c>
    </row>
    <row r="22" customFormat="false" ht="15" hidden="false" customHeight="false" outlineLevel="0" collapsed="false">
      <c r="B22" s="7" t="s">
        <v>923</v>
      </c>
      <c r="C22" s="8" t="n">
        <f aca="false">SUMPRODUCT(--((Scoring!$H$2:$H$401=5)+(Scoring!$I$2:$I$401=5)+(Scoring!$J$2:$J$401=5)&gt;0))</f>
        <v>5</v>
      </c>
    </row>
    <row r="23" customFormat="false" ht="15" hidden="false" customHeight="false" outlineLevel="0" collapsed="false">
      <c r="B23" s="7" t="s">
        <v>924</v>
      </c>
      <c r="C23" s="8" t="n">
        <f aca="false">COUNTIF(Scoring!$E$2:$E$401,5)</f>
        <v>12</v>
      </c>
    </row>
    <row r="24" customFormat="false" ht="15" hidden="false" customHeight="false" outlineLevel="0" collapsed="false">
      <c r="B24" s="7" t="s">
        <v>925</v>
      </c>
      <c r="C24" s="8" t="n">
        <f aca="false">SUMPRODUCT(--((Scoring!$D$2:$D$401=5)+(Scoring!$C$2:$C$401=5)&gt;0))</f>
        <v>5</v>
      </c>
    </row>
    <row r="25" customFormat="false" ht="15" hidden="false" customHeight="false" outlineLevel="0" collapsed="false">
      <c r="B25" s="7" t="s">
        <v>926</v>
      </c>
      <c r="C25" s="8" t="n">
        <f aca="false">COUNTIF(Scoring!$G$2:$G$401,5)</f>
        <v>2</v>
      </c>
    </row>
    <row r="26" customFormat="false" ht="15" hidden="false" customHeight="false" outlineLevel="0" collapsed="false">
      <c r="B26" s="7" t="s">
        <v>927</v>
      </c>
      <c r="C26" s="8" t="n">
        <f aca="false">COUNTIF(Customers!$W$2:$W$401,"Yes")</f>
        <v>11</v>
      </c>
    </row>
    <row r="27" customFormat="false" ht="15" hidden="false" customHeight="false" outlineLevel="0" collapsed="false">
      <c r="B27" s="6" t="s">
        <v>928</v>
      </c>
      <c r="C27" s="15" t="n">
        <f aca="false">COUNTIF(Scoring!$Z$2:$Z$401,"Yes")</f>
        <v>43</v>
      </c>
    </row>
    <row r="28" customFormat="false" ht="15" hidden="false" customHeight="false" outlineLevel="0" collapsed="false">
      <c r="B28" s="7" t="s">
        <v>929</v>
      </c>
      <c r="C28" s="8" t="n">
        <f aca="false">SUMPRODUCT((Customers!$W$2:$W$401="Yes")*--((Scoring!$F$2:$F$401&gt;=3)+(Scoring!$E$2:$E$401=5)+(Scoring!$D$2:$D$401=5)+(Scoring!$C$2:$C$401=5)+(Scoring!$G$2:$G$401=5)+(Scoring!$H$2:$H$401=5)+(Scoring!$I$2:$I$401=5)+(Scoring!$J$2:$J$401=5)=0))</f>
        <v>11</v>
      </c>
    </row>
    <row r="31" customFormat="false" ht="15" hidden="false" customHeight="false" outlineLevel="0" collapsed="false">
      <c r="B31" s="6" t="s">
        <v>930</v>
      </c>
    </row>
    <row r="32" customFormat="false" ht="15" hidden="false" customHeight="false" outlineLevel="0" collapsed="false">
      <c r="B32" s="20" t="s">
        <v>931</v>
      </c>
      <c r="C32" s="20" t="s">
        <v>916</v>
      </c>
      <c r="D32" s="20" t="s">
        <v>917</v>
      </c>
      <c r="E32" s="20" t="s">
        <v>918</v>
      </c>
      <c r="F32" s="20" t="s">
        <v>157</v>
      </c>
    </row>
    <row r="33" customFormat="false" ht="15" hidden="false" customHeight="false" outlineLevel="0" collapsed="false">
      <c r="B33" s="7" t="s">
        <v>165</v>
      </c>
      <c r="C33" s="8" t="n">
        <f aca="false">COUNTIFS(Scoring!$B$2:$B$401,$B33,Scoring!$AA$2:$AA$401,"Low")</f>
        <v>280</v>
      </c>
      <c r="D33" s="8" t="n">
        <f aca="false">COUNTIFS(Scoring!$B$2:$B$401,$B33,Scoring!$AA$2:$AA$401,"Medium")</f>
        <v>0</v>
      </c>
      <c r="E33" s="8" t="n">
        <f aca="false">COUNTIFS(Scoring!$B$2:$B$401,$B33,Scoring!$AA$2:$AA$401,"High")</f>
        <v>20</v>
      </c>
      <c r="F33" s="15" t="n">
        <f aca="false">SUM($C33:$E33)</f>
        <v>300</v>
      </c>
    </row>
    <row r="34" customFormat="false" ht="15" hidden="false" customHeight="false" outlineLevel="0" collapsed="false">
      <c r="B34" s="7" t="s">
        <v>206</v>
      </c>
      <c r="C34" s="8" t="n">
        <f aca="false">COUNTIFS(Scoring!$B$2:$B$401,$B34,Scoring!$AA$2:$AA$401,"Low")</f>
        <v>15</v>
      </c>
      <c r="D34" s="8" t="n">
        <f aca="false">COUNTIFS(Scoring!$B$2:$B$401,$B34,Scoring!$AA$2:$AA$401,"Medium")</f>
        <v>36</v>
      </c>
      <c r="E34" s="8" t="n">
        <f aca="false">COUNTIFS(Scoring!$B$2:$B$401,$B34,Scoring!$AA$2:$AA$401,"High")</f>
        <v>9</v>
      </c>
      <c r="F34" s="15" t="n">
        <f aca="false">SUM($C34:$E34)</f>
        <v>60</v>
      </c>
    </row>
    <row r="35" customFormat="false" ht="15" hidden="false" customHeight="false" outlineLevel="0" collapsed="false">
      <c r="B35" s="7" t="s">
        <v>193</v>
      </c>
      <c r="C35" s="8" t="n">
        <f aca="false">COUNTIFS(Scoring!$B$2:$B$401,$B35,Scoring!$AA$2:$AA$401,"Low")</f>
        <v>0</v>
      </c>
      <c r="D35" s="8" t="n">
        <f aca="false">COUNTIFS(Scoring!$B$2:$B$401,$B35,Scoring!$AA$2:$AA$401,"Medium")</f>
        <v>26</v>
      </c>
      <c r="E35" s="8" t="n">
        <f aca="false">COUNTIFS(Scoring!$B$2:$B$401,$B35,Scoring!$AA$2:$AA$401,"High")</f>
        <v>14</v>
      </c>
      <c r="F35" s="15" t="n">
        <f aca="false">SUM($C35:$E35)</f>
        <v>40</v>
      </c>
    </row>
    <row r="38" customFormat="false" ht="15" hidden="false" customHeight="false" outlineLevel="0" collapsed="false">
      <c r="B38" s="6" t="s">
        <v>932</v>
      </c>
    </row>
    <row r="39" customFormat="false" ht="15" hidden="false" customHeight="false" outlineLevel="0" collapsed="false">
      <c r="B39" s="20" t="s">
        <v>143</v>
      </c>
      <c r="C39" s="20" t="s">
        <v>933</v>
      </c>
      <c r="D39" s="20" t="s">
        <v>934</v>
      </c>
      <c r="E39" s="20" t="s">
        <v>935</v>
      </c>
      <c r="F39" s="20" t="s">
        <v>936</v>
      </c>
      <c r="G39" s="20" t="s">
        <v>937</v>
      </c>
    </row>
    <row r="40" customFormat="false" ht="15" hidden="false" customHeight="false" outlineLevel="0" collapsed="false">
      <c r="B40" s="7" t="s">
        <v>148</v>
      </c>
      <c r="C40" s="18" t="n">
        <f aca="false">AVERAGE(Scoring!$AB$2:$AB$401)</f>
        <v>1.4625</v>
      </c>
      <c r="D40" s="18" t="n">
        <f aca="false">MIN(Scoring!$AB$2:$AB$401)</f>
        <v>1</v>
      </c>
      <c r="E40" s="18" t="n">
        <f aca="false">MAX(Scoring!$AB$2:$AB$401)</f>
        <v>3.3</v>
      </c>
      <c r="F40" s="18" t="n">
        <f aca="false">STDEV(Scoring!$AB$2:$AB$401)</f>
        <v>0.485884718734546</v>
      </c>
      <c r="G40" s="21" t="n">
        <f aca="false">SUMPRODUCT(--(Scoring!$AB$2:$AB$401=MIN(Scoring!$AB$2:$AB$401)))/400</f>
        <v>0.3325</v>
      </c>
    </row>
    <row r="41" customFormat="false" ht="15" hidden="false" customHeight="false" outlineLevel="0" collapsed="false">
      <c r="B41" s="7" t="s">
        <v>149</v>
      </c>
      <c r="C41" s="18" t="n">
        <f aca="false">AVERAGE(Scoring!$AC$2:$AC$401)</f>
        <v>1.1605</v>
      </c>
      <c r="D41" s="18" t="n">
        <f aca="false">MIN(Scoring!$AC$2:$AC$401)</f>
        <v>1</v>
      </c>
      <c r="E41" s="18" t="n">
        <f aca="false">MAX(Scoring!$AC$2:$AC$401)</f>
        <v>2.8</v>
      </c>
      <c r="F41" s="18" t="n">
        <f aca="false">STDEV(Scoring!$AC$2:$AC$401)</f>
        <v>0.302271683136322</v>
      </c>
      <c r="G41" s="21" t="n">
        <f aca="false">SUMPRODUCT(--(Scoring!$AC$2:$AC$401=MIN(Scoring!$AC$2:$AC$401)))/400</f>
        <v>0.695</v>
      </c>
    </row>
    <row r="42" customFormat="false" ht="15" hidden="false" customHeight="false" outlineLevel="0" collapsed="false">
      <c r="B42" s="7" t="s">
        <v>150</v>
      </c>
      <c r="C42" s="18" t="n">
        <f aca="false">AVERAGE(Scoring!$AD$2:$AD$401)</f>
        <v>2.423625</v>
      </c>
      <c r="D42" s="18" t="n">
        <f aca="false">MIN(Scoring!$AD$2:$AD$401)</f>
        <v>1.25</v>
      </c>
      <c r="E42" s="18" t="n">
        <f aca="false">MAX(Scoring!$AD$2:$AD$401)</f>
        <v>4.45</v>
      </c>
      <c r="F42" s="18" t="n">
        <f aca="false">STDEV(Scoring!$AD$2:$AD$401)</f>
        <v>0.689301058499202</v>
      </c>
      <c r="G42" s="21" t="n">
        <f aca="false">SUMPRODUCT(--(Scoring!$AD$2:$AD$401=MIN(Scoring!$AD$2:$AD$401)))/400</f>
        <v>0.0175</v>
      </c>
    </row>
    <row r="43" customFormat="false" ht="15" hidden="false" customHeight="false" outlineLevel="0" collapsed="false">
      <c r="B43" s="7" t="s">
        <v>151</v>
      </c>
      <c r="C43" s="18" t="n">
        <f aca="false">AVERAGE(Scoring!$AE$2:$AE$401)</f>
        <v>2.66675</v>
      </c>
      <c r="D43" s="18" t="n">
        <f aca="false">MIN(Scoring!$AE$2:$AE$401)</f>
        <v>1</v>
      </c>
      <c r="E43" s="18" t="n">
        <f aca="false">MAX(Scoring!$AE$2:$AE$401)</f>
        <v>4.2</v>
      </c>
      <c r="F43" s="18" t="n">
        <f aca="false">STDEV(Scoring!$AE$2:$AE$401)</f>
        <v>0.538441487618638</v>
      </c>
      <c r="G43" s="21" t="n">
        <f aca="false">SUMPRODUCT(--(Scoring!$AE$2:$AE$401=MIN(Scoring!$AE$2:$AE$401)))/400</f>
        <v>0.01</v>
      </c>
    </row>
    <row r="44" customFormat="false" ht="15" hidden="false" customHeight="false" outlineLevel="0" collapsed="false">
      <c r="B44" s="7" t="s">
        <v>152</v>
      </c>
      <c r="C44" s="18" t="n">
        <f aca="false">AVERAGE(Scoring!$AF$2:$AF$401)</f>
        <v>1.75775</v>
      </c>
      <c r="D44" s="18" t="n">
        <f aca="false">MIN(Scoring!$AF$2:$AF$401)</f>
        <v>1</v>
      </c>
      <c r="E44" s="18" t="n">
        <f aca="false">MAX(Scoring!$AF$2:$AF$401)</f>
        <v>3.45</v>
      </c>
      <c r="F44" s="18" t="n">
        <f aca="false">STDEV(Scoring!$AF$2:$AF$401)</f>
        <v>0.531055540851116</v>
      </c>
      <c r="G44" s="21" t="n">
        <f aca="false">SUMPRODUCT(--(Scoring!$AF$2:$AF$401=MIN(Scoring!$AF$2:$AF$401)))/400</f>
        <v>0.065</v>
      </c>
    </row>
    <row r="45" customFormat="false" ht="15" hidden="false" customHeight="true" outlineLevel="0" collapsed="false">
      <c r="B45" s="25" t="s">
        <v>938</v>
      </c>
      <c r="C45" s="25"/>
      <c r="D45" s="25"/>
      <c r="E45" s="25"/>
      <c r="F45" s="25"/>
      <c r="G45" s="25"/>
    </row>
    <row r="46" customFormat="false" ht="15" hidden="false" customHeight="false" outlineLevel="0" collapsed="false">
      <c r="B46" s="25"/>
      <c r="C46" s="25"/>
      <c r="D46" s="25"/>
      <c r="E46" s="25"/>
      <c r="F46" s="25"/>
      <c r="G46" s="25"/>
    </row>
    <row r="48" customFormat="false" ht="15" hidden="false" customHeight="false" outlineLevel="0" collapsed="false">
      <c r="B48" s="6" t="s">
        <v>939</v>
      </c>
    </row>
    <row r="49" customFormat="false" ht="15" hidden="false" customHeight="false" outlineLevel="0" collapsed="false">
      <c r="B49" s="20" t="s">
        <v>940</v>
      </c>
      <c r="C49" s="20" t="s">
        <v>941</v>
      </c>
    </row>
    <row r="50" customFormat="false" ht="15" hidden="false" customHeight="false" outlineLevel="0" collapsed="false">
      <c r="B50" s="7" t="s">
        <v>933</v>
      </c>
      <c r="C50" s="18" t="n">
        <f aca="false">AVERAGE(Scoring!$W$2:$W$401)</f>
        <v>1.7439375</v>
      </c>
    </row>
    <row r="51" customFormat="false" ht="15" hidden="false" customHeight="false" outlineLevel="0" collapsed="false">
      <c r="B51" s="7" t="s">
        <v>934</v>
      </c>
      <c r="C51" s="18" t="n">
        <f aca="false">MIN(Scoring!$W$2:$W$401)</f>
        <v>1.185</v>
      </c>
    </row>
    <row r="52" customFormat="false" ht="15" hidden="false" customHeight="false" outlineLevel="0" collapsed="false">
      <c r="B52" s="7" t="s">
        <v>935</v>
      </c>
      <c r="C52" s="18" t="n">
        <f aca="false">MAX(Scoring!$W$2:$W$401)</f>
        <v>2.7625</v>
      </c>
    </row>
    <row r="53" customFormat="false" ht="15" hidden="false" customHeight="false" outlineLevel="0" collapsed="false">
      <c r="B53" s="7" t="s">
        <v>942</v>
      </c>
      <c r="C53" s="18" t="n">
        <f aca="false">STDEV(Scoring!$W$2:$W$401)</f>
        <v>0.327318885378714</v>
      </c>
    </row>
    <row r="54" customFormat="false" ht="15" hidden="false" customHeight="false" outlineLevel="0" collapsed="false">
      <c r="B54" s="7" t="s">
        <v>943</v>
      </c>
      <c r="C54" s="8" t="n">
        <f aca="false">COUNTIFS(Scoring!$X$2:$X$401,"&gt;=1.91",Scoring!$X$2:$X$401,"&lt;=2.10")</f>
        <v>37</v>
      </c>
    </row>
    <row r="57" customFormat="false" ht="15" hidden="false" customHeight="false" outlineLevel="0" collapsed="false">
      <c r="B57" s="6" t="s">
        <v>944</v>
      </c>
    </row>
    <row r="58" customFormat="false" ht="15" hidden="false" customHeight="false" outlineLevel="0" collapsed="false">
      <c r="B58" s="20" t="s">
        <v>945</v>
      </c>
      <c r="C58" s="20" t="s">
        <v>946</v>
      </c>
      <c r="D58" s="20" t="s">
        <v>914</v>
      </c>
    </row>
    <row r="59" customFormat="false" ht="15" hidden="false" customHeight="false" outlineLevel="0" collapsed="false">
      <c r="B59" s="18" t="n">
        <v>1</v>
      </c>
      <c r="C59" s="18" t="n">
        <v>1.25</v>
      </c>
      <c r="D59" s="8" t="n">
        <f aca="false">COUNTIFS(Scoring!$W$2:$W$401,"&gt;=1.00",Scoring!$W$2:$W$401,"&lt;1.25")</f>
        <v>1</v>
      </c>
    </row>
    <row r="60" customFormat="false" ht="15" hidden="false" customHeight="false" outlineLevel="0" collapsed="false">
      <c r="B60" s="18" t="n">
        <v>1.25</v>
      </c>
      <c r="C60" s="18" t="n">
        <v>1.5</v>
      </c>
      <c r="D60" s="8" t="n">
        <f aca="false">COUNTIFS(Scoring!$W$2:$W$401,"&gt;=1.25",Scoring!$W$2:$W$401,"&lt;1.50")</f>
        <v>95</v>
      </c>
    </row>
    <row r="61" customFormat="false" ht="15" hidden="false" customHeight="false" outlineLevel="0" collapsed="false">
      <c r="B61" s="18" t="n">
        <v>1.5</v>
      </c>
      <c r="C61" s="18" t="n">
        <v>1.75</v>
      </c>
      <c r="D61" s="8" t="n">
        <f aca="false">COUNTIFS(Scoring!$W$2:$W$401,"&gt;=1.50",Scoring!$W$2:$W$401,"&lt;1.75")</f>
        <v>161</v>
      </c>
    </row>
    <row r="62" customFormat="false" ht="15" hidden="false" customHeight="false" outlineLevel="0" collapsed="false">
      <c r="B62" s="18" t="n">
        <v>1.75</v>
      </c>
      <c r="C62" s="18" t="n">
        <v>2</v>
      </c>
      <c r="D62" s="8" t="n">
        <f aca="false">COUNTIFS(Scoring!$W$2:$W$401,"&gt;=1.75",Scoring!$W$2:$W$401,"&lt;2.00")</f>
        <v>55</v>
      </c>
    </row>
    <row r="63" customFormat="false" ht="15" hidden="false" customHeight="false" outlineLevel="0" collapsed="false">
      <c r="B63" s="18" t="n">
        <v>2</v>
      </c>
      <c r="C63" s="18" t="n">
        <v>2.25</v>
      </c>
      <c r="D63" s="8" t="n">
        <f aca="false">COUNTIFS(Scoring!$W$2:$W$401,"&gt;=2.00",Scoring!$W$2:$W$401,"&lt;2.25")</f>
        <v>49</v>
      </c>
    </row>
    <row r="64" customFormat="false" ht="15" hidden="false" customHeight="false" outlineLevel="0" collapsed="false">
      <c r="B64" s="18" t="n">
        <v>2.25</v>
      </c>
      <c r="C64" s="18" t="n">
        <v>2.5</v>
      </c>
      <c r="D64" s="8" t="n">
        <f aca="false">COUNTIFS(Scoring!$W$2:$W$401,"&gt;=2.25",Scoring!$W$2:$W$401,"&lt;2.50")</f>
        <v>26</v>
      </c>
    </row>
    <row r="65" customFormat="false" ht="15" hidden="false" customHeight="false" outlineLevel="0" collapsed="false">
      <c r="B65" s="18" t="n">
        <v>2.5</v>
      </c>
      <c r="C65" s="18" t="n">
        <v>2.75</v>
      </c>
      <c r="D65" s="8" t="n">
        <f aca="false">COUNTIFS(Scoring!$W$2:$W$401,"&gt;=2.50",Scoring!$W$2:$W$401,"&lt;2.75")</f>
        <v>12</v>
      </c>
    </row>
    <row r="66" customFormat="false" ht="15" hidden="false" customHeight="false" outlineLevel="0" collapsed="false">
      <c r="B66" s="18" t="n">
        <v>2.75</v>
      </c>
      <c r="C66" s="18" t="n">
        <v>3</v>
      </c>
      <c r="D66" s="8" t="n">
        <f aca="false">COUNTIFS(Scoring!$W$2:$W$401,"&gt;=2.75",Scoring!$W$2:$W$401,"&lt;3.00")</f>
        <v>1</v>
      </c>
    </row>
    <row r="67" customFormat="false" ht="15" hidden="false" customHeight="false" outlineLevel="0" collapsed="false">
      <c r="B67" s="18" t="n">
        <v>3</v>
      </c>
      <c r="C67" s="18" t="n">
        <v>3.25</v>
      </c>
      <c r="D67" s="8" t="n">
        <f aca="false">COUNTIFS(Scoring!$W$2:$W$401,"&gt;=3.00",Scoring!$W$2:$W$401,"&lt;3.25")</f>
        <v>0</v>
      </c>
    </row>
    <row r="68" customFormat="false" ht="15" hidden="false" customHeight="false" outlineLevel="0" collapsed="false">
      <c r="B68" s="18" t="n">
        <v>3.25</v>
      </c>
      <c r="C68" s="18" t="n">
        <v>3.5</v>
      </c>
      <c r="D68" s="8" t="n">
        <f aca="false">COUNTIFS(Scoring!$W$2:$W$401,"&gt;=3.25",Scoring!$W$2:$W$401,"&lt;3.50")</f>
        <v>0</v>
      </c>
    </row>
    <row r="69" customFormat="false" ht="15" hidden="false" customHeight="false" outlineLevel="0" collapsed="false">
      <c r="B69" s="18" t="n">
        <v>3.5</v>
      </c>
      <c r="C69" s="18" t="n">
        <v>3.75</v>
      </c>
      <c r="D69" s="8" t="n">
        <f aca="false">COUNTIFS(Scoring!$W$2:$W$401,"&gt;=3.50",Scoring!$W$2:$W$401,"&lt;3.75")</f>
        <v>0</v>
      </c>
    </row>
    <row r="70" customFormat="false" ht="15" hidden="false" customHeight="false" outlineLevel="0" collapsed="false">
      <c r="B70" s="18" t="n">
        <v>3.75</v>
      </c>
      <c r="C70" s="18" t="n">
        <v>4</v>
      </c>
      <c r="D70" s="8" t="n">
        <f aca="false">COUNTIFS(Scoring!$W$2:$W$401,"&gt;=3.75",Scoring!$W$2:$W$401,"&lt;4.00")</f>
        <v>0</v>
      </c>
    </row>
    <row r="71" customFormat="false" ht="15" hidden="false" customHeight="false" outlineLevel="0" collapsed="false">
      <c r="B71" s="18" t="n">
        <v>4</v>
      </c>
      <c r="C71" s="18" t="n">
        <v>4.25</v>
      </c>
      <c r="D71" s="8" t="n">
        <f aca="false">COUNTIFS(Scoring!$W$2:$W$401,"&gt;=4.00",Scoring!$W$2:$W$401,"&lt;4.25")</f>
        <v>0</v>
      </c>
    </row>
    <row r="72" customFormat="false" ht="15" hidden="false" customHeight="false" outlineLevel="0" collapsed="false">
      <c r="B72" s="18" t="n">
        <v>4.25</v>
      </c>
      <c r="C72" s="18" t="n">
        <v>4.5</v>
      </c>
      <c r="D72" s="8" t="n">
        <f aca="false">COUNTIFS(Scoring!$W$2:$W$401,"&gt;=4.25",Scoring!$W$2:$W$401,"&lt;4.50")</f>
        <v>0</v>
      </c>
    </row>
    <row r="73" customFormat="false" ht="15" hidden="false" customHeight="false" outlineLevel="0" collapsed="false">
      <c r="B73" s="18" t="n">
        <v>4.5</v>
      </c>
      <c r="C73" s="18" t="n">
        <v>4.75</v>
      </c>
      <c r="D73" s="8" t="n">
        <f aca="false">COUNTIFS(Scoring!$W$2:$W$401,"&gt;=4.50",Scoring!$W$2:$W$401,"&lt;4.75")</f>
        <v>0</v>
      </c>
    </row>
    <row r="74" customFormat="false" ht="15" hidden="false" customHeight="false" outlineLevel="0" collapsed="false">
      <c r="B74" s="18" t="n">
        <v>4.75</v>
      </c>
      <c r="C74" s="18" t="n">
        <v>5</v>
      </c>
      <c r="D74" s="8" t="n">
        <f aca="false">COUNTIFS(Scoring!$W$2:$W$401,"&gt;=4.75",Scoring!$W$2:$W$401,"&lt;5.00")</f>
        <v>0</v>
      </c>
    </row>
  </sheetData>
  <mergeCells count="1">
    <mergeCell ref="B45:G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6"/>
    <col collapsed="false" customWidth="true" hidden="false" outlineLevel="0" max="5" min="3" style="0" width="12"/>
  </cols>
  <sheetData>
    <row r="1" customFormat="false" ht="17.35" hidden="false" customHeight="false" outlineLevel="0" collapsed="false">
      <c r="A1" s="19" t="s">
        <v>947</v>
      </c>
    </row>
    <row r="2" customFormat="false" ht="15" hidden="false" customHeight="false" outlineLevel="0" collapsed="false">
      <c r="A2" s="14" t="s">
        <v>948</v>
      </c>
    </row>
    <row r="4" customFormat="false" ht="30" hidden="false" customHeight="true" outlineLevel="0" collapsed="false">
      <c r="A4" s="5" t="s">
        <v>949</v>
      </c>
      <c r="B4" s="5" t="s">
        <v>950</v>
      </c>
      <c r="C4" s="5" t="s">
        <v>951</v>
      </c>
      <c r="D4" s="5" t="s">
        <v>952</v>
      </c>
      <c r="E4" s="5" t="s">
        <v>953</v>
      </c>
    </row>
    <row r="5" customFormat="false" ht="15" hidden="false" customHeight="false" outlineLevel="0" collapsed="false">
      <c r="A5" s="26" t="n">
        <v>1</v>
      </c>
      <c r="B5" s="27" t="s">
        <v>954</v>
      </c>
      <c r="C5" s="26" t="n">
        <f aca="false">COUNTA(Scoring!$A$2:$A$401)</f>
        <v>400</v>
      </c>
      <c r="D5" s="26" t="n">
        <v>400</v>
      </c>
      <c r="E5" s="28" t="str">
        <f aca="false">IF($C5=$D5,"OK","CHECK")</f>
        <v>OK</v>
      </c>
    </row>
    <row r="6" customFormat="false" ht="15" hidden="false" customHeight="false" outlineLevel="0" collapsed="false">
      <c r="A6" s="26" t="n">
        <v>2</v>
      </c>
      <c r="B6" s="27" t="s">
        <v>955</v>
      </c>
      <c r="C6" s="26" t="n">
        <f aca="false">SUMPRODUCT(--ISNA(Scoring!$C$2:$V$401))</f>
        <v>0</v>
      </c>
      <c r="D6" s="26" t="n">
        <v>0</v>
      </c>
      <c r="E6" s="28" t="str">
        <f aca="false">IF($C6=$D6,"OK","CHECK")</f>
        <v>OK</v>
      </c>
    </row>
    <row r="7" customFormat="false" ht="15" hidden="false" customHeight="false" outlineLevel="0" collapsed="false">
      <c r="A7" s="26" t="n">
        <v>3</v>
      </c>
      <c r="B7" s="27" t="s">
        <v>956</v>
      </c>
      <c r="C7" s="26" t="n">
        <f aca="false">SUMPRODUCT(--((Scoring!$C$2:$V$401&lt;1)+(Scoring!$C$2:$V$401&gt;5)&gt;0))</f>
        <v>0</v>
      </c>
      <c r="D7" s="26" t="n">
        <v>0</v>
      </c>
      <c r="E7" s="28" t="str">
        <f aca="false">IF($C7=$D7,"OK","CHECK")</f>
        <v>OK</v>
      </c>
    </row>
    <row r="8" customFormat="false" ht="15" hidden="false" customHeight="false" outlineLevel="0" collapsed="false">
      <c r="A8" s="26" t="n">
        <v>4</v>
      </c>
      <c r="B8" s="27" t="s">
        <v>957</v>
      </c>
      <c r="C8" s="26" t="n">
        <f aca="false">ROUND(SUM(Weights!$C$2:$C$21),6)</f>
        <v>1</v>
      </c>
      <c r="D8" s="26" t="n">
        <v>1</v>
      </c>
      <c r="E8" s="28" t="str">
        <f aca="false">IF($C8=$D8,"OK","CHECK")</f>
        <v>OK</v>
      </c>
    </row>
    <row r="9" customFormat="false" ht="15" hidden="false" customHeight="false" outlineLevel="0" collapsed="false">
      <c r="A9" s="26" t="n">
        <v>5</v>
      </c>
      <c r="B9" s="27" t="s">
        <v>958</v>
      </c>
      <c r="C9" s="26" t="n">
        <f aca="false">ROUND(SUM(Weights!$D$2:$D$21),6)</f>
        <v>5</v>
      </c>
      <c r="D9" s="26" t="n">
        <v>5</v>
      </c>
      <c r="E9" s="28" t="str">
        <f aca="false">IF($C9=$D9,"OK","CHECK")</f>
        <v>OK</v>
      </c>
    </row>
    <row r="10" customFormat="false" ht="15" hidden="false" customHeight="false" outlineLevel="0" collapsed="false">
      <c r="A10" s="26" t="n">
        <v>6</v>
      </c>
      <c r="B10" s="27" t="s">
        <v>959</v>
      </c>
      <c r="C10" s="26" t="n">
        <f aca="false">SUMPRODUCT(--(Scoring!$W$2:$W$401&lt;1))</f>
        <v>0</v>
      </c>
      <c r="D10" s="26" t="n">
        <v>0</v>
      </c>
      <c r="E10" s="28" t="str">
        <f aca="false">IF($C10=$D10,"OK","CHECK")</f>
        <v>OK</v>
      </c>
    </row>
    <row r="11" customFormat="false" ht="15" hidden="false" customHeight="false" outlineLevel="0" collapsed="false">
      <c r="A11" s="26" t="n">
        <v>7</v>
      </c>
      <c r="B11" s="27" t="s">
        <v>960</v>
      </c>
      <c r="C11" s="26" t="n">
        <f aca="false">SUMPRODUCT(--(Scoring!$W$2:$W$401&gt;5))</f>
        <v>0</v>
      </c>
      <c r="D11" s="26" t="n">
        <v>0</v>
      </c>
      <c r="E11" s="28" t="str">
        <f aca="false">IF($C11=$D11,"OK","CHECK")</f>
        <v>OK</v>
      </c>
    </row>
    <row r="12" customFormat="false" ht="15" hidden="false" customHeight="false" outlineLevel="0" collapsed="false">
      <c r="A12" s="26" t="n">
        <v>8</v>
      </c>
      <c r="B12" s="27" t="s">
        <v>961</v>
      </c>
      <c r="C12" s="26" t="n">
        <f aca="false">SUMPRODUCT(--(Scoring!$Z$2:$Z$401="No"),--(Scoring!$AA$2:$AA$401&lt;&gt;Scoring!$Y$2:$Y$401))</f>
        <v>0</v>
      </c>
      <c r="D12" s="26" t="n">
        <v>0</v>
      </c>
      <c r="E12" s="28" t="str">
        <f aca="false">IF($C12=$D12,"OK","CHECK")</f>
        <v>OK</v>
      </c>
    </row>
    <row r="13" customFormat="false" ht="15" hidden="false" customHeight="false" outlineLevel="0" collapsed="false">
      <c r="A13" s="26" t="n">
        <v>9</v>
      </c>
      <c r="B13" s="27" t="s">
        <v>962</v>
      </c>
      <c r="C13" s="26" t="n">
        <f aca="false">SUMPRODUCT(--(Scoring!$Z$2:$Z$401="Yes"),--(Scoring!$AA$2:$AA$401&lt;&gt;"High"))</f>
        <v>0</v>
      </c>
      <c r="D13" s="26" t="n">
        <v>0</v>
      </c>
      <c r="E13" s="28" t="str">
        <f aca="false">IF($C13=$D13,"OK","CHECK")</f>
        <v>OK</v>
      </c>
    </row>
    <row r="14" customFormat="false" ht="15" hidden="false" customHeight="false" outlineLevel="0" collapsed="false">
      <c r="A14" s="26" t="n">
        <v>10</v>
      </c>
      <c r="B14" s="27" t="s">
        <v>963</v>
      </c>
      <c r="C14" s="26" t="n">
        <f aca="false">SUMPRODUCT(--(COUNTIF(Scoring!$A$2:$A$401,Scoring!$A$2:$A$401)&gt;1))</f>
        <v>0</v>
      </c>
      <c r="D14" s="26" t="n">
        <v>0</v>
      </c>
      <c r="E14" s="28" t="str">
        <f aca="false">IF($C14=$D14,"OK","CHECK")</f>
        <v>OK</v>
      </c>
    </row>
    <row r="15" customFormat="false" ht="15" hidden="false" customHeight="false" outlineLevel="0" collapsed="false">
      <c r="A15" s="26" t="n">
        <v>11</v>
      </c>
      <c r="B15" s="27" t="s">
        <v>964</v>
      </c>
      <c r="C15" s="26" t="n">
        <f aca="false">SUMPRODUCT(--(ROUND(Scoring!$AB$2:$AB$401*Weights!$H$2+Scoring!$AC$2:$AC$401*Weights!$H$3+Scoring!$AD$2:$AD$401*Weights!$H$4+Scoring!$AE$2:$AE$401*Weights!$H$5+Scoring!$AF$2:$AF$401*Weights!$H$6,6)&lt;&gt;ROUND(Scoring!$W$2:$W$401,6)))</f>
        <v>0</v>
      </c>
      <c r="D15" s="26" t="n">
        <v>0</v>
      </c>
      <c r="E15" s="28" t="str">
        <f aca="false">IF($C15=$D15,"OK","CHECK")</f>
        <v>OK</v>
      </c>
    </row>
    <row r="16" customFormat="false" ht="15" hidden="false" customHeight="false" outlineLevel="0" collapsed="false">
      <c r="A16" s="26" t="n">
        <v>12</v>
      </c>
      <c r="B16" s="27" t="s">
        <v>965</v>
      </c>
      <c r="C16" s="26" t="n">
        <f aca="false">SUMPRODUCT(--(COUNTIF(Mapping!$D$2:$D$99,Mapping!$D$2:$D$99)&gt;1))</f>
        <v>0</v>
      </c>
      <c r="D16" s="26" t="n">
        <v>0</v>
      </c>
      <c r="E16" s="28" t="str">
        <f aca="false">IF($C16=$D16,"OK","CHECK")</f>
        <v>OK</v>
      </c>
    </row>
    <row r="17" customFormat="false" ht="15" hidden="false" customHeight="false" outlineLevel="0" collapsed="false">
      <c r="A17" s="26" t="n">
        <v>13</v>
      </c>
      <c r="B17" s="27" t="s">
        <v>966</v>
      </c>
      <c r="C17" s="26" t="n">
        <f aca="false">SUMPRODUCT(--ISNA(Backtest!$W$4:$AP$16))</f>
        <v>0</v>
      </c>
      <c r="D17" s="26" t="n">
        <v>0</v>
      </c>
      <c r="E17" s="28" t="str">
        <f aca="false">IF($C17=$D17,"OK","CHECK")</f>
        <v>OK</v>
      </c>
    </row>
    <row r="18" customFormat="false" ht="15" hidden="false" customHeight="false" outlineLevel="0" collapsed="false">
      <c r="A18" s="26" t="n">
        <v>14</v>
      </c>
      <c r="B18" s="27" t="s">
        <v>967</v>
      </c>
      <c r="C18" s="26" t="n">
        <f aca="false">ROUND(SUMPRODUCT(Backtest!$W$4:$AP$4,Weights!$C$27:$V$27)-Backtest!$AQ$4,9)</f>
        <v>0</v>
      </c>
      <c r="D18" s="26" t="n">
        <v>0</v>
      </c>
      <c r="E18" s="28" t="str">
        <f aca="false">IF($C18=$D18,"OK","CHECK")</f>
        <v>OK</v>
      </c>
    </row>
    <row r="19" customFormat="false" ht="15" hidden="false" customHeight="false" outlineLevel="0" collapsed="false">
      <c r="A19" s="26" t="n">
        <v>15</v>
      </c>
      <c r="B19" s="27" t="s">
        <v>968</v>
      </c>
      <c r="C19" s="26" t="n">
        <f aca="false">SUMPRODUCT(--(Backtest!$W$4:$AP$4&lt;&gt;Backtest!$W$5:$AP$5))</f>
        <v>1</v>
      </c>
      <c r="D19" s="26" t="n">
        <v>1</v>
      </c>
      <c r="E19" s="28" t="str">
        <f aca="false">IF($C19=$D19,"OK","CHECK")</f>
        <v>OK</v>
      </c>
    </row>
    <row r="20" customFormat="false" ht="15" hidden="false" customHeight="false" outlineLevel="0" collapsed="false">
      <c r="A20" s="26" t="n">
        <v>16</v>
      </c>
      <c r="B20" s="27" t="s">
        <v>969</v>
      </c>
      <c r="C20" s="26" t="n">
        <f aca="false">SUMPRODUCT(--(Backtest!$W$4:$AP$4&gt;Backtest!$W$6:$AP$6))</f>
        <v>0</v>
      </c>
      <c r="D20" s="26" t="n">
        <v>0</v>
      </c>
      <c r="E20" s="28" t="str">
        <f aca="false">IF($C20=$D20,"OK","CHECK")</f>
        <v>OK</v>
      </c>
    </row>
    <row r="21" customFormat="false" ht="15" hidden="false" customHeight="false" outlineLevel="0" collapsed="false">
      <c r="A21" s="26" t="n">
        <v>17</v>
      </c>
      <c r="B21" s="27" t="s">
        <v>970</v>
      </c>
      <c r="C21" s="26" t="n">
        <f aca="false">SUMPRODUCT(--(ROUND(MMULT(Validation!$D$7:$H$16,{1;1;1;1;1}),6)&lt;&gt;1))</f>
        <v>0</v>
      </c>
      <c r="D21" s="26" t="n">
        <v>0</v>
      </c>
      <c r="E21" s="28" t="str">
        <f aca="false">IF($C21=$D21,"OK","CHECK")</f>
        <v>OK</v>
      </c>
    </row>
    <row r="22" customFormat="false" ht="15" hidden="false" customHeight="false" outlineLevel="0" collapsed="false">
      <c r="A22" s="26" t="n">
        <v>18</v>
      </c>
      <c r="B22" s="27" t="s">
        <v>971</v>
      </c>
      <c r="C22" s="26" t="n">
        <f aca="false">SUMPRODUCT(--((Scoring!$AS$2:$AS$401="High")+(Scoring!$AT$2:$AT$401="High")&gt;0),--(Scoring!$AU$2:$AU$401&lt;&gt;"High"))</f>
        <v>0</v>
      </c>
      <c r="D22" s="26" t="n">
        <v>0</v>
      </c>
      <c r="E22" s="28" t="str">
        <f aca="false">IF($C22=$D22,"OK","CHECK")</f>
        <v>OK</v>
      </c>
    </row>
    <row r="23" customFormat="false" ht="15" hidden="false" customHeight="false" outlineLevel="0" collapsed="false">
      <c r="A23" s="26" t="n">
        <v>19</v>
      </c>
      <c r="B23" s="27" t="s">
        <v>972</v>
      </c>
      <c r="C23" s="26" t="n">
        <f aca="false">SUMPRODUCT(--((Scoring!$AR$2:$AR$401&lt;0)+(Scoring!$AR$2:$AR$401&gt;20)&gt;0))</f>
        <v>0</v>
      </c>
      <c r="D23" s="26" t="n">
        <v>0</v>
      </c>
      <c r="E23" s="28" t="str">
        <f aca="false">IF($C23=$D23,"OK","CHECK")</f>
        <v>OK</v>
      </c>
    </row>
    <row r="25" customFormat="false" ht="15" hidden="false" customHeight="false" outlineLevel="0" collapsed="false">
      <c r="B25" s="6" t="s">
        <v>973</v>
      </c>
      <c r="E25" s="24" t="str">
        <f aca="false">IF(COUNTIF($E$5:$E$23,"CHECK")=0,"ALL OK","FIX")</f>
        <v>ALL 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B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26"/>
    <col collapsed="false" customWidth="true" hidden="false" outlineLevel="0" max="8" min="4" style="0" width="11"/>
    <col collapsed="false" customWidth="true" hidden="false" outlineLevel="0" max="10" min="9" style="0" width="15"/>
  </cols>
  <sheetData>
    <row r="1" customFormat="false" ht="17.35" hidden="false" customHeight="false" outlineLevel="0" collapsed="false">
      <c r="B1" s="19" t="s">
        <v>974</v>
      </c>
    </row>
    <row r="2" customFormat="false" ht="15" hidden="false" customHeight="true" outlineLevel="0" collapsed="false">
      <c r="B2" s="25" t="s">
        <v>975</v>
      </c>
      <c r="C2" s="25"/>
      <c r="D2" s="25"/>
      <c r="E2" s="25"/>
      <c r="F2" s="25"/>
      <c r="G2" s="25"/>
      <c r="H2" s="25"/>
      <c r="I2" s="25"/>
      <c r="J2" s="25"/>
    </row>
    <row r="5" customFormat="false" ht="15" hidden="false" customHeight="false" outlineLevel="0" collapsed="false">
      <c r="B5" s="6" t="s">
        <v>976</v>
      </c>
    </row>
    <row r="6" customFormat="false" ht="15" hidden="false" customHeight="false" outlineLevel="0" collapsed="false">
      <c r="B6" s="20" t="s">
        <v>977</v>
      </c>
      <c r="C6" s="20" t="s">
        <v>978</v>
      </c>
      <c r="D6" s="20" t="s">
        <v>147</v>
      </c>
      <c r="E6" s="20" t="s">
        <v>153</v>
      </c>
      <c r="F6" s="20" t="s">
        <v>154</v>
      </c>
      <c r="G6" s="20" t="s">
        <v>155</v>
      </c>
      <c r="H6" s="20" t="s">
        <v>156</v>
      </c>
      <c r="I6" s="20" t="s">
        <v>979</v>
      </c>
      <c r="J6" s="20" t="s">
        <v>980</v>
      </c>
    </row>
    <row r="7" customFormat="false" ht="15" hidden="false" customHeight="false" outlineLevel="0" collapsed="false">
      <c r="B7" s="7" t="s">
        <v>895</v>
      </c>
      <c r="C7" s="7" t="s">
        <v>981</v>
      </c>
      <c r="D7" s="29" t="n">
        <v>0.2</v>
      </c>
      <c r="E7" s="29" t="n">
        <v>0.285714285714</v>
      </c>
      <c r="F7" s="29" t="n">
        <v>0.228571428571</v>
      </c>
      <c r="G7" s="29" t="n">
        <v>0.114285714286</v>
      </c>
      <c r="H7" s="29" t="n">
        <v>0.171428571429</v>
      </c>
      <c r="I7" s="8" t="n">
        <f aca="false">SUMPRODUCT(--((1+(ROUND(Scoring!$AH$2:$AH$401,2)&gt;2)+(ROUND(Scoring!$AH$2:$AH$401,2)&gt;3.49))&lt;&gt;(1+(Scoring!$X$2:$X$401&gt;2)+(Scoring!$X$2:$X$401&gt;3.49))))</f>
        <v>15</v>
      </c>
      <c r="J7" s="8" t="n">
        <f aca="false">SUMPRODUCT(--((1+(ROUND(Scoring!$AH$2:$AH$401,2)&gt;1.6)+(ROUND(Scoring!$AH$2:$AH$401,2)&gt;2.2))&lt;&gt;(1+(Scoring!$X$2:$X$401&gt;1.6)+(Scoring!$X$2:$X$401&gt;2.2))))</f>
        <v>54</v>
      </c>
    </row>
    <row r="8" customFormat="false" ht="15" hidden="false" customHeight="false" outlineLevel="0" collapsed="false">
      <c r="B8" s="7" t="s">
        <v>896</v>
      </c>
      <c r="C8" s="7" t="s">
        <v>982</v>
      </c>
      <c r="D8" s="29" t="n">
        <v>0.4</v>
      </c>
      <c r="E8" s="29" t="n">
        <v>0.214285714286</v>
      </c>
      <c r="F8" s="29" t="n">
        <v>0.171428571429</v>
      </c>
      <c r="G8" s="29" t="n">
        <v>0.085714285714</v>
      </c>
      <c r="H8" s="29" t="n">
        <v>0.128571428571</v>
      </c>
      <c r="I8" s="8" t="n">
        <f aca="false">SUMPRODUCT(--((1+(ROUND(Scoring!$AI$2:$AI$401,2)&gt;2)+(ROUND(Scoring!$AI$2:$AI$401,2)&gt;3.49))&lt;&gt;(1+(Scoring!$X$2:$X$401&gt;2)+(Scoring!$X$2:$X$401&gt;3.49))))</f>
        <v>4</v>
      </c>
      <c r="J8" s="8" t="n">
        <f aca="false">SUMPRODUCT(--((1+(ROUND(Scoring!$AI$2:$AI$401,2)&gt;1.6)+(ROUND(Scoring!$AI$2:$AI$401,2)&gt;2.2))&lt;&gt;(1+(Scoring!$X$2:$X$401&gt;1.6)+(Scoring!$X$2:$X$401&gt;2.2))))</f>
        <v>47</v>
      </c>
    </row>
    <row r="9" customFormat="false" ht="15" hidden="false" customHeight="false" outlineLevel="0" collapsed="false">
      <c r="B9" s="7" t="s">
        <v>897</v>
      </c>
      <c r="C9" s="7" t="s">
        <v>983</v>
      </c>
      <c r="D9" s="29" t="n">
        <v>0.34</v>
      </c>
      <c r="E9" s="29" t="n">
        <v>0.15</v>
      </c>
      <c r="F9" s="29" t="n">
        <v>0.226666666667</v>
      </c>
      <c r="G9" s="29" t="n">
        <v>0.113333333333</v>
      </c>
      <c r="H9" s="29" t="n">
        <v>0.17</v>
      </c>
      <c r="I9" s="8" t="n">
        <f aca="false">SUMPRODUCT(--((1+(ROUND(Scoring!$AJ$2:$AJ$401,2)&gt;2)+(ROUND(Scoring!$AJ$2:$AJ$401,2)&gt;3.49))&lt;&gt;(1+(Scoring!$X$2:$X$401&gt;2)+(Scoring!$X$2:$X$401&gt;3.49))))</f>
        <v>16</v>
      </c>
      <c r="J9" s="8" t="n">
        <f aca="false">SUMPRODUCT(--((1+(ROUND(Scoring!$AJ$2:$AJ$401,2)&gt;1.6)+(ROUND(Scoring!$AJ$2:$AJ$401,2)&gt;2.2))&lt;&gt;(1+(Scoring!$X$2:$X$401&gt;1.6)+(Scoring!$X$2:$X$401&gt;2.2))))</f>
        <v>67</v>
      </c>
    </row>
    <row r="10" customFormat="false" ht="15" hidden="false" customHeight="false" outlineLevel="0" collapsed="false">
      <c r="B10" s="7" t="s">
        <v>898</v>
      </c>
      <c r="C10" s="7" t="s">
        <v>984</v>
      </c>
      <c r="D10" s="29" t="n">
        <v>0.26</v>
      </c>
      <c r="E10" s="29" t="n">
        <v>0.35</v>
      </c>
      <c r="F10" s="29" t="n">
        <v>0.173333333333</v>
      </c>
      <c r="G10" s="29" t="n">
        <v>0.086666666667</v>
      </c>
      <c r="H10" s="29" t="n">
        <v>0.13</v>
      </c>
      <c r="I10" s="8" t="n">
        <f aca="false">SUMPRODUCT(--((1+(ROUND(Scoring!$AK$2:$AK$401,2)&gt;2)+(ROUND(Scoring!$AK$2:$AK$401,2)&gt;3.49))&lt;&gt;(1+(Scoring!$X$2:$X$401&gt;2)+(Scoring!$X$2:$X$401&gt;3.49))))</f>
        <v>26</v>
      </c>
      <c r="J10" s="8" t="n">
        <f aca="false">SUMPRODUCT(--((1+(ROUND(Scoring!$AK$2:$AK$401,2)&gt;1.6)+(ROUND(Scoring!$AK$2:$AK$401,2)&gt;2.2))&lt;&gt;(1+(Scoring!$X$2:$X$401&gt;1.6)+(Scoring!$X$2:$X$401&gt;2.2))))</f>
        <v>68</v>
      </c>
    </row>
    <row r="11" customFormat="false" ht="15" hidden="false" customHeight="false" outlineLevel="0" collapsed="false">
      <c r="B11" s="7" t="s">
        <v>899</v>
      </c>
      <c r="C11" s="7" t="s">
        <v>985</v>
      </c>
      <c r="D11" s="29" t="n">
        <v>0.3375</v>
      </c>
      <c r="E11" s="29" t="n">
        <v>0.28125</v>
      </c>
      <c r="F11" s="29" t="n">
        <v>0.1</v>
      </c>
      <c r="G11" s="29" t="n">
        <v>0.1125</v>
      </c>
      <c r="H11" s="29" t="n">
        <v>0.16875</v>
      </c>
      <c r="I11" s="8" t="n">
        <f aca="false">SUMPRODUCT(--((1+(ROUND(Scoring!$AL$2:$AL$401,2)&gt;2)+(ROUND(Scoring!$AL$2:$AL$401,2)&gt;3.49))&lt;&gt;(1+(Scoring!$X$2:$X$401&gt;2)+(Scoring!$X$2:$X$401&gt;3.49))))</f>
        <v>24</v>
      </c>
      <c r="J11" s="8" t="n">
        <f aca="false">SUMPRODUCT(--((1+(ROUND(Scoring!$AL$2:$AL$401,2)&gt;1.6)+(ROUND(Scoring!$AL$2:$AL$401,2)&gt;2.2))&lt;&gt;(1+(Scoring!$X$2:$X$401&gt;1.6)+(Scoring!$X$2:$X$401&gt;2.2))))</f>
        <v>69</v>
      </c>
    </row>
    <row r="12" customFormat="false" ht="15" hidden="false" customHeight="false" outlineLevel="0" collapsed="false">
      <c r="B12" s="7" t="s">
        <v>900</v>
      </c>
      <c r="C12" s="7" t="s">
        <v>986</v>
      </c>
      <c r="D12" s="29" t="n">
        <v>0.2625</v>
      </c>
      <c r="E12" s="29" t="n">
        <v>0.21875</v>
      </c>
      <c r="F12" s="29" t="n">
        <v>0.3</v>
      </c>
      <c r="G12" s="29" t="n">
        <v>0.0875</v>
      </c>
      <c r="H12" s="29" t="n">
        <v>0.13125</v>
      </c>
      <c r="I12" s="8" t="n">
        <f aca="false">SUMPRODUCT(--((1+(ROUND(Scoring!$AM$2:$AM$401,2)&gt;2)+(ROUND(Scoring!$AM$2:$AM$401,2)&gt;3.49))&lt;&gt;(1+(Scoring!$X$2:$X$401&gt;2)+(Scoring!$X$2:$X$401&gt;3.49))))</f>
        <v>20</v>
      </c>
      <c r="J12" s="8" t="n">
        <f aca="false">SUMPRODUCT(--((1+(ROUND(Scoring!$AM$2:$AM$401,2)&gt;1.6)+(ROUND(Scoring!$AM$2:$AM$401,2)&gt;2.2))&lt;&gt;(1+(Scoring!$X$2:$X$401&gt;1.6)+(Scoring!$X$2:$X$401&gt;2.2))))</f>
        <v>80</v>
      </c>
    </row>
    <row r="13" customFormat="false" ht="15" hidden="false" customHeight="false" outlineLevel="0" collapsed="false">
      <c r="B13" s="7" t="s">
        <v>901</v>
      </c>
      <c r="C13" s="7" t="s">
        <v>987</v>
      </c>
      <c r="D13" s="29" t="n">
        <v>0.333333333333</v>
      </c>
      <c r="E13" s="29" t="n">
        <v>0.277777777778</v>
      </c>
      <c r="F13" s="29" t="n">
        <v>0.222222222222</v>
      </c>
      <c r="G13" s="29" t="n">
        <v>0</v>
      </c>
      <c r="H13" s="29" t="n">
        <v>0.166666666667</v>
      </c>
      <c r="I13" s="8" t="n">
        <f aca="false">SUMPRODUCT(--((1+(ROUND(Scoring!$AN$2:$AN$401,2)&gt;2)+(ROUND(Scoring!$AN$2:$AN$401,2)&gt;3.49))&lt;&gt;(1+(Scoring!$X$2:$X$401&gt;2)+(Scoring!$X$2:$X$401&gt;3.49))))</f>
        <v>14</v>
      </c>
      <c r="J13" s="8" t="n">
        <f aca="false">SUMPRODUCT(--((1+(ROUND(Scoring!$AN$2:$AN$401,2)&gt;1.6)+(ROUND(Scoring!$AN$2:$AN$401,2)&gt;2.2))&lt;&gt;(1+(Scoring!$X$2:$X$401&gt;1.6)+(Scoring!$X$2:$X$401&gt;2.2))))</f>
        <v>83</v>
      </c>
    </row>
    <row r="14" customFormat="false" ht="15" hidden="false" customHeight="false" outlineLevel="0" collapsed="false">
      <c r="B14" s="7" t="s">
        <v>902</v>
      </c>
      <c r="C14" s="7" t="s">
        <v>988</v>
      </c>
      <c r="D14" s="29" t="n">
        <v>0.266666666667</v>
      </c>
      <c r="E14" s="29" t="n">
        <v>0.222222222222</v>
      </c>
      <c r="F14" s="29" t="n">
        <v>0.177777777778</v>
      </c>
      <c r="G14" s="29" t="n">
        <v>0.2</v>
      </c>
      <c r="H14" s="29" t="n">
        <v>0.133333333333</v>
      </c>
      <c r="I14" s="8" t="n">
        <f aca="false">SUMPRODUCT(--((1+(ROUND(Scoring!$AO$2:$AO$401,2)&gt;2)+(ROUND(Scoring!$AO$2:$AO$401,2)&gt;3.49))&lt;&gt;(1+(Scoring!$X$2:$X$401&gt;2)+(Scoring!$X$2:$X$401&gt;3.49))))</f>
        <v>25</v>
      </c>
      <c r="J14" s="8" t="n">
        <f aca="false">SUMPRODUCT(--((1+(ROUND(Scoring!$AO$2:$AO$401,2)&gt;1.6)+(ROUND(Scoring!$AO$2:$AO$401,2)&gt;2.2))&lt;&gt;(1+(Scoring!$X$2:$X$401&gt;1.6)+(Scoring!$X$2:$X$401&gt;2.2))))</f>
        <v>100</v>
      </c>
    </row>
    <row r="15" customFormat="false" ht="15" hidden="false" customHeight="false" outlineLevel="0" collapsed="false">
      <c r="B15" s="7" t="s">
        <v>903</v>
      </c>
      <c r="C15" s="7" t="s">
        <v>989</v>
      </c>
      <c r="D15" s="29" t="n">
        <v>0.335294117647</v>
      </c>
      <c r="E15" s="29" t="n">
        <v>0.279411764706</v>
      </c>
      <c r="F15" s="29" t="n">
        <v>0.223529411765</v>
      </c>
      <c r="G15" s="29" t="n">
        <v>0.111764705882</v>
      </c>
      <c r="H15" s="29" t="n">
        <v>0.05</v>
      </c>
      <c r="I15" s="8" t="n">
        <f aca="false">SUMPRODUCT(--((1+(ROUND(Scoring!$AP$2:$AP$401,2)&gt;2)+(ROUND(Scoring!$AP$2:$AP$401,2)&gt;3.49))&lt;&gt;(1+(Scoring!$X$2:$X$401&gt;2)+(Scoring!$X$2:$X$401&gt;3.49))))</f>
        <v>9</v>
      </c>
      <c r="J15" s="8" t="n">
        <f aca="false">SUMPRODUCT(--((1+(ROUND(Scoring!$AP$2:$AP$401,2)&gt;1.6)+(ROUND(Scoring!$AP$2:$AP$401,2)&gt;2.2))&lt;&gt;(1+(Scoring!$X$2:$X$401&gt;1.6)+(Scoring!$X$2:$X$401&gt;2.2))))</f>
        <v>29</v>
      </c>
    </row>
    <row r="16" customFormat="false" ht="15" hidden="false" customHeight="false" outlineLevel="0" collapsed="false">
      <c r="B16" s="7" t="s">
        <v>904</v>
      </c>
      <c r="C16" s="7" t="s">
        <v>990</v>
      </c>
      <c r="D16" s="29" t="n">
        <v>0.264705882353</v>
      </c>
      <c r="E16" s="29" t="n">
        <v>0.220588235294</v>
      </c>
      <c r="F16" s="29" t="n">
        <v>0.176470588235</v>
      </c>
      <c r="G16" s="29" t="n">
        <v>0.088235294118</v>
      </c>
      <c r="H16" s="29" t="n">
        <v>0.25</v>
      </c>
      <c r="I16" s="8" t="n">
        <f aca="false">SUMPRODUCT(--((1+(ROUND(Scoring!$AQ$2:$AQ$401,2)&gt;2)+(ROUND(Scoring!$AQ$2:$AQ$401,2)&gt;3.49))&lt;&gt;(1+(Scoring!$X$2:$X$401&gt;2)+(Scoring!$X$2:$X$401&gt;3.49))))</f>
        <v>7</v>
      </c>
      <c r="J16" s="8" t="n">
        <f aca="false">SUMPRODUCT(--((1+(ROUND(Scoring!$AQ$2:$AQ$401,2)&gt;1.6)+(ROUND(Scoring!$AQ$2:$AQ$401,2)&gt;2.2))&lt;&gt;(1+(Scoring!$X$2:$X$401&gt;1.6)+(Scoring!$X$2:$X$401&gt;2.2))))</f>
        <v>36</v>
      </c>
    </row>
    <row r="18" customFormat="false" ht="15" hidden="false" customHeight="true" outlineLevel="0" collapsed="false">
      <c r="B18" s="25" t="s">
        <v>991</v>
      </c>
      <c r="C18" s="25"/>
      <c r="D18" s="25"/>
      <c r="E18" s="25"/>
      <c r="F18" s="25"/>
      <c r="G18" s="25"/>
      <c r="H18" s="25"/>
      <c r="I18" s="25"/>
      <c r="J18" s="25"/>
    </row>
    <row r="19" customFormat="false" ht="15" hidden="false" customHeight="false" outlineLevel="0" collapsed="false">
      <c r="B19" s="25"/>
      <c r="C19" s="25"/>
      <c r="D19" s="25"/>
      <c r="E19" s="25"/>
      <c r="F19" s="25"/>
      <c r="G19" s="25"/>
      <c r="H19" s="25"/>
      <c r="I19" s="25"/>
      <c r="J19" s="25"/>
    </row>
    <row r="21" customFormat="false" ht="15" hidden="false" customHeight="false" outlineLevel="0" collapsed="false">
      <c r="B21" s="6" t="s">
        <v>992</v>
      </c>
    </row>
    <row r="22" customFormat="false" ht="15" hidden="false" customHeight="false" outlineLevel="0" collapsed="false">
      <c r="B22" s="20" t="s">
        <v>993</v>
      </c>
      <c r="C22" s="20" t="s">
        <v>994</v>
      </c>
      <c r="D22" s="20" t="s">
        <v>916</v>
      </c>
      <c r="E22" s="20" t="s">
        <v>917</v>
      </c>
      <c r="F22" s="20" t="s">
        <v>918</v>
      </c>
      <c r="G22" s="20" t="s">
        <v>995</v>
      </c>
    </row>
    <row r="23" customFormat="false" ht="23.85" hidden="false" customHeight="false" outlineLevel="0" collapsed="false">
      <c r="B23" s="6" t="s">
        <v>996</v>
      </c>
      <c r="C23" s="3" t="s">
        <v>997</v>
      </c>
      <c r="D23" s="8" t="n">
        <f aca="false">COUNTIF(Scoring!$AA$2:$AA$401,"Low")</f>
        <v>295</v>
      </c>
      <c r="E23" s="8" t="n">
        <f aca="false">COUNTIF(Scoring!$AA$2:$AA$401,"Medium")</f>
        <v>62</v>
      </c>
      <c r="F23" s="8" t="n">
        <f aca="false">COUNTIF(Scoring!$AA$2:$AA$401,"High")</f>
        <v>43</v>
      </c>
      <c r="G23" s="21" t="n">
        <f aca="false">$F23/400</f>
        <v>0.1075</v>
      </c>
    </row>
    <row r="24" customFormat="false" ht="23.85" hidden="false" customHeight="false" outlineLevel="0" collapsed="false">
      <c r="B24" s="6" t="s">
        <v>998</v>
      </c>
      <c r="C24" s="3" t="s">
        <v>999</v>
      </c>
      <c r="D24" s="8" t="n">
        <f aca="false">SUMPRODUCT(--(IF(Scoring!$Z$2:$Z$401="Yes","High",Scoring!$AS$2:$AS$401)="Low"))</f>
        <v>165</v>
      </c>
      <c r="E24" s="8" t="n">
        <f aca="false">SUMPRODUCT(--(IF(Scoring!$Z$2:$Z$401="Yes","High",Scoring!$AS$2:$AS$401)="Medium"))</f>
        <v>161</v>
      </c>
      <c r="F24" s="8" t="n">
        <f aca="false">SUMPRODUCT(--(IF(Scoring!$Z$2:$Z$401="Yes","High",Scoring!$AS$2:$AS$401)="High"))</f>
        <v>74</v>
      </c>
      <c r="G24" s="21" t="n">
        <f aca="false">$F24/400</f>
        <v>0.185</v>
      </c>
    </row>
    <row r="25" customFormat="false" ht="23.85" hidden="false" customHeight="false" outlineLevel="0" collapsed="false">
      <c r="B25" s="6" t="s">
        <v>1000</v>
      </c>
      <c r="C25" s="3" t="s">
        <v>1001</v>
      </c>
      <c r="D25" s="8" t="n">
        <f aca="false">SUMPRODUCT(--(IF(Scoring!$Z$2:$Z$401="Yes","High",Scoring!$AT$2:$AT$401)="Low"))</f>
        <v>120</v>
      </c>
      <c r="E25" s="8" t="n">
        <f aca="false">SUMPRODUCT(--(IF(Scoring!$Z$2:$Z$401="Yes","High",Scoring!$AT$2:$AT$401)="Medium"))</f>
        <v>155</v>
      </c>
      <c r="F25" s="8" t="n">
        <f aca="false">SUMPRODUCT(--(IF(Scoring!$Z$2:$Z$401="Yes","High",Scoring!$AT$2:$AT$401)="High"))</f>
        <v>125</v>
      </c>
      <c r="G25" s="21" t="n">
        <f aca="false">$F25/400</f>
        <v>0.3125</v>
      </c>
    </row>
    <row r="26" customFormat="false" ht="23.85" hidden="false" customHeight="false" outlineLevel="0" collapsed="false">
      <c r="B26" s="6" t="s">
        <v>1002</v>
      </c>
      <c r="C26" s="3" t="s">
        <v>1003</v>
      </c>
      <c r="D26" s="8" t="n">
        <f aca="false">COUNTIF(Scoring!$AV$2:$AV$401,"Low")</f>
        <v>91</v>
      </c>
      <c r="E26" s="8" t="n">
        <f aca="false">COUNTIF(Scoring!$AV$2:$AV$401,"Medium")</f>
        <v>182</v>
      </c>
      <c r="F26" s="8" t="n">
        <f aca="false">COUNTIF(Scoring!$AV$2:$AV$401,"High")</f>
        <v>127</v>
      </c>
      <c r="G26" s="30" t="n">
        <f aca="false">$F26/400</f>
        <v>0.3175</v>
      </c>
    </row>
    <row r="28" customFormat="false" ht="15" hidden="false" customHeight="true" outlineLevel="0" collapsed="false">
      <c r="B28" s="25" t="s">
        <v>1004</v>
      </c>
      <c r="C28" s="25"/>
      <c r="D28" s="25"/>
      <c r="E28" s="25"/>
      <c r="F28" s="25"/>
      <c r="G28" s="25"/>
      <c r="H28" s="25"/>
      <c r="I28" s="25"/>
      <c r="J28" s="25"/>
    </row>
    <row r="29" customFormat="false" ht="15" hidden="false" customHeight="false" outlineLevel="0" collapsed="false">
      <c r="B29" s="25"/>
      <c r="C29" s="25"/>
      <c r="D29" s="25"/>
      <c r="E29" s="25"/>
      <c r="F29" s="25"/>
      <c r="G29" s="25"/>
      <c r="H29" s="25"/>
      <c r="I29" s="25"/>
      <c r="J29" s="25"/>
    </row>
    <row r="31" customFormat="false" ht="15" hidden="false" customHeight="false" outlineLevel="0" collapsed="false">
      <c r="B31" s="6" t="s">
        <v>1005</v>
      </c>
    </row>
    <row r="32" customFormat="false" ht="15" hidden="false" customHeight="false" outlineLevel="0" collapsed="false">
      <c r="B32" s="20" t="s">
        <v>1006</v>
      </c>
      <c r="C32" s="20" t="s">
        <v>914</v>
      </c>
      <c r="D32" s="20" t="s">
        <v>1007</v>
      </c>
    </row>
    <row r="33" customFormat="false" ht="23.85" hidden="false" customHeight="false" outlineLevel="0" collapsed="false">
      <c r="B33" s="3" t="s">
        <v>1008</v>
      </c>
      <c r="C33" s="8" t="n">
        <f aca="false">SUMPRODUCT(--((Scoring!$H$2:$H$401=4)+(Scoring!$I$2:$I$401=4)+(Scoring!$J$2:$J$401=4)&gt;0))</f>
        <v>11</v>
      </c>
      <c r="D33" s="21" t="n">
        <f aca="false">$C33/400</f>
        <v>0.0275</v>
      </c>
    </row>
    <row r="34" customFormat="false" ht="15" hidden="false" customHeight="false" outlineLevel="0" collapsed="false">
      <c r="B34" s="3" t="s">
        <v>1009</v>
      </c>
      <c r="C34" s="8" t="n">
        <f aca="false">SUMPRODUCT(--((Scoring!$H$2:$H$401=5)+(Scoring!$I$2:$I$401=5)+(Scoring!$J$2:$J$401=5)&gt;0))</f>
        <v>5</v>
      </c>
      <c r="D34" s="21" t="n">
        <f aca="false">$C34/400</f>
        <v>0.0125</v>
      </c>
    </row>
    <row r="35" customFormat="false" ht="15" hidden="false" customHeight="false" outlineLevel="0" collapsed="false">
      <c r="B35" s="3" t="s">
        <v>1010</v>
      </c>
      <c r="C35" s="8" t="n">
        <f aca="false">SUMPRODUCT(--(((Scoring!$H$2:$H$401=4)+(Scoring!$I$2:$I$401=4)+(Scoring!$J$2:$J$401=4)&gt;0)+((Scoring!$H$2:$H$401=5)+(Scoring!$I$2:$I$401=5)+(Scoring!$J$2:$J$401=5)&gt;0)&gt;0))</f>
        <v>16</v>
      </c>
      <c r="D35" s="21" t="n">
        <f aca="false">$C35/400</f>
        <v>0.04</v>
      </c>
    </row>
    <row r="36" customFormat="false" ht="23.85" hidden="false" customHeight="false" outlineLevel="0" collapsed="false">
      <c r="B36" s="3" t="s">
        <v>1011</v>
      </c>
      <c r="C36" s="8" t="n">
        <f aca="false">SUMPRODUCT(--((Scoring!$H$2:$H$401=5)+(Scoring!$I$2:$I$401=5)+(Scoring!$J$2:$J$401=5)&gt;0))</f>
        <v>5</v>
      </c>
      <c r="D36" s="21" t="n">
        <f aca="false">$C36/400</f>
        <v>0.0125</v>
      </c>
    </row>
    <row r="37" customFormat="false" ht="15" hidden="false" customHeight="false" outlineLevel="0" collapsed="false">
      <c r="B37" s="2" t="s">
        <v>1012</v>
      </c>
      <c r="C37" s="31" t="n">
        <f aca="false">SUMPRODUCT(--(((Scoring!$H$2:$H$401=4)+(Scoring!$I$2:$I$401=4)+(Scoring!$J$2:$J$401=4)&gt;0))*--(NOT(((Scoring!$H$2:$H$401=5)+(Scoring!$I$2:$I$401=5)+(Scoring!$J$2:$J$401=5)&gt;0))))</f>
        <v>11</v>
      </c>
      <c r="D37" s="21" t="n">
        <f aca="false">$C37/400</f>
        <v>0.0275</v>
      </c>
    </row>
    <row r="38" customFormat="false" ht="15" hidden="false" customHeight="false" outlineLevel="0" collapsed="false">
      <c r="B38" s="2" t="s">
        <v>1013</v>
      </c>
      <c r="C38" s="31" t="n">
        <f aca="false">SUMPRODUCT(--(((Scoring!$H$2:$H$401=4)+(Scoring!$I$2:$I$401=4)+(Scoring!$J$2:$J$401=4)&gt;0)),--(NOT(((Scoring!$H$2:$H$401=5)+(Scoring!$I$2:$I$401=5)+(Scoring!$J$2:$J$401=5)&gt;0))),--(Scoring!$Z$2:$Z$401="Yes"))</f>
        <v>0</v>
      </c>
      <c r="D38" s="21" t="n">
        <f aca="false">$C38/400</f>
        <v>0</v>
      </c>
    </row>
    <row r="39" customFormat="false" ht="23.85" hidden="false" customHeight="false" outlineLevel="0" collapsed="false">
      <c r="B39" s="2" t="s">
        <v>1014</v>
      </c>
      <c r="C39" s="31" t="n">
        <f aca="false">SUMPRODUCT(--(((Scoring!$H$2:$H$401=4)+(Scoring!$I$2:$I$401=4)+(Scoring!$J$2:$J$401=4)&gt;0)),--(NOT(((Scoring!$H$2:$H$401=5)+(Scoring!$I$2:$I$401=5)+(Scoring!$J$2:$J$401=5)&gt;0))),--(Scoring!$AA$2:$AA$401="Low"))</f>
        <v>9</v>
      </c>
      <c r="D39" s="21" t="n">
        <f aca="false">$C39/400</f>
        <v>0.0225</v>
      </c>
    </row>
  </sheetData>
  <mergeCells count="3">
    <mergeCell ref="B2:J2"/>
    <mergeCell ref="B18:J19"/>
    <mergeCell ref="B28:J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A1:B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22" min="3" style="0" width="26"/>
    <col collapsed="false" customWidth="true" hidden="false" outlineLevel="0" max="42" min="23" style="0" width="7"/>
    <col collapsed="false" customWidth="true" hidden="false" outlineLevel="0" max="43" min="43" style="0" width="14"/>
    <col collapsed="false" customWidth="true" hidden="false" outlineLevel="0" max="44" min="44" style="0" width="10"/>
    <col collapsed="false" customWidth="true" hidden="false" outlineLevel="0" max="46" min="45" style="0" width="11"/>
    <col collapsed="false" customWidth="true" hidden="false" outlineLevel="0" max="47" min="47" style="0" width="12"/>
    <col collapsed="false" customWidth="true" hidden="false" outlineLevel="0" max="52" min="48" style="0" width="11"/>
    <col collapsed="false" customWidth="true" hidden="false" outlineLevel="0" max="54" min="53" style="0" width="15"/>
  </cols>
  <sheetData>
    <row r="1" customFormat="false" ht="17.35" hidden="false" customHeight="false" outlineLevel="0" collapsed="false">
      <c r="A1" s="19" t="s">
        <v>1015</v>
      </c>
    </row>
    <row r="2" customFormat="false" ht="32.8" hidden="false" customHeight="true" outlineLevel="0" collapsed="false">
      <c r="A2" s="25" t="s">
        <v>1016</v>
      </c>
      <c r="B2" s="25"/>
      <c r="C2" s="25"/>
      <c r="D2" s="25"/>
      <c r="E2" s="25"/>
      <c r="F2" s="25"/>
      <c r="G2" s="25"/>
      <c r="H2" s="25"/>
      <c r="I2" s="25"/>
      <c r="J2" s="25"/>
    </row>
    <row r="3" customFormat="false" ht="30" hidden="false" customHeight="true" outlineLevel="0" collapsed="false">
      <c r="A3" s="5" t="s">
        <v>1017</v>
      </c>
      <c r="B3" s="5" t="s">
        <v>1018</v>
      </c>
      <c r="C3" s="5" t="s">
        <v>1019</v>
      </c>
      <c r="D3" s="5" t="s">
        <v>1020</v>
      </c>
      <c r="E3" s="5" t="s">
        <v>1021</v>
      </c>
      <c r="F3" s="5" t="s">
        <v>1022</v>
      </c>
      <c r="G3" s="5" t="s">
        <v>1023</v>
      </c>
      <c r="H3" s="5" t="s">
        <v>1024</v>
      </c>
      <c r="I3" s="5" t="s">
        <v>1025</v>
      </c>
      <c r="J3" s="5" t="s">
        <v>1026</v>
      </c>
      <c r="K3" s="5" t="s">
        <v>1027</v>
      </c>
      <c r="L3" s="5" t="s">
        <v>1028</v>
      </c>
      <c r="M3" s="5" t="s">
        <v>1029</v>
      </c>
      <c r="N3" s="5" t="s">
        <v>1030</v>
      </c>
      <c r="O3" s="5" t="s">
        <v>1031</v>
      </c>
      <c r="P3" s="5" t="s">
        <v>1032</v>
      </c>
      <c r="Q3" s="5" t="s">
        <v>1033</v>
      </c>
      <c r="R3" s="5" t="s">
        <v>1034</v>
      </c>
      <c r="S3" s="5" t="s">
        <v>1035</v>
      </c>
      <c r="T3" s="5" t="s">
        <v>1036</v>
      </c>
      <c r="U3" s="5" t="s">
        <v>1037</v>
      </c>
      <c r="V3" s="5" t="s">
        <v>1038</v>
      </c>
      <c r="W3" s="5" t="s">
        <v>30</v>
      </c>
      <c r="X3" s="5" t="s">
        <v>36</v>
      </c>
      <c r="Y3" s="5" t="s">
        <v>42</v>
      </c>
      <c r="Z3" s="5" t="s">
        <v>48</v>
      </c>
      <c r="AA3" s="5" t="s">
        <v>53</v>
      </c>
      <c r="AB3" s="5" t="s">
        <v>58</v>
      </c>
      <c r="AC3" s="5" t="s">
        <v>64</v>
      </c>
      <c r="AD3" s="5" t="s">
        <v>69</v>
      </c>
      <c r="AE3" s="5" t="s">
        <v>72</v>
      </c>
      <c r="AF3" s="5" t="s">
        <v>78</v>
      </c>
      <c r="AG3" s="5" t="s">
        <v>84</v>
      </c>
      <c r="AH3" s="5" t="s">
        <v>90</v>
      </c>
      <c r="AI3" s="5" t="s">
        <v>96</v>
      </c>
      <c r="AJ3" s="5" t="s">
        <v>102</v>
      </c>
      <c r="AK3" s="5" t="s">
        <v>108</v>
      </c>
      <c r="AL3" s="5" t="s">
        <v>114</v>
      </c>
      <c r="AM3" s="5" t="s">
        <v>120</v>
      </c>
      <c r="AN3" s="5" t="s">
        <v>126</v>
      </c>
      <c r="AO3" s="5" t="s">
        <v>131</v>
      </c>
      <c r="AP3" s="5" t="s">
        <v>137</v>
      </c>
      <c r="AQ3" s="5" t="s">
        <v>887</v>
      </c>
      <c r="AR3" s="5" t="s">
        <v>888</v>
      </c>
      <c r="AS3" s="5" t="s">
        <v>889</v>
      </c>
      <c r="AT3" s="5" t="s">
        <v>890</v>
      </c>
      <c r="AU3" s="5" t="s">
        <v>891</v>
      </c>
      <c r="AV3" s="5" t="s">
        <v>148</v>
      </c>
      <c r="AW3" s="5" t="s">
        <v>149</v>
      </c>
      <c r="AX3" s="5" t="s">
        <v>892</v>
      </c>
      <c r="AY3" s="5" t="s">
        <v>893</v>
      </c>
      <c r="AZ3" s="5" t="s">
        <v>894</v>
      </c>
      <c r="BA3" s="5" t="s">
        <v>906</v>
      </c>
      <c r="BB3" s="5" t="s">
        <v>1039</v>
      </c>
    </row>
    <row r="4" customFormat="false" ht="15" hidden="false" customHeight="false" outlineLevel="0" collapsed="false">
      <c r="A4" s="15" t="s">
        <v>1040</v>
      </c>
      <c r="B4" s="7" t="s">
        <v>1041</v>
      </c>
      <c r="C4" s="16" t="s">
        <v>33</v>
      </c>
      <c r="D4" s="16" t="s">
        <v>38</v>
      </c>
      <c r="E4" s="16" t="s">
        <v>46</v>
      </c>
      <c r="F4" s="16" t="s">
        <v>49</v>
      </c>
      <c r="G4" s="16" t="s">
        <v>49</v>
      </c>
      <c r="H4" s="16" t="s">
        <v>59</v>
      </c>
      <c r="I4" s="16" t="s">
        <v>65</v>
      </c>
      <c r="J4" s="16" t="s">
        <v>70</v>
      </c>
      <c r="K4" s="16" t="s">
        <v>76</v>
      </c>
      <c r="L4" s="16" t="s">
        <v>80</v>
      </c>
      <c r="M4" s="16" t="s">
        <v>85</v>
      </c>
      <c r="N4" s="16" t="s">
        <v>93</v>
      </c>
      <c r="O4" s="16" t="s">
        <v>97</v>
      </c>
      <c r="P4" s="16" t="s">
        <v>103</v>
      </c>
      <c r="Q4" s="16" t="s">
        <v>109</v>
      </c>
      <c r="R4" s="16" t="s">
        <v>117</v>
      </c>
      <c r="S4" s="16" t="s">
        <v>121</v>
      </c>
      <c r="T4" s="16" t="s">
        <v>127</v>
      </c>
      <c r="U4" s="16" t="s">
        <v>133</v>
      </c>
      <c r="V4" s="16" t="s">
        <v>138</v>
      </c>
      <c r="W4" s="8" t="n">
        <f aca="false">INDEX(Mapping!$C$2:$C$99,MATCH("C1|"&amp;C4,Mapping!$D$2:$D$99,0))</f>
        <v>3</v>
      </c>
      <c r="X4" s="8" t="n">
        <f aca="false">INDEX(Mapping!$C$2:$C$99,MATCH("C2|"&amp;D4,Mapping!$D$2:$D$99,0))</f>
        <v>2</v>
      </c>
      <c r="Y4" s="8" t="n">
        <f aca="false">INDEX(Mapping!$C$2:$C$99,MATCH("C3|"&amp;E4,Mapping!$D$2:$D$99,0))</f>
        <v>4</v>
      </c>
      <c r="Z4" s="8" t="n">
        <f aca="false">INDEX(Mapping!$C$2:$C$99,MATCH("C4|"&amp;F4,Mapping!$D$2:$D$99,0))</f>
        <v>1</v>
      </c>
      <c r="AA4" s="8" t="n">
        <f aca="false">INDEX(Mapping!$C$2:$C$99,MATCH("C5|"&amp;G4,Mapping!$D$2:$D$99,0))</f>
        <v>1</v>
      </c>
      <c r="AB4" s="8" t="n">
        <f aca="false">INDEX(Mapping!$C$2:$C$99,MATCH("G1|"&amp;H4,Mapping!$D$2:$D$99,0))</f>
        <v>1</v>
      </c>
      <c r="AC4" s="8" t="n">
        <f aca="false">INDEX(Mapping!$C$2:$C$99,MATCH("G2|"&amp;I4,Mapping!$D$2:$D$99,0))</f>
        <v>1</v>
      </c>
      <c r="AD4" s="8" t="n">
        <f aca="false">INDEX(Mapping!$C$2:$C$99,MATCH("G3|"&amp;J4,Mapping!$D$2:$D$99,0))</f>
        <v>1</v>
      </c>
      <c r="AE4" s="8" t="n">
        <f aca="false">INDEX(Mapping!$C$2:$C$99,MATCH("P1|"&amp;K4,Mapping!$D$2:$D$99,0))</f>
        <v>4</v>
      </c>
      <c r="AF4" s="8" t="n">
        <f aca="false">INDEX(Mapping!$C$2:$C$99,MATCH("P2|"&amp;L4,Mapping!$D$2:$D$99,0))</f>
        <v>2</v>
      </c>
      <c r="AG4" s="8" t="n">
        <f aca="false">INDEX(Mapping!$C$2:$C$99,MATCH("P3|"&amp;M4,Mapping!$D$2:$D$99,0))</f>
        <v>1</v>
      </c>
      <c r="AH4" s="8" t="n">
        <f aca="false">INDEX(Mapping!$C$2:$C$99,MATCH("P4|"&amp;N4,Mapping!$D$2:$D$99,0))</f>
        <v>3</v>
      </c>
      <c r="AI4" s="8" t="n">
        <f aca="false">INDEX(Mapping!$C$2:$C$99,MATCH("D1|"&amp;O4,Mapping!$D$2:$D$99,0))</f>
        <v>1</v>
      </c>
      <c r="AJ4" s="8" t="n">
        <f aca="false">INDEX(Mapping!$C$2:$C$99,MATCH("D2|"&amp;P4,Mapping!$D$2:$D$99,0))</f>
        <v>1</v>
      </c>
      <c r="AK4" s="8" t="n">
        <f aca="false">INDEX(Mapping!$C$2:$C$99,MATCH("D3|"&amp;Q4,Mapping!$D$2:$D$99,0))</f>
        <v>1</v>
      </c>
      <c r="AL4" s="8" t="n">
        <f aca="false">INDEX(Mapping!$C$2:$C$99,MATCH("A1|"&amp;R4,Mapping!$D$2:$D$99,0))</f>
        <v>3</v>
      </c>
      <c r="AM4" s="8" t="n">
        <f aca="false">INDEX(Mapping!$C$2:$C$99,MATCH("A2|"&amp;S4,Mapping!$D$2:$D$99,0))</f>
        <v>1</v>
      </c>
      <c r="AN4" s="8" t="n">
        <f aca="false">INDEX(Mapping!$C$2:$C$99,MATCH("A3|"&amp;T4,Mapping!$D$2:$D$99,0))</f>
        <v>1</v>
      </c>
      <c r="AO4" s="8" t="n">
        <f aca="false">INDEX(Mapping!$C$2:$C$99,MATCH("A4|"&amp;U4,Mapping!$D$2:$D$99,0))</f>
        <v>2</v>
      </c>
      <c r="AP4" s="8" t="n">
        <f aca="false">INDEX(Mapping!$C$2:$C$99,MATCH("A5|"&amp;V4,Mapping!$D$2:$D$99,0))</f>
        <v>1</v>
      </c>
      <c r="AQ4" s="17" t="n">
        <f aca="false">SUMPRODUCT($W4:$AP4,Weights!$C$27:$V$27)</f>
        <v>1.8225</v>
      </c>
      <c r="AR4" s="18" t="n">
        <f aca="false">ROUND($AQ4,2)</f>
        <v>1.82</v>
      </c>
      <c r="AS4" s="8" t="str">
        <f aca="false">IF($AR4&lt;=2,"Low",IF($AR4&lt;=3.49,"Medium","High"))</f>
        <v>Low</v>
      </c>
      <c r="AT4" s="8" t="str">
        <f aca="false">IF(OR($Z4&gt;=3,$Y4=5,$X4=5,$W4=5,$AA4=5,$AB4=5,$AC4=5,$AD4=5),"Yes","No")</f>
        <v>No</v>
      </c>
      <c r="AU4" s="15" t="str">
        <f aca="false">IF($AT4="Yes","High",$AS4)</f>
        <v>Low</v>
      </c>
      <c r="AV4" s="18" t="n">
        <f aca="false">SUMPRODUCT($W4:$AA4,Weights!$C$28:$G$28)</f>
        <v>2.35</v>
      </c>
      <c r="AW4" s="18" t="n">
        <f aca="false">SUMPRODUCT($AB4:$AD4,Weights!$H$28:$J$28)</f>
        <v>1</v>
      </c>
      <c r="AX4" s="18" t="n">
        <f aca="false">SUMPRODUCT($AE4:$AH4,Weights!$K$28:$N$28)</f>
        <v>2.6</v>
      </c>
      <c r="AY4" s="18" t="n">
        <f aca="false">SUMPRODUCT($AI4:$AK4,Weights!$O$28:$Q$28)</f>
        <v>1</v>
      </c>
      <c r="AZ4" s="18" t="n">
        <f aca="false">SUMPRODUCT($AL4:$AP4,Weights!$R$28:$V$28)</f>
        <v>1.65</v>
      </c>
      <c r="BA4" s="8" t="str">
        <f aca="false">IF($AR4&lt;=1.6,"Low",IF($AR4&lt;=2.2,"Medium","High"))</f>
        <v>Medium</v>
      </c>
      <c r="BB4" s="24" t="str">
        <f aca="false">IF(OR($AT4="Yes",$AP4=5),"High",$BA4)</f>
        <v>Medium</v>
      </c>
    </row>
    <row r="5" customFormat="false" ht="15" hidden="false" customHeight="false" outlineLevel="0" collapsed="false">
      <c r="A5" s="15" t="s">
        <v>1042</v>
      </c>
      <c r="B5" s="7" t="s">
        <v>1043</v>
      </c>
      <c r="C5" s="16" t="s">
        <v>33</v>
      </c>
      <c r="D5" s="16" t="s">
        <v>38</v>
      </c>
      <c r="E5" s="16" t="s">
        <v>47</v>
      </c>
      <c r="F5" s="16" t="s">
        <v>49</v>
      </c>
      <c r="G5" s="16" t="s">
        <v>49</v>
      </c>
      <c r="H5" s="16" t="s">
        <v>59</v>
      </c>
      <c r="I5" s="16" t="s">
        <v>65</v>
      </c>
      <c r="J5" s="16" t="s">
        <v>70</v>
      </c>
      <c r="K5" s="16" t="s">
        <v>76</v>
      </c>
      <c r="L5" s="16" t="s">
        <v>80</v>
      </c>
      <c r="M5" s="16" t="s">
        <v>85</v>
      </c>
      <c r="N5" s="16" t="s">
        <v>93</v>
      </c>
      <c r="O5" s="16" t="s">
        <v>97</v>
      </c>
      <c r="P5" s="16" t="s">
        <v>103</v>
      </c>
      <c r="Q5" s="16" t="s">
        <v>109</v>
      </c>
      <c r="R5" s="16" t="s">
        <v>117</v>
      </c>
      <c r="S5" s="16" t="s">
        <v>121</v>
      </c>
      <c r="T5" s="16" t="s">
        <v>127</v>
      </c>
      <c r="U5" s="16" t="s">
        <v>133</v>
      </c>
      <c r="V5" s="16" t="s">
        <v>138</v>
      </c>
      <c r="W5" s="8" t="n">
        <f aca="false">INDEX(Mapping!$C$2:$C$99,MATCH("C1|"&amp;C5,Mapping!$D$2:$D$99,0))</f>
        <v>3</v>
      </c>
      <c r="X5" s="8" t="n">
        <f aca="false">INDEX(Mapping!$C$2:$C$99,MATCH("C2|"&amp;D5,Mapping!$D$2:$D$99,0))</f>
        <v>2</v>
      </c>
      <c r="Y5" s="8" t="n">
        <f aca="false">INDEX(Mapping!$C$2:$C$99,MATCH("C3|"&amp;E5,Mapping!$D$2:$D$99,0))</f>
        <v>5</v>
      </c>
      <c r="Z5" s="8" t="n">
        <f aca="false">INDEX(Mapping!$C$2:$C$99,MATCH("C4|"&amp;F5,Mapping!$D$2:$D$99,0))</f>
        <v>1</v>
      </c>
      <c r="AA5" s="8" t="n">
        <f aca="false">INDEX(Mapping!$C$2:$C$99,MATCH("C5|"&amp;G5,Mapping!$D$2:$D$99,0))</f>
        <v>1</v>
      </c>
      <c r="AB5" s="8" t="n">
        <f aca="false">INDEX(Mapping!$C$2:$C$99,MATCH("G1|"&amp;H5,Mapping!$D$2:$D$99,0))</f>
        <v>1</v>
      </c>
      <c r="AC5" s="8" t="n">
        <f aca="false">INDEX(Mapping!$C$2:$C$99,MATCH("G2|"&amp;I5,Mapping!$D$2:$D$99,0))</f>
        <v>1</v>
      </c>
      <c r="AD5" s="8" t="n">
        <f aca="false">INDEX(Mapping!$C$2:$C$99,MATCH("G3|"&amp;J5,Mapping!$D$2:$D$99,0))</f>
        <v>1</v>
      </c>
      <c r="AE5" s="8" t="n">
        <f aca="false">INDEX(Mapping!$C$2:$C$99,MATCH("P1|"&amp;K5,Mapping!$D$2:$D$99,0))</f>
        <v>4</v>
      </c>
      <c r="AF5" s="8" t="n">
        <f aca="false">INDEX(Mapping!$C$2:$C$99,MATCH("P2|"&amp;L5,Mapping!$D$2:$D$99,0))</f>
        <v>2</v>
      </c>
      <c r="AG5" s="8" t="n">
        <f aca="false">INDEX(Mapping!$C$2:$C$99,MATCH("P3|"&amp;M5,Mapping!$D$2:$D$99,0))</f>
        <v>1</v>
      </c>
      <c r="AH5" s="8" t="n">
        <f aca="false">INDEX(Mapping!$C$2:$C$99,MATCH("P4|"&amp;N5,Mapping!$D$2:$D$99,0))</f>
        <v>3</v>
      </c>
      <c r="AI5" s="8" t="n">
        <f aca="false">INDEX(Mapping!$C$2:$C$99,MATCH("D1|"&amp;O5,Mapping!$D$2:$D$99,0))</f>
        <v>1</v>
      </c>
      <c r="AJ5" s="8" t="n">
        <f aca="false">INDEX(Mapping!$C$2:$C$99,MATCH("D2|"&amp;P5,Mapping!$D$2:$D$99,0))</f>
        <v>1</v>
      </c>
      <c r="AK5" s="8" t="n">
        <f aca="false">INDEX(Mapping!$C$2:$C$99,MATCH("D3|"&amp;Q5,Mapping!$D$2:$D$99,0))</f>
        <v>1</v>
      </c>
      <c r="AL5" s="8" t="n">
        <f aca="false">INDEX(Mapping!$C$2:$C$99,MATCH("A1|"&amp;R5,Mapping!$D$2:$D$99,0))</f>
        <v>3</v>
      </c>
      <c r="AM5" s="8" t="n">
        <f aca="false">INDEX(Mapping!$C$2:$C$99,MATCH("A2|"&amp;S5,Mapping!$D$2:$D$99,0))</f>
        <v>1</v>
      </c>
      <c r="AN5" s="8" t="n">
        <f aca="false">INDEX(Mapping!$C$2:$C$99,MATCH("A3|"&amp;T5,Mapping!$D$2:$D$99,0))</f>
        <v>1</v>
      </c>
      <c r="AO5" s="8" t="n">
        <f aca="false">INDEX(Mapping!$C$2:$C$99,MATCH("A4|"&amp;U5,Mapping!$D$2:$D$99,0))</f>
        <v>2</v>
      </c>
      <c r="AP5" s="8" t="n">
        <f aca="false">INDEX(Mapping!$C$2:$C$99,MATCH("A5|"&amp;V5,Mapping!$D$2:$D$99,0))</f>
        <v>1</v>
      </c>
      <c r="AQ5" s="17" t="n">
        <f aca="false">SUMPRODUCT($W5:$AP5,Weights!$C$27:$V$27)</f>
        <v>1.8975</v>
      </c>
      <c r="AR5" s="18" t="n">
        <f aca="false">ROUND($AQ5,2)</f>
        <v>1.9</v>
      </c>
      <c r="AS5" s="8" t="str">
        <f aca="false">IF($AR5&lt;=2,"Low",IF($AR5&lt;=3.49,"Medium","High"))</f>
        <v>Low</v>
      </c>
      <c r="AT5" s="8" t="str">
        <f aca="false">IF(OR($Z5&gt;=3,$Y5=5,$X5=5,$W5=5,$AA5=5,$AB5=5,$AC5=5,$AD5=5),"Yes","No")</f>
        <v>Yes</v>
      </c>
      <c r="AU5" s="15" t="str">
        <f aca="false">IF($AT5="Yes","High",$AS5)</f>
        <v>High</v>
      </c>
      <c r="AV5" s="18" t="n">
        <f aca="false">SUMPRODUCT($W5:$AA5,Weights!$C$28:$G$28)</f>
        <v>2.6</v>
      </c>
      <c r="AW5" s="18" t="n">
        <f aca="false">SUMPRODUCT($AB5:$AD5,Weights!$H$28:$J$28)</f>
        <v>1</v>
      </c>
      <c r="AX5" s="18" t="n">
        <f aca="false">SUMPRODUCT($AE5:$AH5,Weights!$K$28:$N$28)</f>
        <v>2.6</v>
      </c>
      <c r="AY5" s="18" t="n">
        <f aca="false">SUMPRODUCT($AI5:$AK5,Weights!$O$28:$Q$28)</f>
        <v>1</v>
      </c>
      <c r="AZ5" s="18" t="n">
        <f aca="false">SUMPRODUCT($AL5:$AP5,Weights!$R$28:$V$28)</f>
        <v>1.65</v>
      </c>
      <c r="BA5" s="8" t="str">
        <f aca="false">IF($AR5&lt;=1.6,"Low",IF($AR5&lt;=2.2,"Medium","High"))</f>
        <v>Medium</v>
      </c>
      <c r="BB5" s="24" t="str">
        <f aca="false">IF(OR($AT5="Yes",$AP5=5),"High",$BA5)</f>
        <v>High</v>
      </c>
    </row>
    <row r="6" customFormat="false" ht="15" hidden="false" customHeight="false" outlineLevel="0" collapsed="false">
      <c r="A6" s="15" t="s">
        <v>1044</v>
      </c>
      <c r="B6" s="7" t="s">
        <v>1045</v>
      </c>
      <c r="C6" s="16" t="s">
        <v>33</v>
      </c>
      <c r="D6" s="16" t="s">
        <v>39</v>
      </c>
      <c r="E6" s="16" t="s">
        <v>47</v>
      </c>
      <c r="F6" s="16" t="s">
        <v>49</v>
      </c>
      <c r="G6" s="16" t="s">
        <v>49</v>
      </c>
      <c r="H6" s="16" t="s">
        <v>59</v>
      </c>
      <c r="I6" s="16" t="s">
        <v>65</v>
      </c>
      <c r="J6" s="16" t="s">
        <v>71</v>
      </c>
      <c r="K6" s="16" t="s">
        <v>76</v>
      </c>
      <c r="L6" s="16" t="s">
        <v>81</v>
      </c>
      <c r="M6" s="16" t="s">
        <v>87</v>
      </c>
      <c r="N6" s="16" t="s">
        <v>93</v>
      </c>
      <c r="O6" s="16" t="s">
        <v>97</v>
      </c>
      <c r="P6" s="16" t="s">
        <v>103</v>
      </c>
      <c r="Q6" s="16" t="s">
        <v>109</v>
      </c>
      <c r="R6" s="16" t="s">
        <v>117</v>
      </c>
      <c r="S6" s="16" t="s">
        <v>121</v>
      </c>
      <c r="T6" s="16" t="s">
        <v>122</v>
      </c>
      <c r="U6" s="16" t="s">
        <v>134</v>
      </c>
      <c r="V6" s="16" t="s">
        <v>138</v>
      </c>
      <c r="W6" s="8" t="n">
        <f aca="false">INDEX(Mapping!$C$2:$C$99,MATCH("C1|"&amp;C6,Mapping!$D$2:$D$99,0))</f>
        <v>3</v>
      </c>
      <c r="X6" s="8" t="n">
        <f aca="false">INDEX(Mapping!$C$2:$C$99,MATCH("C2|"&amp;D6,Mapping!$D$2:$D$99,0))</f>
        <v>3</v>
      </c>
      <c r="Y6" s="8" t="n">
        <f aca="false">INDEX(Mapping!$C$2:$C$99,MATCH("C3|"&amp;E6,Mapping!$D$2:$D$99,0))</f>
        <v>5</v>
      </c>
      <c r="Z6" s="8" t="n">
        <f aca="false">INDEX(Mapping!$C$2:$C$99,MATCH("C4|"&amp;F6,Mapping!$D$2:$D$99,0))</f>
        <v>1</v>
      </c>
      <c r="AA6" s="8" t="n">
        <f aca="false">INDEX(Mapping!$C$2:$C$99,MATCH("C5|"&amp;G6,Mapping!$D$2:$D$99,0))</f>
        <v>1</v>
      </c>
      <c r="AB6" s="8" t="n">
        <f aca="false">INDEX(Mapping!$C$2:$C$99,MATCH("G1|"&amp;H6,Mapping!$D$2:$D$99,0))</f>
        <v>1</v>
      </c>
      <c r="AC6" s="8" t="n">
        <f aca="false">INDEX(Mapping!$C$2:$C$99,MATCH("G2|"&amp;I6,Mapping!$D$2:$D$99,0))</f>
        <v>1</v>
      </c>
      <c r="AD6" s="8" t="n">
        <f aca="false">INDEX(Mapping!$C$2:$C$99,MATCH("G3|"&amp;J6,Mapping!$D$2:$D$99,0))</f>
        <v>2</v>
      </c>
      <c r="AE6" s="8" t="n">
        <f aca="false">INDEX(Mapping!$C$2:$C$99,MATCH("P1|"&amp;K6,Mapping!$D$2:$D$99,0))</f>
        <v>4</v>
      </c>
      <c r="AF6" s="8" t="n">
        <f aca="false">INDEX(Mapping!$C$2:$C$99,MATCH("P2|"&amp;L6,Mapping!$D$2:$D$99,0))</f>
        <v>3</v>
      </c>
      <c r="AG6" s="8" t="n">
        <f aca="false">INDEX(Mapping!$C$2:$C$99,MATCH("P3|"&amp;M6,Mapping!$D$2:$D$99,0))</f>
        <v>3</v>
      </c>
      <c r="AH6" s="8" t="n">
        <f aca="false">INDEX(Mapping!$C$2:$C$99,MATCH("P4|"&amp;N6,Mapping!$D$2:$D$99,0))</f>
        <v>3</v>
      </c>
      <c r="AI6" s="8" t="n">
        <f aca="false">INDEX(Mapping!$C$2:$C$99,MATCH("D1|"&amp;O6,Mapping!$D$2:$D$99,0))</f>
        <v>1</v>
      </c>
      <c r="AJ6" s="8" t="n">
        <f aca="false">INDEX(Mapping!$C$2:$C$99,MATCH("D2|"&amp;P6,Mapping!$D$2:$D$99,0))</f>
        <v>1</v>
      </c>
      <c r="AK6" s="8" t="n">
        <f aca="false">INDEX(Mapping!$C$2:$C$99,MATCH("D3|"&amp;Q6,Mapping!$D$2:$D$99,0))</f>
        <v>1</v>
      </c>
      <c r="AL6" s="8" t="n">
        <f aca="false">INDEX(Mapping!$C$2:$C$99,MATCH("A1|"&amp;R6,Mapping!$D$2:$D$99,0))</f>
        <v>3</v>
      </c>
      <c r="AM6" s="8" t="n">
        <f aca="false">INDEX(Mapping!$C$2:$C$99,MATCH("A2|"&amp;S6,Mapping!$D$2:$D$99,0))</f>
        <v>1</v>
      </c>
      <c r="AN6" s="8" t="n">
        <f aca="false">INDEX(Mapping!$C$2:$C$99,MATCH("A3|"&amp;T6,Mapping!$D$2:$D$99,0))</f>
        <v>2</v>
      </c>
      <c r="AO6" s="8" t="n">
        <f aca="false">INDEX(Mapping!$C$2:$C$99,MATCH("A4|"&amp;U6,Mapping!$D$2:$D$99,0))</f>
        <v>3</v>
      </c>
      <c r="AP6" s="8" t="n">
        <f aca="false">INDEX(Mapping!$C$2:$C$99,MATCH("A5|"&amp;V6,Mapping!$D$2:$D$99,0))</f>
        <v>1</v>
      </c>
      <c r="AQ6" s="17" t="n">
        <f aca="false">SUMPRODUCT($W6:$AP6,Weights!$C$27:$V$27)</f>
        <v>2.26</v>
      </c>
      <c r="AR6" s="18" t="n">
        <f aca="false">ROUND($AQ6,2)</f>
        <v>2.26</v>
      </c>
      <c r="AS6" s="8" t="str">
        <f aca="false">IF($AR6&lt;=2,"Low",IF($AR6&lt;=3.49,"Medium","High"))</f>
        <v>Medium</v>
      </c>
      <c r="AT6" s="8" t="str">
        <f aca="false">IF(OR($Z6&gt;=3,$Y6=5,$X6=5,$W6=5,$AA6=5,$AB6=5,$AC6=5,$AD6=5),"Yes","No")</f>
        <v>Yes</v>
      </c>
      <c r="AU6" s="15" t="str">
        <f aca="false">IF($AT6="Yes","High",$AS6)</f>
        <v>High</v>
      </c>
      <c r="AV6" s="18" t="n">
        <f aca="false">SUMPRODUCT($W6:$AA6,Weights!$C$28:$G$28)</f>
        <v>2.8</v>
      </c>
      <c r="AW6" s="18" t="n">
        <f aca="false">SUMPRODUCT($AB6:$AD6,Weights!$H$28:$J$28)</f>
        <v>1.4</v>
      </c>
      <c r="AX6" s="18" t="n">
        <f aca="false">SUMPRODUCT($AE6:$AH6,Weights!$K$28:$N$28)</f>
        <v>3.35</v>
      </c>
      <c r="AY6" s="18" t="n">
        <f aca="false">SUMPRODUCT($AI6:$AK6,Weights!$O$28:$Q$28)</f>
        <v>1</v>
      </c>
      <c r="AZ6" s="18" t="n">
        <f aca="false">SUMPRODUCT($AL6:$AP6,Weights!$R$28:$V$28)</f>
        <v>2</v>
      </c>
      <c r="BA6" s="8" t="str">
        <f aca="false">IF($AR6&lt;=1.6,"Low",IF($AR6&lt;=2.2,"Medium","High"))</f>
        <v>High</v>
      </c>
      <c r="BB6" s="24" t="str">
        <f aca="false">IF(OR($AT6="Yes",$AP6=5),"High",$BA6)</f>
        <v>High</v>
      </c>
    </row>
    <row r="7" customFormat="false" ht="15" hidden="false" customHeight="false" outlineLevel="0" collapsed="false">
      <c r="A7" s="15" t="s">
        <v>1046</v>
      </c>
      <c r="B7" s="7" t="s">
        <v>1047</v>
      </c>
      <c r="C7" s="16" t="s">
        <v>33</v>
      </c>
      <c r="D7" s="16" t="s">
        <v>38</v>
      </c>
      <c r="E7" s="16" t="s">
        <v>45</v>
      </c>
      <c r="F7" s="16" t="s">
        <v>49</v>
      </c>
      <c r="G7" s="16" t="s">
        <v>49</v>
      </c>
      <c r="H7" s="16" t="s">
        <v>59</v>
      </c>
      <c r="I7" s="16" t="s">
        <v>65</v>
      </c>
      <c r="J7" s="16" t="s">
        <v>71</v>
      </c>
      <c r="K7" s="16" t="s">
        <v>76</v>
      </c>
      <c r="L7" s="16" t="s">
        <v>81</v>
      </c>
      <c r="M7" s="16" t="s">
        <v>86</v>
      </c>
      <c r="N7" s="16" t="s">
        <v>91</v>
      </c>
      <c r="O7" s="16" t="s">
        <v>97</v>
      </c>
      <c r="P7" s="16" t="s">
        <v>103</v>
      </c>
      <c r="Q7" s="16" t="s">
        <v>109</v>
      </c>
      <c r="R7" s="16" t="s">
        <v>116</v>
      </c>
      <c r="S7" s="16" t="s">
        <v>122</v>
      </c>
      <c r="T7" s="16" t="s">
        <v>122</v>
      </c>
      <c r="U7" s="16" t="s">
        <v>133</v>
      </c>
      <c r="V7" s="16" t="s">
        <v>138</v>
      </c>
      <c r="W7" s="8" t="n">
        <f aca="false">INDEX(Mapping!$C$2:$C$99,MATCH("C1|"&amp;C7,Mapping!$D$2:$D$99,0))</f>
        <v>3</v>
      </c>
      <c r="X7" s="8" t="n">
        <f aca="false">INDEX(Mapping!$C$2:$C$99,MATCH("C2|"&amp;D7,Mapping!$D$2:$D$99,0))</f>
        <v>2</v>
      </c>
      <c r="Y7" s="8" t="n">
        <f aca="false">INDEX(Mapping!$C$2:$C$99,MATCH("C3|"&amp;E7,Mapping!$D$2:$D$99,0))</f>
        <v>3</v>
      </c>
      <c r="Z7" s="8" t="n">
        <f aca="false">INDEX(Mapping!$C$2:$C$99,MATCH("C4|"&amp;F7,Mapping!$D$2:$D$99,0))</f>
        <v>1</v>
      </c>
      <c r="AA7" s="8" t="n">
        <f aca="false">INDEX(Mapping!$C$2:$C$99,MATCH("C5|"&amp;G7,Mapping!$D$2:$D$99,0))</f>
        <v>1</v>
      </c>
      <c r="AB7" s="8" t="n">
        <f aca="false">INDEX(Mapping!$C$2:$C$99,MATCH("G1|"&amp;H7,Mapping!$D$2:$D$99,0))</f>
        <v>1</v>
      </c>
      <c r="AC7" s="8" t="n">
        <f aca="false">INDEX(Mapping!$C$2:$C$99,MATCH("G2|"&amp;I7,Mapping!$D$2:$D$99,0))</f>
        <v>1</v>
      </c>
      <c r="AD7" s="8" t="n">
        <f aca="false">INDEX(Mapping!$C$2:$C$99,MATCH("G3|"&amp;J7,Mapping!$D$2:$D$99,0))</f>
        <v>2</v>
      </c>
      <c r="AE7" s="8" t="n">
        <f aca="false">INDEX(Mapping!$C$2:$C$99,MATCH("P1|"&amp;K7,Mapping!$D$2:$D$99,0))</f>
        <v>4</v>
      </c>
      <c r="AF7" s="8" t="n">
        <f aca="false">INDEX(Mapping!$C$2:$C$99,MATCH("P2|"&amp;L7,Mapping!$D$2:$D$99,0))</f>
        <v>3</v>
      </c>
      <c r="AG7" s="8" t="n">
        <f aca="false">INDEX(Mapping!$C$2:$C$99,MATCH("P3|"&amp;M7,Mapping!$D$2:$D$99,0))</f>
        <v>2</v>
      </c>
      <c r="AH7" s="8" t="n">
        <f aca="false">INDEX(Mapping!$C$2:$C$99,MATCH("P4|"&amp;N7,Mapping!$D$2:$D$99,0))</f>
        <v>1</v>
      </c>
      <c r="AI7" s="8" t="n">
        <f aca="false">INDEX(Mapping!$C$2:$C$99,MATCH("D1|"&amp;O7,Mapping!$D$2:$D$99,0))</f>
        <v>1</v>
      </c>
      <c r="AJ7" s="8" t="n">
        <f aca="false">INDEX(Mapping!$C$2:$C$99,MATCH("D2|"&amp;P7,Mapping!$D$2:$D$99,0))</f>
        <v>1</v>
      </c>
      <c r="AK7" s="8" t="n">
        <f aca="false">INDEX(Mapping!$C$2:$C$99,MATCH("D3|"&amp;Q7,Mapping!$D$2:$D$99,0))</f>
        <v>1</v>
      </c>
      <c r="AL7" s="8" t="n">
        <f aca="false">INDEX(Mapping!$C$2:$C$99,MATCH("A1|"&amp;R7,Mapping!$D$2:$D$99,0))</f>
        <v>2</v>
      </c>
      <c r="AM7" s="8" t="n">
        <f aca="false">INDEX(Mapping!$C$2:$C$99,MATCH("A2|"&amp;S7,Mapping!$D$2:$D$99,0))</f>
        <v>2</v>
      </c>
      <c r="AN7" s="8" t="n">
        <f aca="false">INDEX(Mapping!$C$2:$C$99,MATCH("A3|"&amp;T7,Mapping!$D$2:$D$99,0))</f>
        <v>2</v>
      </c>
      <c r="AO7" s="8" t="n">
        <f aca="false">INDEX(Mapping!$C$2:$C$99,MATCH("A4|"&amp;U7,Mapping!$D$2:$D$99,0))</f>
        <v>2</v>
      </c>
      <c r="AP7" s="8" t="n">
        <f aca="false">INDEX(Mapping!$C$2:$C$99,MATCH("A5|"&amp;V7,Mapping!$D$2:$D$99,0))</f>
        <v>1</v>
      </c>
      <c r="AQ7" s="17" t="n">
        <f aca="false">SUMPRODUCT($W7:$AP7,Weights!$C$27:$V$27)</f>
        <v>1.925</v>
      </c>
      <c r="AR7" s="18" t="n">
        <f aca="false">ROUND($AQ7,2)</f>
        <v>1.93</v>
      </c>
      <c r="AS7" s="8" t="str">
        <f aca="false">IF($AR7&lt;=2,"Low",IF($AR7&lt;=3.49,"Medium","High"))</f>
        <v>Low</v>
      </c>
      <c r="AT7" s="8" t="str">
        <f aca="false">IF(OR($Z7&gt;=3,$Y7=5,$X7=5,$W7=5,$AA7=5,$AB7=5,$AC7=5,$AD7=5),"Yes","No")</f>
        <v>No</v>
      </c>
      <c r="AU7" s="15" t="str">
        <f aca="false">IF($AT7="Yes","High",$AS7)</f>
        <v>Low</v>
      </c>
      <c r="AV7" s="18" t="n">
        <f aca="false">SUMPRODUCT($W7:$AA7,Weights!$C$28:$G$28)</f>
        <v>2.1</v>
      </c>
      <c r="AW7" s="18" t="n">
        <f aca="false">SUMPRODUCT($AB7:$AD7,Weights!$H$28:$J$28)</f>
        <v>1.4</v>
      </c>
      <c r="AX7" s="18" t="n">
        <f aca="false">SUMPRODUCT($AE7:$AH7,Weights!$K$28:$N$28)</f>
        <v>2.8</v>
      </c>
      <c r="AY7" s="18" t="n">
        <f aca="false">SUMPRODUCT($AI7:$AK7,Weights!$O$28:$Q$28)</f>
        <v>1</v>
      </c>
      <c r="AZ7" s="18" t="n">
        <f aca="false">SUMPRODUCT($AL7:$AP7,Weights!$R$28:$V$28)</f>
        <v>1.9</v>
      </c>
      <c r="BA7" s="8" t="str">
        <f aca="false">IF($AR7&lt;=1.6,"Low",IF($AR7&lt;=2.2,"Medium","High"))</f>
        <v>Medium</v>
      </c>
      <c r="BB7" s="24" t="str">
        <f aca="false">IF(OR($AT7="Yes",$AP7=5),"High",$BA7)</f>
        <v>Medium</v>
      </c>
    </row>
    <row r="8" customFormat="false" ht="15" hidden="false" customHeight="false" outlineLevel="0" collapsed="false">
      <c r="A8" s="15" t="s">
        <v>1048</v>
      </c>
      <c r="B8" s="7" t="s">
        <v>1049</v>
      </c>
      <c r="C8" s="16" t="s">
        <v>33</v>
      </c>
      <c r="D8" s="16" t="s">
        <v>38</v>
      </c>
      <c r="E8" s="16" t="s">
        <v>47</v>
      </c>
      <c r="F8" s="16" t="s">
        <v>49</v>
      </c>
      <c r="G8" s="16" t="s">
        <v>49</v>
      </c>
      <c r="H8" s="16" t="s">
        <v>59</v>
      </c>
      <c r="I8" s="16" t="s">
        <v>65</v>
      </c>
      <c r="J8" s="16" t="s">
        <v>71</v>
      </c>
      <c r="K8" s="16" t="s">
        <v>76</v>
      </c>
      <c r="L8" s="16" t="s">
        <v>81</v>
      </c>
      <c r="M8" s="16" t="s">
        <v>87</v>
      </c>
      <c r="N8" s="16" t="s">
        <v>91</v>
      </c>
      <c r="O8" s="16" t="s">
        <v>97</v>
      </c>
      <c r="P8" s="16" t="s">
        <v>103</v>
      </c>
      <c r="Q8" s="16" t="s">
        <v>109</v>
      </c>
      <c r="R8" s="16" t="s">
        <v>116</v>
      </c>
      <c r="S8" s="16" t="s">
        <v>122</v>
      </c>
      <c r="T8" s="16" t="s">
        <v>128</v>
      </c>
      <c r="U8" s="16" t="s">
        <v>134</v>
      </c>
      <c r="V8" s="16" t="s">
        <v>138</v>
      </c>
      <c r="W8" s="8" t="n">
        <f aca="false">INDEX(Mapping!$C$2:$C$99,MATCH("C1|"&amp;C8,Mapping!$D$2:$D$99,0))</f>
        <v>3</v>
      </c>
      <c r="X8" s="8" t="n">
        <f aca="false">INDEX(Mapping!$C$2:$C$99,MATCH("C2|"&amp;D8,Mapping!$D$2:$D$99,0))</f>
        <v>2</v>
      </c>
      <c r="Y8" s="8" t="n">
        <f aca="false">INDEX(Mapping!$C$2:$C$99,MATCH("C3|"&amp;E8,Mapping!$D$2:$D$99,0))</f>
        <v>5</v>
      </c>
      <c r="Z8" s="8" t="n">
        <f aca="false">INDEX(Mapping!$C$2:$C$99,MATCH("C4|"&amp;F8,Mapping!$D$2:$D$99,0))</f>
        <v>1</v>
      </c>
      <c r="AA8" s="8" t="n">
        <f aca="false">INDEX(Mapping!$C$2:$C$99,MATCH("C5|"&amp;G8,Mapping!$D$2:$D$99,0))</f>
        <v>1</v>
      </c>
      <c r="AB8" s="8" t="n">
        <f aca="false">INDEX(Mapping!$C$2:$C$99,MATCH("G1|"&amp;H8,Mapping!$D$2:$D$99,0))</f>
        <v>1</v>
      </c>
      <c r="AC8" s="8" t="n">
        <f aca="false">INDEX(Mapping!$C$2:$C$99,MATCH("G2|"&amp;I8,Mapping!$D$2:$D$99,0))</f>
        <v>1</v>
      </c>
      <c r="AD8" s="8" t="n">
        <f aca="false">INDEX(Mapping!$C$2:$C$99,MATCH("G3|"&amp;J8,Mapping!$D$2:$D$99,0))</f>
        <v>2</v>
      </c>
      <c r="AE8" s="8" t="n">
        <f aca="false">INDEX(Mapping!$C$2:$C$99,MATCH("P1|"&amp;K8,Mapping!$D$2:$D$99,0))</f>
        <v>4</v>
      </c>
      <c r="AF8" s="8" t="n">
        <f aca="false">INDEX(Mapping!$C$2:$C$99,MATCH("P2|"&amp;L8,Mapping!$D$2:$D$99,0))</f>
        <v>3</v>
      </c>
      <c r="AG8" s="8" t="n">
        <f aca="false">INDEX(Mapping!$C$2:$C$99,MATCH("P3|"&amp;M8,Mapping!$D$2:$D$99,0))</f>
        <v>3</v>
      </c>
      <c r="AH8" s="8" t="n">
        <f aca="false">INDEX(Mapping!$C$2:$C$99,MATCH("P4|"&amp;N8,Mapping!$D$2:$D$99,0))</f>
        <v>1</v>
      </c>
      <c r="AI8" s="8" t="n">
        <f aca="false">INDEX(Mapping!$C$2:$C$99,MATCH("D1|"&amp;O8,Mapping!$D$2:$D$99,0))</f>
        <v>1</v>
      </c>
      <c r="AJ8" s="8" t="n">
        <f aca="false">INDEX(Mapping!$C$2:$C$99,MATCH("D2|"&amp;P8,Mapping!$D$2:$D$99,0))</f>
        <v>1</v>
      </c>
      <c r="AK8" s="8" t="n">
        <f aca="false">INDEX(Mapping!$C$2:$C$99,MATCH("D3|"&amp;Q8,Mapping!$D$2:$D$99,0))</f>
        <v>1</v>
      </c>
      <c r="AL8" s="8" t="n">
        <f aca="false">INDEX(Mapping!$C$2:$C$99,MATCH("A1|"&amp;R8,Mapping!$D$2:$D$99,0))</f>
        <v>2</v>
      </c>
      <c r="AM8" s="8" t="n">
        <f aca="false">INDEX(Mapping!$C$2:$C$99,MATCH("A2|"&amp;S8,Mapping!$D$2:$D$99,0))</f>
        <v>2</v>
      </c>
      <c r="AN8" s="8" t="n">
        <f aca="false">INDEX(Mapping!$C$2:$C$99,MATCH("A3|"&amp;T8,Mapping!$D$2:$D$99,0))</f>
        <v>3</v>
      </c>
      <c r="AO8" s="8" t="n">
        <f aca="false">INDEX(Mapping!$C$2:$C$99,MATCH("A4|"&amp;U8,Mapping!$D$2:$D$99,0))</f>
        <v>3</v>
      </c>
      <c r="AP8" s="8" t="n">
        <f aca="false">INDEX(Mapping!$C$2:$C$99,MATCH("A5|"&amp;V8,Mapping!$D$2:$D$99,0))</f>
        <v>1</v>
      </c>
      <c r="AQ8" s="17" t="n">
        <f aca="false">SUMPRODUCT($W8:$AP8,Weights!$C$27:$V$27)</f>
        <v>2.1775</v>
      </c>
      <c r="AR8" s="18" t="n">
        <f aca="false">ROUND($AQ8,2)</f>
        <v>2.18</v>
      </c>
      <c r="AS8" s="8" t="str">
        <f aca="false">IF($AR8&lt;=2,"Low",IF($AR8&lt;=3.49,"Medium","High"))</f>
        <v>Medium</v>
      </c>
      <c r="AT8" s="8" t="str">
        <f aca="false">IF(OR($Z8&gt;=3,$Y8=5,$X8=5,$W8=5,$AA8=5,$AB8=5,$AC8=5,$AD8=5),"Yes","No")</f>
        <v>Yes</v>
      </c>
      <c r="AU8" s="15" t="str">
        <f aca="false">IF($AT8="Yes","High",$AS8)</f>
        <v>High</v>
      </c>
      <c r="AV8" s="18" t="n">
        <f aca="false">SUMPRODUCT($W8:$AA8,Weights!$C$28:$G$28)</f>
        <v>2.6</v>
      </c>
      <c r="AW8" s="18" t="n">
        <f aca="false">SUMPRODUCT($AB8:$AD8,Weights!$H$28:$J$28)</f>
        <v>1.4</v>
      </c>
      <c r="AX8" s="18" t="n">
        <f aca="false">SUMPRODUCT($AE8:$AH8,Weights!$K$28:$N$28)</f>
        <v>3.05</v>
      </c>
      <c r="AY8" s="18" t="n">
        <f aca="false">SUMPRODUCT($AI8:$AK8,Weights!$O$28:$Q$28)</f>
        <v>1</v>
      </c>
      <c r="AZ8" s="18" t="n">
        <f aca="false">SUMPRODUCT($AL8:$AP8,Weights!$R$28:$V$28)</f>
        <v>2.25</v>
      </c>
      <c r="BA8" s="8" t="str">
        <f aca="false">IF($AR8&lt;=1.6,"Low",IF($AR8&lt;=2.2,"Medium","High"))</f>
        <v>Medium</v>
      </c>
      <c r="BB8" s="24" t="str">
        <f aca="false">IF(OR($AT8="Yes",$AP8=5),"High",$BA8)</f>
        <v>High</v>
      </c>
    </row>
    <row r="9" customFormat="false" ht="15" hidden="false" customHeight="false" outlineLevel="0" collapsed="false">
      <c r="A9" s="15" t="s">
        <v>1050</v>
      </c>
      <c r="B9" s="7" t="s">
        <v>1051</v>
      </c>
      <c r="C9" s="16" t="s">
        <v>33</v>
      </c>
      <c r="D9" s="16" t="s">
        <v>38</v>
      </c>
      <c r="E9" s="16" t="s">
        <v>47</v>
      </c>
      <c r="F9" s="16" t="s">
        <v>49</v>
      </c>
      <c r="G9" s="16" t="s">
        <v>49</v>
      </c>
      <c r="H9" s="16" t="s">
        <v>59</v>
      </c>
      <c r="I9" s="16" t="s">
        <v>65</v>
      </c>
      <c r="J9" s="16" t="s">
        <v>71</v>
      </c>
      <c r="K9" s="16" t="s">
        <v>76</v>
      </c>
      <c r="L9" s="16" t="s">
        <v>80</v>
      </c>
      <c r="M9" s="16" t="s">
        <v>87</v>
      </c>
      <c r="N9" s="16" t="s">
        <v>91</v>
      </c>
      <c r="O9" s="16" t="s">
        <v>97</v>
      </c>
      <c r="P9" s="16" t="s">
        <v>103</v>
      </c>
      <c r="Q9" s="16" t="s">
        <v>109</v>
      </c>
      <c r="R9" s="16" t="s">
        <v>117</v>
      </c>
      <c r="S9" s="16" t="s">
        <v>121</v>
      </c>
      <c r="T9" s="16" t="s">
        <v>128</v>
      </c>
      <c r="U9" s="16" t="s">
        <v>133</v>
      </c>
      <c r="V9" s="16" t="s">
        <v>141</v>
      </c>
      <c r="W9" s="8" t="n">
        <f aca="false">INDEX(Mapping!$C$2:$C$99,MATCH("C1|"&amp;C9,Mapping!$D$2:$D$99,0))</f>
        <v>3</v>
      </c>
      <c r="X9" s="8" t="n">
        <f aca="false">INDEX(Mapping!$C$2:$C$99,MATCH("C2|"&amp;D9,Mapping!$D$2:$D$99,0))</f>
        <v>2</v>
      </c>
      <c r="Y9" s="8" t="n">
        <f aca="false">INDEX(Mapping!$C$2:$C$99,MATCH("C3|"&amp;E9,Mapping!$D$2:$D$99,0))</f>
        <v>5</v>
      </c>
      <c r="Z9" s="8" t="n">
        <f aca="false">INDEX(Mapping!$C$2:$C$99,MATCH("C4|"&amp;F9,Mapping!$D$2:$D$99,0))</f>
        <v>1</v>
      </c>
      <c r="AA9" s="8" t="n">
        <f aca="false">INDEX(Mapping!$C$2:$C$99,MATCH("C5|"&amp;G9,Mapping!$D$2:$D$99,0))</f>
        <v>1</v>
      </c>
      <c r="AB9" s="8" t="n">
        <f aca="false">INDEX(Mapping!$C$2:$C$99,MATCH("G1|"&amp;H9,Mapping!$D$2:$D$99,0))</f>
        <v>1</v>
      </c>
      <c r="AC9" s="8" t="n">
        <f aca="false">INDEX(Mapping!$C$2:$C$99,MATCH("G2|"&amp;I9,Mapping!$D$2:$D$99,0))</f>
        <v>1</v>
      </c>
      <c r="AD9" s="8" t="n">
        <f aca="false">INDEX(Mapping!$C$2:$C$99,MATCH("G3|"&amp;J9,Mapping!$D$2:$D$99,0))</f>
        <v>2</v>
      </c>
      <c r="AE9" s="8" t="n">
        <f aca="false">INDEX(Mapping!$C$2:$C$99,MATCH("P1|"&amp;K9,Mapping!$D$2:$D$99,0))</f>
        <v>4</v>
      </c>
      <c r="AF9" s="8" t="n">
        <f aca="false">INDEX(Mapping!$C$2:$C$99,MATCH("P2|"&amp;L9,Mapping!$D$2:$D$99,0))</f>
        <v>2</v>
      </c>
      <c r="AG9" s="8" t="n">
        <f aca="false">INDEX(Mapping!$C$2:$C$99,MATCH("P3|"&amp;M9,Mapping!$D$2:$D$99,0))</f>
        <v>3</v>
      </c>
      <c r="AH9" s="8" t="n">
        <f aca="false">INDEX(Mapping!$C$2:$C$99,MATCH("P4|"&amp;N9,Mapping!$D$2:$D$99,0))</f>
        <v>1</v>
      </c>
      <c r="AI9" s="8" t="n">
        <f aca="false">INDEX(Mapping!$C$2:$C$99,MATCH("D1|"&amp;O9,Mapping!$D$2:$D$99,0))</f>
        <v>1</v>
      </c>
      <c r="AJ9" s="8" t="n">
        <f aca="false">INDEX(Mapping!$C$2:$C$99,MATCH("D2|"&amp;P9,Mapping!$D$2:$D$99,0))</f>
        <v>1</v>
      </c>
      <c r="AK9" s="8" t="n">
        <f aca="false">INDEX(Mapping!$C$2:$C$99,MATCH("D3|"&amp;Q9,Mapping!$D$2:$D$99,0))</f>
        <v>1</v>
      </c>
      <c r="AL9" s="8" t="n">
        <f aca="false">INDEX(Mapping!$C$2:$C$99,MATCH("A1|"&amp;R9,Mapping!$D$2:$D$99,0))</f>
        <v>3</v>
      </c>
      <c r="AM9" s="8" t="n">
        <f aca="false">INDEX(Mapping!$C$2:$C$99,MATCH("A2|"&amp;S9,Mapping!$D$2:$D$99,0))</f>
        <v>1</v>
      </c>
      <c r="AN9" s="8" t="n">
        <f aca="false">INDEX(Mapping!$C$2:$C$99,MATCH("A3|"&amp;T9,Mapping!$D$2:$D$99,0))</f>
        <v>3</v>
      </c>
      <c r="AO9" s="8" t="n">
        <f aca="false">INDEX(Mapping!$C$2:$C$99,MATCH("A4|"&amp;U9,Mapping!$D$2:$D$99,0))</f>
        <v>2</v>
      </c>
      <c r="AP9" s="8" t="n">
        <f aca="false">INDEX(Mapping!$C$2:$C$99,MATCH("A5|"&amp;V9,Mapping!$D$2:$D$99,0))</f>
        <v>4</v>
      </c>
      <c r="AQ9" s="17" t="n">
        <f aca="false">SUMPRODUCT($W9:$AP9,Weights!$C$27:$V$27)</f>
        <v>2.1425</v>
      </c>
      <c r="AR9" s="18" t="n">
        <f aca="false">ROUND($AQ9,2)</f>
        <v>2.14</v>
      </c>
      <c r="AS9" s="8" t="str">
        <f aca="false">IF($AR9&lt;=2,"Low",IF($AR9&lt;=3.49,"Medium","High"))</f>
        <v>Medium</v>
      </c>
      <c r="AT9" s="8" t="str">
        <f aca="false">IF(OR($Z9&gt;=3,$Y9=5,$X9=5,$W9=5,$AA9=5,$AB9=5,$AC9=5,$AD9=5),"Yes","No")</f>
        <v>Yes</v>
      </c>
      <c r="AU9" s="15" t="str">
        <f aca="false">IF($AT9="Yes","High",$AS9)</f>
        <v>High</v>
      </c>
      <c r="AV9" s="18" t="n">
        <f aca="false">SUMPRODUCT($W9:$AA9,Weights!$C$28:$G$28)</f>
        <v>2.6</v>
      </c>
      <c r="AW9" s="18" t="n">
        <f aca="false">SUMPRODUCT($AB9:$AD9,Weights!$H$28:$J$28)</f>
        <v>1.4</v>
      </c>
      <c r="AX9" s="18" t="n">
        <f aca="false">SUMPRODUCT($AE9:$AH9,Weights!$K$28:$N$28)</f>
        <v>2.8</v>
      </c>
      <c r="AY9" s="18" t="n">
        <f aca="false">SUMPRODUCT($AI9:$AK9,Weights!$O$28:$Q$28)</f>
        <v>1</v>
      </c>
      <c r="AZ9" s="18" t="n">
        <f aca="false">SUMPRODUCT($AL9:$AP9,Weights!$R$28:$V$28)</f>
        <v>2.35</v>
      </c>
      <c r="BA9" s="8" t="str">
        <f aca="false">IF($AR9&lt;=1.6,"Low",IF($AR9&lt;=2.2,"Medium","High"))</f>
        <v>Medium</v>
      </c>
      <c r="BB9" s="24" t="str">
        <f aca="false">IF(OR($AT9="Yes",$AP9=5),"High",$BA9)</f>
        <v>High</v>
      </c>
    </row>
    <row r="10" customFormat="false" ht="15" hidden="false" customHeight="false" outlineLevel="0" collapsed="false">
      <c r="A10" s="15" t="s">
        <v>1052</v>
      </c>
      <c r="B10" s="7" t="s">
        <v>1053</v>
      </c>
      <c r="C10" s="16" t="s">
        <v>33</v>
      </c>
      <c r="D10" s="16" t="s">
        <v>38</v>
      </c>
      <c r="E10" s="16" t="s">
        <v>47</v>
      </c>
      <c r="F10" s="16" t="s">
        <v>49</v>
      </c>
      <c r="G10" s="16" t="s">
        <v>49</v>
      </c>
      <c r="H10" s="16" t="s">
        <v>59</v>
      </c>
      <c r="I10" s="16" t="s">
        <v>65</v>
      </c>
      <c r="J10" s="16" t="s">
        <v>61</v>
      </c>
      <c r="K10" s="16" t="s">
        <v>76</v>
      </c>
      <c r="L10" s="16" t="s">
        <v>80</v>
      </c>
      <c r="M10" s="16" t="s">
        <v>87</v>
      </c>
      <c r="N10" s="16" t="s">
        <v>91</v>
      </c>
      <c r="O10" s="16" t="s">
        <v>97</v>
      </c>
      <c r="P10" s="16" t="s">
        <v>103</v>
      </c>
      <c r="Q10" s="16" t="s">
        <v>109</v>
      </c>
      <c r="R10" s="16" t="s">
        <v>117</v>
      </c>
      <c r="S10" s="16" t="s">
        <v>121</v>
      </c>
      <c r="T10" s="16" t="s">
        <v>129</v>
      </c>
      <c r="U10" s="16" t="s">
        <v>133</v>
      </c>
      <c r="V10" s="16" t="s">
        <v>142</v>
      </c>
      <c r="W10" s="8" t="n">
        <f aca="false">INDEX(Mapping!$C$2:$C$99,MATCH("C1|"&amp;C10,Mapping!$D$2:$D$99,0))</f>
        <v>3</v>
      </c>
      <c r="X10" s="8" t="n">
        <f aca="false">INDEX(Mapping!$C$2:$C$99,MATCH("C2|"&amp;D10,Mapping!$D$2:$D$99,0))</f>
        <v>2</v>
      </c>
      <c r="Y10" s="8" t="n">
        <f aca="false">INDEX(Mapping!$C$2:$C$99,MATCH("C3|"&amp;E10,Mapping!$D$2:$D$99,0))</f>
        <v>5</v>
      </c>
      <c r="Z10" s="8" t="n">
        <f aca="false">INDEX(Mapping!$C$2:$C$99,MATCH("C4|"&amp;F10,Mapping!$D$2:$D$99,0))</f>
        <v>1</v>
      </c>
      <c r="AA10" s="8" t="n">
        <f aca="false">INDEX(Mapping!$C$2:$C$99,MATCH("C5|"&amp;G10,Mapping!$D$2:$D$99,0))</f>
        <v>1</v>
      </c>
      <c r="AB10" s="8" t="n">
        <f aca="false">INDEX(Mapping!$C$2:$C$99,MATCH("G1|"&amp;H10,Mapping!$D$2:$D$99,0))</f>
        <v>1</v>
      </c>
      <c r="AC10" s="8" t="n">
        <f aca="false">INDEX(Mapping!$C$2:$C$99,MATCH("G2|"&amp;I10,Mapping!$D$2:$D$99,0))</f>
        <v>1</v>
      </c>
      <c r="AD10" s="8" t="n">
        <f aca="false">INDEX(Mapping!$C$2:$C$99,MATCH("G3|"&amp;J10,Mapping!$D$2:$D$99,0))</f>
        <v>3</v>
      </c>
      <c r="AE10" s="8" t="n">
        <f aca="false">INDEX(Mapping!$C$2:$C$99,MATCH("P1|"&amp;K10,Mapping!$D$2:$D$99,0))</f>
        <v>4</v>
      </c>
      <c r="AF10" s="8" t="n">
        <f aca="false">INDEX(Mapping!$C$2:$C$99,MATCH("P2|"&amp;L10,Mapping!$D$2:$D$99,0))</f>
        <v>2</v>
      </c>
      <c r="AG10" s="8" t="n">
        <f aca="false">INDEX(Mapping!$C$2:$C$99,MATCH("P3|"&amp;M10,Mapping!$D$2:$D$99,0))</f>
        <v>3</v>
      </c>
      <c r="AH10" s="8" t="n">
        <f aca="false">INDEX(Mapping!$C$2:$C$99,MATCH("P4|"&amp;N10,Mapping!$D$2:$D$99,0))</f>
        <v>1</v>
      </c>
      <c r="AI10" s="8" t="n">
        <f aca="false">INDEX(Mapping!$C$2:$C$99,MATCH("D1|"&amp;O10,Mapping!$D$2:$D$99,0))</f>
        <v>1</v>
      </c>
      <c r="AJ10" s="8" t="n">
        <f aca="false">INDEX(Mapping!$C$2:$C$99,MATCH("D2|"&amp;P10,Mapping!$D$2:$D$99,0))</f>
        <v>1</v>
      </c>
      <c r="AK10" s="8" t="n">
        <f aca="false">INDEX(Mapping!$C$2:$C$99,MATCH("D3|"&amp;Q10,Mapping!$D$2:$D$99,0))</f>
        <v>1</v>
      </c>
      <c r="AL10" s="8" t="n">
        <f aca="false">INDEX(Mapping!$C$2:$C$99,MATCH("A1|"&amp;R10,Mapping!$D$2:$D$99,0))</f>
        <v>3</v>
      </c>
      <c r="AM10" s="8" t="n">
        <f aca="false">INDEX(Mapping!$C$2:$C$99,MATCH("A2|"&amp;S10,Mapping!$D$2:$D$99,0))</f>
        <v>1</v>
      </c>
      <c r="AN10" s="8" t="n">
        <f aca="false">INDEX(Mapping!$C$2:$C$99,MATCH("A3|"&amp;T10,Mapping!$D$2:$D$99,0))</f>
        <v>4</v>
      </c>
      <c r="AO10" s="8" t="n">
        <f aca="false">INDEX(Mapping!$C$2:$C$99,MATCH("A4|"&amp;U10,Mapping!$D$2:$D$99,0))</f>
        <v>2</v>
      </c>
      <c r="AP10" s="8" t="n">
        <f aca="false">INDEX(Mapping!$C$2:$C$99,MATCH("A5|"&amp;V10,Mapping!$D$2:$D$99,0))</f>
        <v>5</v>
      </c>
      <c r="AQ10" s="17" t="n">
        <f aca="false">SUMPRODUCT($W10:$AP10,Weights!$C$27:$V$27)</f>
        <v>2.2875</v>
      </c>
      <c r="AR10" s="18" t="n">
        <f aca="false">ROUND($AQ10,2)</f>
        <v>2.29</v>
      </c>
      <c r="AS10" s="8" t="str">
        <f aca="false">IF($AR10&lt;=2,"Low",IF($AR10&lt;=3.49,"Medium","High"))</f>
        <v>Medium</v>
      </c>
      <c r="AT10" s="8" t="str">
        <f aca="false">IF(OR($Z10&gt;=3,$Y10=5,$X10=5,$W10=5,$AA10=5,$AB10=5,$AC10=5,$AD10=5),"Yes","No")</f>
        <v>Yes</v>
      </c>
      <c r="AU10" s="15" t="str">
        <f aca="false">IF($AT10="Yes","High",$AS10)</f>
        <v>High</v>
      </c>
      <c r="AV10" s="18" t="n">
        <f aca="false">SUMPRODUCT($W10:$AA10,Weights!$C$28:$G$28)</f>
        <v>2.6</v>
      </c>
      <c r="AW10" s="18" t="n">
        <f aca="false">SUMPRODUCT($AB10:$AD10,Weights!$H$28:$J$28)</f>
        <v>1.8</v>
      </c>
      <c r="AX10" s="18" t="n">
        <f aca="false">SUMPRODUCT($AE10:$AH10,Weights!$K$28:$N$28)</f>
        <v>2.8</v>
      </c>
      <c r="AY10" s="18" t="n">
        <f aca="false">SUMPRODUCT($AI10:$AK10,Weights!$O$28:$Q$28)</f>
        <v>1</v>
      </c>
      <c r="AZ10" s="18" t="n">
        <f aca="false">SUMPRODUCT($AL10:$AP10,Weights!$R$28:$V$28)</f>
        <v>2.65</v>
      </c>
      <c r="BA10" s="8" t="str">
        <f aca="false">IF($AR10&lt;=1.6,"Low",IF($AR10&lt;=2.2,"Medium","High"))</f>
        <v>High</v>
      </c>
      <c r="BB10" s="24" t="str">
        <f aca="false">IF(OR($AT10="Yes",$AP10=5),"High",$BA10)</f>
        <v>High</v>
      </c>
    </row>
    <row r="11" customFormat="false" ht="15" hidden="false" customHeight="false" outlineLevel="0" collapsed="false">
      <c r="A11" s="15" t="s">
        <v>1054</v>
      </c>
      <c r="B11" s="7" t="s">
        <v>1055</v>
      </c>
      <c r="C11" s="16" t="s">
        <v>33</v>
      </c>
      <c r="D11" s="16" t="s">
        <v>38</v>
      </c>
      <c r="E11" s="16" t="s">
        <v>44</v>
      </c>
      <c r="F11" s="16" t="s">
        <v>49</v>
      </c>
      <c r="G11" s="16" t="s">
        <v>49</v>
      </c>
      <c r="H11" s="16" t="s">
        <v>59</v>
      </c>
      <c r="I11" s="16" t="s">
        <v>65</v>
      </c>
      <c r="J11" s="16" t="s">
        <v>70</v>
      </c>
      <c r="K11" s="16" t="s">
        <v>76</v>
      </c>
      <c r="L11" s="16" t="s">
        <v>79</v>
      </c>
      <c r="M11" s="16" t="s">
        <v>88</v>
      </c>
      <c r="N11" s="16" t="s">
        <v>93</v>
      </c>
      <c r="O11" s="16" t="s">
        <v>97</v>
      </c>
      <c r="P11" s="16" t="s">
        <v>103</v>
      </c>
      <c r="Q11" s="16" t="s">
        <v>109</v>
      </c>
      <c r="R11" s="16" t="s">
        <v>117</v>
      </c>
      <c r="S11" s="16" t="s">
        <v>121</v>
      </c>
      <c r="T11" s="16" t="s">
        <v>122</v>
      </c>
      <c r="U11" s="16" t="s">
        <v>134</v>
      </c>
      <c r="V11" s="16" t="s">
        <v>138</v>
      </c>
      <c r="W11" s="8" t="n">
        <f aca="false">INDEX(Mapping!$C$2:$C$99,MATCH("C1|"&amp;C11,Mapping!$D$2:$D$99,0))</f>
        <v>3</v>
      </c>
      <c r="X11" s="8" t="n">
        <f aca="false">INDEX(Mapping!$C$2:$C$99,MATCH("C2|"&amp;D11,Mapping!$D$2:$D$99,0))</f>
        <v>2</v>
      </c>
      <c r="Y11" s="8" t="n">
        <f aca="false">INDEX(Mapping!$C$2:$C$99,MATCH("C3|"&amp;E11,Mapping!$D$2:$D$99,0))</f>
        <v>2</v>
      </c>
      <c r="Z11" s="8" t="n">
        <f aca="false">INDEX(Mapping!$C$2:$C$99,MATCH("C4|"&amp;F11,Mapping!$D$2:$D$99,0))</f>
        <v>1</v>
      </c>
      <c r="AA11" s="8" t="n">
        <f aca="false">INDEX(Mapping!$C$2:$C$99,MATCH("C5|"&amp;G11,Mapping!$D$2:$D$99,0))</f>
        <v>1</v>
      </c>
      <c r="AB11" s="8" t="n">
        <f aca="false">INDEX(Mapping!$C$2:$C$99,MATCH("G1|"&amp;H11,Mapping!$D$2:$D$99,0))</f>
        <v>1</v>
      </c>
      <c r="AC11" s="8" t="n">
        <f aca="false">INDEX(Mapping!$C$2:$C$99,MATCH("G2|"&amp;I11,Mapping!$D$2:$D$99,0))</f>
        <v>1</v>
      </c>
      <c r="AD11" s="8" t="n">
        <f aca="false">INDEX(Mapping!$C$2:$C$99,MATCH("G3|"&amp;J11,Mapping!$D$2:$D$99,0))</f>
        <v>1</v>
      </c>
      <c r="AE11" s="8" t="n">
        <f aca="false">INDEX(Mapping!$C$2:$C$99,MATCH("P1|"&amp;K11,Mapping!$D$2:$D$99,0))</f>
        <v>4</v>
      </c>
      <c r="AF11" s="8" t="n">
        <f aca="false">INDEX(Mapping!$C$2:$C$99,MATCH("P2|"&amp;L11,Mapping!$D$2:$D$99,0))</f>
        <v>1</v>
      </c>
      <c r="AG11" s="8" t="n">
        <f aca="false">INDEX(Mapping!$C$2:$C$99,MATCH("P3|"&amp;M11,Mapping!$D$2:$D$99,0))</f>
        <v>4</v>
      </c>
      <c r="AH11" s="8" t="n">
        <f aca="false">INDEX(Mapping!$C$2:$C$99,MATCH("P4|"&amp;N11,Mapping!$D$2:$D$99,0))</f>
        <v>3</v>
      </c>
      <c r="AI11" s="8" t="n">
        <f aca="false">INDEX(Mapping!$C$2:$C$99,MATCH("D1|"&amp;O11,Mapping!$D$2:$D$99,0))</f>
        <v>1</v>
      </c>
      <c r="AJ11" s="8" t="n">
        <f aca="false">INDEX(Mapping!$C$2:$C$99,MATCH("D2|"&amp;P11,Mapping!$D$2:$D$99,0))</f>
        <v>1</v>
      </c>
      <c r="AK11" s="8" t="n">
        <f aca="false">INDEX(Mapping!$C$2:$C$99,MATCH("D3|"&amp;Q11,Mapping!$D$2:$D$99,0))</f>
        <v>1</v>
      </c>
      <c r="AL11" s="8" t="n">
        <f aca="false">INDEX(Mapping!$C$2:$C$99,MATCH("A1|"&amp;R11,Mapping!$D$2:$D$99,0))</f>
        <v>3</v>
      </c>
      <c r="AM11" s="8" t="n">
        <f aca="false">INDEX(Mapping!$C$2:$C$99,MATCH("A2|"&amp;S11,Mapping!$D$2:$D$99,0))</f>
        <v>1</v>
      </c>
      <c r="AN11" s="8" t="n">
        <f aca="false">INDEX(Mapping!$C$2:$C$99,MATCH("A3|"&amp;T11,Mapping!$D$2:$D$99,0))</f>
        <v>2</v>
      </c>
      <c r="AO11" s="8" t="n">
        <f aca="false">INDEX(Mapping!$C$2:$C$99,MATCH("A4|"&amp;U11,Mapping!$D$2:$D$99,0))</f>
        <v>3</v>
      </c>
      <c r="AP11" s="8" t="n">
        <f aca="false">INDEX(Mapping!$C$2:$C$99,MATCH("A5|"&amp;V11,Mapping!$D$2:$D$99,0))</f>
        <v>1</v>
      </c>
      <c r="AQ11" s="17" t="n">
        <f aca="false">SUMPRODUCT($W11:$AP11,Weights!$C$27:$V$27)</f>
        <v>1.825</v>
      </c>
      <c r="AR11" s="18" t="n">
        <f aca="false">ROUND($AQ11,2)</f>
        <v>1.83</v>
      </c>
      <c r="AS11" s="8" t="str">
        <f aca="false">IF($AR11&lt;=2,"Low",IF($AR11&lt;=3.49,"Medium","High"))</f>
        <v>Low</v>
      </c>
      <c r="AT11" s="8" t="str">
        <f aca="false">IF(OR($Z11&gt;=3,$Y11=5,$X11=5,$W11=5,$AA11=5,$AB11=5,$AC11=5,$AD11=5),"Yes","No")</f>
        <v>No</v>
      </c>
      <c r="AU11" s="15" t="str">
        <f aca="false">IF($AT11="Yes","High",$AS11)</f>
        <v>Low</v>
      </c>
      <c r="AV11" s="18" t="n">
        <f aca="false">SUMPRODUCT($W11:$AA11,Weights!$C$28:$G$28)</f>
        <v>1.85</v>
      </c>
      <c r="AW11" s="18" t="n">
        <f aca="false">SUMPRODUCT($AB11:$AD11,Weights!$H$28:$J$28)</f>
        <v>1</v>
      </c>
      <c r="AX11" s="18" t="n">
        <f aca="false">SUMPRODUCT($AE11:$AH11,Weights!$K$28:$N$28)</f>
        <v>3.1</v>
      </c>
      <c r="AY11" s="18" t="n">
        <f aca="false">SUMPRODUCT($AI11:$AK11,Weights!$O$28:$Q$28)</f>
        <v>1</v>
      </c>
      <c r="AZ11" s="18" t="n">
        <f aca="false">SUMPRODUCT($AL11:$AP11,Weights!$R$28:$V$28)</f>
        <v>2</v>
      </c>
      <c r="BA11" s="8" t="str">
        <f aca="false">IF($AR11&lt;=1.6,"Low",IF($AR11&lt;=2.2,"Medium","High"))</f>
        <v>Medium</v>
      </c>
      <c r="BB11" s="24" t="str">
        <f aca="false">IF(OR($AT11="Yes",$AP11=5),"High",$BA11)</f>
        <v>Medium</v>
      </c>
    </row>
    <row r="12" customFormat="false" ht="15" hidden="false" customHeight="false" outlineLevel="0" collapsed="false">
      <c r="A12" s="15" t="s">
        <v>1056</v>
      </c>
      <c r="B12" s="7" t="s">
        <v>1057</v>
      </c>
      <c r="C12" s="16" t="s">
        <v>33</v>
      </c>
      <c r="D12" s="16" t="s">
        <v>39</v>
      </c>
      <c r="E12" s="16" t="s">
        <v>44</v>
      </c>
      <c r="F12" s="16" t="s">
        <v>49</v>
      </c>
      <c r="G12" s="16" t="s">
        <v>49</v>
      </c>
      <c r="H12" s="16" t="s">
        <v>59</v>
      </c>
      <c r="I12" s="16" t="s">
        <v>65</v>
      </c>
      <c r="J12" s="16" t="s">
        <v>71</v>
      </c>
      <c r="K12" s="16" t="s">
        <v>76</v>
      </c>
      <c r="L12" s="16" t="s">
        <v>79</v>
      </c>
      <c r="M12" s="16" t="s">
        <v>88</v>
      </c>
      <c r="N12" s="16" t="s">
        <v>93</v>
      </c>
      <c r="O12" s="16" t="s">
        <v>97</v>
      </c>
      <c r="P12" s="16" t="s">
        <v>104</v>
      </c>
      <c r="Q12" s="16" t="s">
        <v>109</v>
      </c>
      <c r="R12" s="16" t="s">
        <v>117</v>
      </c>
      <c r="S12" s="16" t="s">
        <v>121</v>
      </c>
      <c r="T12" s="16" t="s">
        <v>128</v>
      </c>
      <c r="U12" s="16" t="s">
        <v>134</v>
      </c>
      <c r="V12" s="16" t="s">
        <v>138</v>
      </c>
      <c r="W12" s="8" t="n">
        <f aca="false">INDEX(Mapping!$C$2:$C$99,MATCH("C1|"&amp;C12,Mapping!$D$2:$D$99,0))</f>
        <v>3</v>
      </c>
      <c r="X12" s="8" t="n">
        <f aca="false">INDEX(Mapping!$C$2:$C$99,MATCH("C2|"&amp;D12,Mapping!$D$2:$D$99,0))</f>
        <v>3</v>
      </c>
      <c r="Y12" s="8" t="n">
        <f aca="false">INDEX(Mapping!$C$2:$C$99,MATCH("C3|"&amp;E12,Mapping!$D$2:$D$99,0))</f>
        <v>2</v>
      </c>
      <c r="Z12" s="8" t="n">
        <f aca="false">INDEX(Mapping!$C$2:$C$99,MATCH("C4|"&amp;F12,Mapping!$D$2:$D$99,0))</f>
        <v>1</v>
      </c>
      <c r="AA12" s="8" t="n">
        <f aca="false">INDEX(Mapping!$C$2:$C$99,MATCH("C5|"&amp;G12,Mapping!$D$2:$D$99,0))</f>
        <v>1</v>
      </c>
      <c r="AB12" s="8" t="n">
        <f aca="false">INDEX(Mapping!$C$2:$C$99,MATCH("G1|"&amp;H12,Mapping!$D$2:$D$99,0))</f>
        <v>1</v>
      </c>
      <c r="AC12" s="8" t="n">
        <f aca="false">INDEX(Mapping!$C$2:$C$99,MATCH("G2|"&amp;I12,Mapping!$D$2:$D$99,0))</f>
        <v>1</v>
      </c>
      <c r="AD12" s="8" t="n">
        <f aca="false">INDEX(Mapping!$C$2:$C$99,MATCH("G3|"&amp;J12,Mapping!$D$2:$D$99,0))</f>
        <v>2</v>
      </c>
      <c r="AE12" s="8" t="n">
        <f aca="false">INDEX(Mapping!$C$2:$C$99,MATCH("P1|"&amp;K12,Mapping!$D$2:$D$99,0))</f>
        <v>4</v>
      </c>
      <c r="AF12" s="8" t="n">
        <f aca="false">INDEX(Mapping!$C$2:$C$99,MATCH("P2|"&amp;L12,Mapping!$D$2:$D$99,0))</f>
        <v>1</v>
      </c>
      <c r="AG12" s="8" t="n">
        <f aca="false">INDEX(Mapping!$C$2:$C$99,MATCH("P3|"&amp;M12,Mapping!$D$2:$D$99,0))</f>
        <v>4</v>
      </c>
      <c r="AH12" s="8" t="n">
        <f aca="false">INDEX(Mapping!$C$2:$C$99,MATCH("P4|"&amp;N12,Mapping!$D$2:$D$99,0))</f>
        <v>3</v>
      </c>
      <c r="AI12" s="8" t="n">
        <f aca="false">INDEX(Mapping!$C$2:$C$99,MATCH("D1|"&amp;O12,Mapping!$D$2:$D$99,0))</f>
        <v>1</v>
      </c>
      <c r="AJ12" s="8" t="n">
        <f aca="false">INDEX(Mapping!$C$2:$C$99,MATCH("D2|"&amp;P12,Mapping!$D$2:$D$99,0))</f>
        <v>2</v>
      </c>
      <c r="AK12" s="8" t="n">
        <f aca="false">INDEX(Mapping!$C$2:$C$99,MATCH("D3|"&amp;Q12,Mapping!$D$2:$D$99,0))</f>
        <v>1</v>
      </c>
      <c r="AL12" s="8" t="n">
        <f aca="false">INDEX(Mapping!$C$2:$C$99,MATCH("A1|"&amp;R12,Mapping!$D$2:$D$99,0))</f>
        <v>3</v>
      </c>
      <c r="AM12" s="8" t="n">
        <f aca="false">INDEX(Mapping!$C$2:$C$99,MATCH("A2|"&amp;S12,Mapping!$D$2:$D$99,0))</f>
        <v>1</v>
      </c>
      <c r="AN12" s="8" t="n">
        <f aca="false">INDEX(Mapping!$C$2:$C$99,MATCH("A3|"&amp;T12,Mapping!$D$2:$D$99,0))</f>
        <v>3</v>
      </c>
      <c r="AO12" s="8" t="n">
        <f aca="false">INDEX(Mapping!$C$2:$C$99,MATCH("A4|"&amp;U12,Mapping!$D$2:$D$99,0))</f>
        <v>3</v>
      </c>
      <c r="AP12" s="8" t="n">
        <f aca="false">INDEX(Mapping!$C$2:$C$99,MATCH("A5|"&amp;V12,Mapping!$D$2:$D$99,0))</f>
        <v>1</v>
      </c>
      <c r="AQ12" s="17" t="n">
        <f aca="false">SUMPRODUCT($W12:$AP12,Weights!$C$27:$V$27)</f>
        <v>2.05</v>
      </c>
      <c r="AR12" s="18" t="n">
        <f aca="false">ROUND($AQ12,2)</f>
        <v>2.05</v>
      </c>
      <c r="AS12" s="8" t="str">
        <f aca="false">IF($AR12&lt;=2,"Low",IF($AR12&lt;=3.49,"Medium","High"))</f>
        <v>Medium</v>
      </c>
      <c r="AT12" s="8" t="str">
        <f aca="false">IF(OR($Z12&gt;=3,$Y12=5,$X12=5,$W12=5,$AA12=5,$AB12=5,$AC12=5,$AD12=5),"Yes","No")</f>
        <v>No</v>
      </c>
      <c r="AU12" s="15" t="str">
        <f aca="false">IF($AT12="Yes","High",$AS12)</f>
        <v>Medium</v>
      </c>
      <c r="AV12" s="18" t="n">
        <f aca="false">SUMPRODUCT($W12:$AA12,Weights!$C$28:$G$28)</f>
        <v>2.05</v>
      </c>
      <c r="AW12" s="18" t="n">
        <f aca="false">SUMPRODUCT($AB12:$AD12,Weights!$H$28:$J$28)</f>
        <v>1.4</v>
      </c>
      <c r="AX12" s="18" t="n">
        <f aca="false">SUMPRODUCT($AE12:$AH12,Weights!$K$28:$N$28)</f>
        <v>3.1</v>
      </c>
      <c r="AY12" s="18" t="n">
        <f aca="false">SUMPRODUCT($AI12:$AK12,Weights!$O$28:$Q$28)</f>
        <v>1.35</v>
      </c>
      <c r="AZ12" s="18" t="n">
        <f aca="false">SUMPRODUCT($AL12:$AP12,Weights!$R$28:$V$28)</f>
        <v>2.2</v>
      </c>
      <c r="BA12" s="8" t="str">
        <f aca="false">IF($AR12&lt;=1.6,"Low",IF($AR12&lt;=2.2,"Medium","High"))</f>
        <v>Medium</v>
      </c>
      <c r="BB12" s="24" t="str">
        <f aca="false">IF(OR($AT12="Yes",$AP12=5),"High",$BA12)</f>
        <v>Medium</v>
      </c>
    </row>
    <row r="13" customFormat="false" ht="15" hidden="false" customHeight="false" outlineLevel="0" collapsed="false">
      <c r="A13" s="15" t="s">
        <v>1058</v>
      </c>
      <c r="B13" s="7" t="s">
        <v>1059</v>
      </c>
      <c r="C13" s="16" t="s">
        <v>31</v>
      </c>
      <c r="D13" s="16" t="s">
        <v>37</v>
      </c>
      <c r="E13" s="16" t="s">
        <v>43</v>
      </c>
      <c r="F13" s="16" t="s">
        <v>49</v>
      </c>
      <c r="G13" s="16" t="s">
        <v>49</v>
      </c>
      <c r="H13" s="16" t="s">
        <v>59</v>
      </c>
      <c r="I13" s="16" t="s">
        <v>65</v>
      </c>
      <c r="J13" s="16" t="s">
        <v>70</v>
      </c>
      <c r="K13" s="16" t="s">
        <v>74</v>
      </c>
      <c r="L13" s="16" t="s">
        <v>81</v>
      </c>
      <c r="M13" s="16" t="s">
        <v>86</v>
      </c>
      <c r="N13" s="16" t="s">
        <v>91</v>
      </c>
      <c r="O13" s="16" t="s">
        <v>99</v>
      </c>
      <c r="P13" s="16" t="s">
        <v>106</v>
      </c>
      <c r="Q13" s="16" t="s">
        <v>109</v>
      </c>
      <c r="R13" s="16" t="s">
        <v>115</v>
      </c>
      <c r="S13" s="16" t="s">
        <v>122</v>
      </c>
      <c r="T13" s="16" t="s">
        <v>127</v>
      </c>
      <c r="U13" s="16" t="s">
        <v>132</v>
      </c>
      <c r="V13" s="16" t="s">
        <v>142</v>
      </c>
      <c r="W13" s="8" t="n">
        <f aca="false">INDEX(Mapping!$C$2:$C$99,MATCH("C1|"&amp;C13,Mapping!$D$2:$D$99,0))</f>
        <v>1</v>
      </c>
      <c r="X13" s="8" t="n">
        <f aca="false">INDEX(Mapping!$C$2:$C$99,MATCH("C2|"&amp;D13,Mapping!$D$2:$D$99,0))</f>
        <v>1</v>
      </c>
      <c r="Y13" s="8" t="n">
        <f aca="false">INDEX(Mapping!$C$2:$C$99,MATCH("C3|"&amp;E13,Mapping!$D$2:$D$99,0))</f>
        <v>1</v>
      </c>
      <c r="Z13" s="8" t="n">
        <f aca="false">INDEX(Mapping!$C$2:$C$99,MATCH("C4|"&amp;F13,Mapping!$D$2:$D$99,0))</f>
        <v>1</v>
      </c>
      <c r="AA13" s="8" t="n">
        <f aca="false">INDEX(Mapping!$C$2:$C$99,MATCH("C5|"&amp;G13,Mapping!$D$2:$D$99,0))</f>
        <v>1</v>
      </c>
      <c r="AB13" s="8" t="n">
        <f aca="false">INDEX(Mapping!$C$2:$C$99,MATCH("G1|"&amp;H13,Mapping!$D$2:$D$99,0))</f>
        <v>1</v>
      </c>
      <c r="AC13" s="8" t="n">
        <f aca="false">INDEX(Mapping!$C$2:$C$99,MATCH("G2|"&amp;I13,Mapping!$D$2:$D$99,0))</f>
        <v>1</v>
      </c>
      <c r="AD13" s="8" t="n">
        <f aca="false">INDEX(Mapping!$C$2:$C$99,MATCH("G3|"&amp;J13,Mapping!$D$2:$D$99,0))</f>
        <v>1</v>
      </c>
      <c r="AE13" s="8" t="n">
        <f aca="false">INDEX(Mapping!$C$2:$C$99,MATCH("P1|"&amp;K13,Mapping!$D$2:$D$99,0))</f>
        <v>2</v>
      </c>
      <c r="AF13" s="8" t="n">
        <f aca="false">INDEX(Mapping!$C$2:$C$99,MATCH("P2|"&amp;L13,Mapping!$D$2:$D$99,0))</f>
        <v>3</v>
      </c>
      <c r="AG13" s="8" t="n">
        <f aca="false">INDEX(Mapping!$C$2:$C$99,MATCH("P3|"&amp;M13,Mapping!$D$2:$D$99,0))</f>
        <v>2</v>
      </c>
      <c r="AH13" s="8" t="n">
        <f aca="false">INDEX(Mapping!$C$2:$C$99,MATCH("P4|"&amp;N13,Mapping!$D$2:$D$99,0))</f>
        <v>1</v>
      </c>
      <c r="AI13" s="8" t="n">
        <f aca="false">INDEX(Mapping!$C$2:$C$99,MATCH("D1|"&amp;O13,Mapping!$D$2:$D$99,0))</f>
        <v>3</v>
      </c>
      <c r="AJ13" s="8" t="n">
        <f aca="false">INDEX(Mapping!$C$2:$C$99,MATCH("D2|"&amp;P13,Mapping!$D$2:$D$99,0))</f>
        <v>4</v>
      </c>
      <c r="AK13" s="8" t="n">
        <f aca="false">INDEX(Mapping!$C$2:$C$99,MATCH("D3|"&amp;Q13,Mapping!$D$2:$D$99,0))</f>
        <v>1</v>
      </c>
      <c r="AL13" s="8" t="n">
        <f aca="false">INDEX(Mapping!$C$2:$C$99,MATCH("A1|"&amp;R13,Mapping!$D$2:$D$99,0))</f>
        <v>1</v>
      </c>
      <c r="AM13" s="8" t="n">
        <f aca="false">INDEX(Mapping!$C$2:$C$99,MATCH("A2|"&amp;S13,Mapping!$D$2:$D$99,0))</f>
        <v>2</v>
      </c>
      <c r="AN13" s="8" t="n">
        <f aca="false">INDEX(Mapping!$C$2:$C$99,MATCH("A3|"&amp;T13,Mapping!$D$2:$D$99,0))</f>
        <v>1</v>
      </c>
      <c r="AO13" s="8" t="n">
        <f aca="false">INDEX(Mapping!$C$2:$C$99,MATCH("A4|"&amp;U13,Mapping!$D$2:$D$99,0))</f>
        <v>1</v>
      </c>
      <c r="AP13" s="8" t="n">
        <f aca="false">INDEX(Mapping!$C$2:$C$99,MATCH("A5|"&amp;V13,Mapping!$D$2:$D$99,0))</f>
        <v>5</v>
      </c>
      <c r="AQ13" s="17" t="n">
        <f aca="false">SUMPRODUCT($W13:$AP13,Weights!$C$27:$V$27)</f>
        <v>1.52</v>
      </c>
      <c r="AR13" s="18" t="n">
        <f aca="false">ROUND($AQ13,2)</f>
        <v>1.52</v>
      </c>
      <c r="AS13" s="8" t="str">
        <f aca="false">IF($AR13&lt;=2,"Low",IF($AR13&lt;=3.49,"Medium","High"))</f>
        <v>Low</v>
      </c>
      <c r="AT13" s="8" t="str">
        <f aca="false">IF(OR($Z13&gt;=3,$Y13=5,$X13=5,$W13=5,$AA13=5,$AB13=5,$AC13=5,$AD13=5),"Yes","No")</f>
        <v>No</v>
      </c>
      <c r="AU13" s="15" t="str">
        <f aca="false">IF($AT13="Yes","High",$AS13)</f>
        <v>Low</v>
      </c>
      <c r="AV13" s="18" t="n">
        <f aca="false">SUMPRODUCT($W13:$AA13,Weights!$C$28:$G$28)</f>
        <v>1</v>
      </c>
      <c r="AW13" s="18" t="n">
        <f aca="false">SUMPRODUCT($AB13:$AD13,Weights!$H$28:$J$28)</f>
        <v>1</v>
      </c>
      <c r="AX13" s="18" t="n">
        <f aca="false">SUMPRODUCT($AE13:$AH13,Weights!$K$28:$N$28)</f>
        <v>2.1</v>
      </c>
      <c r="AY13" s="18" t="n">
        <f aca="false">SUMPRODUCT($AI13:$AK13,Weights!$O$28:$Q$28)</f>
        <v>2.95</v>
      </c>
      <c r="AZ13" s="18" t="n">
        <f aca="false">SUMPRODUCT($AL13:$AP13,Weights!$R$28:$V$28)</f>
        <v>1.7</v>
      </c>
      <c r="BA13" s="8" t="str">
        <f aca="false">IF($AR13&lt;=1.6,"Low",IF($AR13&lt;=2.2,"Medium","High"))</f>
        <v>Low</v>
      </c>
      <c r="BB13" s="24" t="str">
        <f aca="false">IF(OR($AT13="Yes",$AP13=5),"High",$BA13)</f>
        <v>High</v>
      </c>
    </row>
    <row r="14" customFormat="false" ht="15" hidden="false" customHeight="false" outlineLevel="0" collapsed="false">
      <c r="A14" s="15" t="s">
        <v>1060</v>
      </c>
      <c r="B14" s="7" t="s">
        <v>1061</v>
      </c>
      <c r="C14" s="16" t="s">
        <v>31</v>
      </c>
      <c r="D14" s="16" t="s">
        <v>37</v>
      </c>
      <c r="E14" s="16" t="s">
        <v>43</v>
      </c>
      <c r="F14" s="16" t="s">
        <v>49</v>
      </c>
      <c r="G14" s="16" t="s">
        <v>49</v>
      </c>
      <c r="H14" s="16" t="s">
        <v>59</v>
      </c>
      <c r="I14" s="16" t="s">
        <v>65</v>
      </c>
      <c r="J14" s="16" t="s">
        <v>70</v>
      </c>
      <c r="K14" s="16" t="s">
        <v>75</v>
      </c>
      <c r="L14" s="16" t="s">
        <v>81</v>
      </c>
      <c r="M14" s="16" t="s">
        <v>86</v>
      </c>
      <c r="N14" s="16" t="s">
        <v>91</v>
      </c>
      <c r="O14" s="16" t="s">
        <v>99</v>
      </c>
      <c r="P14" s="16" t="s">
        <v>107</v>
      </c>
      <c r="Q14" s="16" t="s">
        <v>109</v>
      </c>
      <c r="R14" s="16" t="s">
        <v>115</v>
      </c>
      <c r="S14" s="16" t="s">
        <v>123</v>
      </c>
      <c r="T14" s="16" t="s">
        <v>127</v>
      </c>
      <c r="U14" s="16" t="s">
        <v>132</v>
      </c>
      <c r="V14" s="16" t="s">
        <v>142</v>
      </c>
      <c r="W14" s="8" t="n">
        <f aca="false">INDEX(Mapping!$C$2:$C$99,MATCH("C1|"&amp;C14,Mapping!$D$2:$D$99,0))</f>
        <v>1</v>
      </c>
      <c r="X14" s="8" t="n">
        <f aca="false">INDEX(Mapping!$C$2:$C$99,MATCH("C2|"&amp;D14,Mapping!$D$2:$D$99,0))</f>
        <v>1</v>
      </c>
      <c r="Y14" s="8" t="n">
        <f aca="false">INDEX(Mapping!$C$2:$C$99,MATCH("C3|"&amp;E14,Mapping!$D$2:$D$99,0))</f>
        <v>1</v>
      </c>
      <c r="Z14" s="8" t="n">
        <f aca="false">INDEX(Mapping!$C$2:$C$99,MATCH("C4|"&amp;F14,Mapping!$D$2:$D$99,0))</f>
        <v>1</v>
      </c>
      <c r="AA14" s="8" t="n">
        <f aca="false">INDEX(Mapping!$C$2:$C$99,MATCH("C5|"&amp;G14,Mapping!$D$2:$D$99,0))</f>
        <v>1</v>
      </c>
      <c r="AB14" s="8" t="n">
        <f aca="false">INDEX(Mapping!$C$2:$C$99,MATCH("G1|"&amp;H14,Mapping!$D$2:$D$99,0))</f>
        <v>1</v>
      </c>
      <c r="AC14" s="8" t="n">
        <f aca="false">INDEX(Mapping!$C$2:$C$99,MATCH("G2|"&amp;I14,Mapping!$D$2:$D$99,0))</f>
        <v>1</v>
      </c>
      <c r="AD14" s="8" t="n">
        <f aca="false">INDEX(Mapping!$C$2:$C$99,MATCH("G3|"&amp;J14,Mapping!$D$2:$D$99,0))</f>
        <v>1</v>
      </c>
      <c r="AE14" s="8" t="n">
        <f aca="false">INDEX(Mapping!$C$2:$C$99,MATCH("P1|"&amp;K14,Mapping!$D$2:$D$99,0))</f>
        <v>3</v>
      </c>
      <c r="AF14" s="8" t="n">
        <f aca="false">INDEX(Mapping!$C$2:$C$99,MATCH("P2|"&amp;L14,Mapping!$D$2:$D$99,0))</f>
        <v>3</v>
      </c>
      <c r="AG14" s="8" t="n">
        <f aca="false">INDEX(Mapping!$C$2:$C$99,MATCH("P3|"&amp;M14,Mapping!$D$2:$D$99,0))</f>
        <v>2</v>
      </c>
      <c r="AH14" s="8" t="n">
        <f aca="false">INDEX(Mapping!$C$2:$C$99,MATCH("P4|"&amp;N14,Mapping!$D$2:$D$99,0))</f>
        <v>1</v>
      </c>
      <c r="AI14" s="8" t="n">
        <f aca="false">INDEX(Mapping!$C$2:$C$99,MATCH("D1|"&amp;O14,Mapping!$D$2:$D$99,0))</f>
        <v>3</v>
      </c>
      <c r="AJ14" s="8" t="n">
        <f aca="false">INDEX(Mapping!$C$2:$C$99,MATCH("D2|"&amp;P14,Mapping!$D$2:$D$99,0))</f>
        <v>5</v>
      </c>
      <c r="AK14" s="8" t="n">
        <f aca="false">INDEX(Mapping!$C$2:$C$99,MATCH("D3|"&amp;Q14,Mapping!$D$2:$D$99,0))</f>
        <v>1</v>
      </c>
      <c r="AL14" s="8" t="n">
        <f aca="false">INDEX(Mapping!$C$2:$C$99,MATCH("A1|"&amp;R14,Mapping!$D$2:$D$99,0))</f>
        <v>1</v>
      </c>
      <c r="AM14" s="8" t="n">
        <f aca="false">INDEX(Mapping!$C$2:$C$99,MATCH("A2|"&amp;S14,Mapping!$D$2:$D$99,0))</f>
        <v>3</v>
      </c>
      <c r="AN14" s="8" t="n">
        <f aca="false">INDEX(Mapping!$C$2:$C$99,MATCH("A3|"&amp;T14,Mapping!$D$2:$D$99,0))</f>
        <v>1</v>
      </c>
      <c r="AO14" s="8" t="n">
        <f aca="false">INDEX(Mapping!$C$2:$C$99,MATCH("A4|"&amp;U14,Mapping!$D$2:$D$99,0))</f>
        <v>1</v>
      </c>
      <c r="AP14" s="8" t="n">
        <f aca="false">INDEX(Mapping!$C$2:$C$99,MATCH("A5|"&amp;V14,Mapping!$D$2:$D$99,0))</f>
        <v>5</v>
      </c>
      <c r="AQ14" s="17" t="n">
        <f aca="false">SUMPRODUCT($W14:$AP14,Weights!$C$27:$V$27)</f>
        <v>1.67</v>
      </c>
      <c r="AR14" s="18" t="n">
        <f aca="false">ROUND($AQ14,2)</f>
        <v>1.67</v>
      </c>
      <c r="AS14" s="8" t="str">
        <f aca="false">IF($AR14&lt;=2,"Low",IF($AR14&lt;=3.49,"Medium","High"))</f>
        <v>Low</v>
      </c>
      <c r="AT14" s="8" t="str">
        <f aca="false">IF(OR($Z14&gt;=3,$Y14=5,$X14=5,$W14=5,$AA14=5,$AB14=5,$AC14=5,$AD14=5),"Yes","No")</f>
        <v>No</v>
      </c>
      <c r="AU14" s="15" t="str">
        <f aca="false">IF($AT14="Yes","High",$AS14)</f>
        <v>Low</v>
      </c>
      <c r="AV14" s="18" t="n">
        <f aca="false">SUMPRODUCT($W14:$AA14,Weights!$C$28:$G$28)</f>
        <v>1</v>
      </c>
      <c r="AW14" s="18" t="n">
        <f aca="false">SUMPRODUCT($AB14:$AD14,Weights!$H$28:$J$28)</f>
        <v>1</v>
      </c>
      <c r="AX14" s="18" t="n">
        <f aca="false">SUMPRODUCT($AE14:$AH14,Weights!$K$28:$N$28)</f>
        <v>2.45</v>
      </c>
      <c r="AY14" s="18" t="n">
        <f aca="false">SUMPRODUCT($AI14:$AK14,Weights!$O$28:$Q$28)</f>
        <v>3.3</v>
      </c>
      <c r="AZ14" s="18" t="n">
        <f aca="false">SUMPRODUCT($AL14:$AP14,Weights!$R$28:$V$28)</f>
        <v>2</v>
      </c>
      <c r="BA14" s="8" t="str">
        <f aca="false">IF($AR14&lt;=1.6,"Low",IF($AR14&lt;=2.2,"Medium","High"))</f>
        <v>Medium</v>
      </c>
      <c r="BB14" s="24" t="str">
        <f aca="false">IF(OR($AT14="Yes",$AP14=5),"High",$BA14)</f>
        <v>High</v>
      </c>
    </row>
    <row r="15" customFormat="false" ht="15" hidden="false" customHeight="false" outlineLevel="0" collapsed="false">
      <c r="A15" s="15" t="s">
        <v>1062</v>
      </c>
      <c r="B15" s="7" t="s">
        <v>1063</v>
      </c>
      <c r="C15" s="16" t="s">
        <v>31</v>
      </c>
      <c r="D15" s="16" t="s">
        <v>37</v>
      </c>
      <c r="E15" s="16" t="s">
        <v>43</v>
      </c>
      <c r="F15" s="16" t="s">
        <v>49</v>
      </c>
      <c r="G15" s="16" t="s">
        <v>49</v>
      </c>
      <c r="H15" s="16" t="s">
        <v>59</v>
      </c>
      <c r="I15" s="16" t="s">
        <v>65</v>
      </c>
      <c r="J15" s="16" t="s">
        <v>70</v>
      </c>
      <c r="K15" s="16" t="s">
        <v>75</v>
      </c>
      <c r="L15" s="16" t="s">
        <v>81</v>
      </c>
      <c r="M15" s="16" t="s">
        <v>86</v>
      </c>
      <c r="N15" s="16" t="s">
        <v>91</v>
      </c>
      <c r="O15" s="16" t="s">
        <v>99</v>
      </c>
      <c r="P15" s="16" t="s">
        <v>105</v>
      </c>
      <c r="Q15" s="16" t="s">
        <v>109</v>
      </c>
      <c r="R15" s="16" t="s">
        <v>115</v>
      </c>
      <c r="S15" s="16" t="s">
        <v>122</v>
      </c>
      <c r="T15" s="16" t="s">
        <v>127</v>
      </c>
      <c r="U15" s="16" t="s">
        <v>132</v>
      </c>
      <c r="V15" s="16" t="s">
        <v>138</v>
      </c>
      <c r="W15" s="8" t="n">
        <f aca="false">INDEX(Mapping!$C$2:$C$99,MATCH("C1|"&amp;C15,Mapping!$D$2:$D$99,0))</f>
        <v>1</v>
      </c>
      <c r="X15" s="8" t="n">
        <f aca="false">INDEX(Mapping!$C$2:$C$99,MATCH("C2|"&amp;D15,Mapping!$D$2:$D$99,0))</f>
        <v>1</v>
      </c>
      <c r="Y15" s="8" t="n">
        <f aca="false">INDEX(Mapping!$C$2:$C$99,MATCH("C3|"&amp;E15,Mapping!$D$2:$D$99,0))</f>
        <v>1</v>
      </c>
      <c r="Z15" s="8" t="n">
        <f aca="false">INDEX(Mapping!$C$2:$C$99,MATCH("C4|"&amp;F15,Mapping!$D$2:$D$99,0))</f>
        <v>1</v>
      </c>
      <c r="AA15" s="8" t="n">
        <f aca="false">INDEX(Mapping!$C$2:$C$99,MATCH("C5|"&amp;G15,Mapping!$D$2:$D$99,0))</f>
        <v>1</v>
      </c>
      <c r="AB15" s="8" t="n">
        <f aca="false">INDEX(Mapping!$C$2:$C$99,MATCH("G1|"&amp;H15,Mapping!$D$2:$D$99,0))</f>
        <v>1</v>
      </c>
      <c r="AC15" s="8" t="n">
        <f aca="false">INDEX(Mapping!$C$2:$C$99,MATCH("G2|"&amp;I15,Mapping!$D$2:$D$99,0))</f>
        <v>1</v>
      </c>
      <c r="AD15" s="8" t="n">
        <f aca="false">INDEX(Mapping!$C$2:$C$99,MATCH("G3|"&amp;J15,Mapping!$D$2:$D$99,0))</f>
        <v>1</v>
      </c>
      <c r="AE15" s="8" t="n">
        <f aca="false">INDEX(Mapping!$C$2:$C$99,MATCH("P1|"&amp;K15,Mapping!$D$2:$D$99,0))</f>
        <v>3</v>
      </c>
      <c r="AF15" s="8" t="n">
        <f aca="false">INDEX(Mapping!$C$2:$C$99,MATCH("P2|"&amp;L15,Mapping!$D$2:$D$99,0))</f>
        <v>3</v>
      </c>
      <c r="AG15" s="8" t="n">
        <f aca="false">INDEX(Mapping!$C$2:$C$99,MATCH("P3|"&amp;M15,Mapping!$D$2:$D$99,0))</f>
        <v>2</v>
      </c>
      <c r="AH15" s="8" t="n">
        <f aca="false">INDEX(Mapping!$C$2:$C$99,MATCH("P4|"&amp;N15,Mapping!$D$2:$D$99,0))</f>
        <v>1</v>
      </c>
      <c r="AI15" s="8" t="n">
        <f aca="false">INDEX(Mapping!$C$2:$C$99,MATCH("D1|"&amp;O15,Mapping!$D$2:$D$99,0))</f>
        <v>3</v>
      </c>
      <c r="AJ15" s="8" t="n">
        <f aca="false">INDEX(Mapping!$C$2:$C$99,MATCH("D2|"&amp;P15,Mapping!$D$2:$D$99,0))</f>
        <v>3</v>
      </c>
      <c r="AK15" s="8" t="n">
        <f aca="false">INDEX(Mapping!$C$2:$C$99,MATCH("D3|"&amp;Q15,Mapping!$D$2:$D$99,0))</f>
        <v>1</v>
      </c>
      <c r="AL15" s="8" t="n">
        <f aca="false">INDEX(Mapping!$C$2:$C$99,MATCH("A1|"&amp;R15,Mapping!$D$2:$D$99,0))</f>
        <v>1</v>
      </c>
      <c r="AM15" s="8" t="n">
        <f aca="false">INDEX(Mapping!$C$2:$C$99,MATCH("A2|"&amp;S15,Mapping!$D$2:$D$99,0))</f>
        <v>2</v>
      </c>
      <c r="AN15" s="8" t="n">
        <f aca="false">INDEX(Mapping!$C$2:$C$99,MATCH("A3|"&amp;T15,Mapping!$D$2:$D$99,0))</f>
        <v>1</v>
      </c>
      <c r="AO15" s="8" t="n">
        <f aca="false">INDEX(Mapping!$C$2:$C$99,MATCH("A4|"&amp;U15,Mapping!$D$2:$D$99,0))</f>
        <v>1</v>
      </c>
      <c r="AP15" s="8" t="n">
        <f aca="false">INDEX(Mapping!$C$2:$C$99,MATCH("A5|"&amp;V15,Mapping!$D$2:$D$99,0))</f>
        <v>1</v>
      </c>
      <c r="AQ15" s="17" t="n">
        <f aca="false">SUMPRODUCT($W15:$AP15,Weights!$C$27:$V$27)</f>
        <v>1.495</v>
      </c>
      <c r="AR15" s="18" t="n">
        <f aca="false">ROUND($AQ15,2)</f>
        <v>1.5</v>
      </c>
      <c r="AS15" s="8" t="str">
        <f aca="false">IF($AR15&lt;=2,"Low",IF($AR15&lt;=3.49,"Medium","High"))</f>
        <v>Low</v>
      </c>
      <c r="AT15" s="8" t="str">
        <f aca="false">IF(OR($Z15&gt;=3,$Y15=5,$X15=5,$W15=5,$AA15=5,$AB15=5,$AC15=5,$AD15=5),"Yes","No")</f>
        <v>No</v>
      </c>
      <c r="AU15" s="15" t="str">
        <f aca="false">IF($AT15="Yes","High",$AS15)</f>
        <v>Low</v>
      </c>
      <c r="AV15" s="18" t="n">
        <f aca="false">SUMPRODUCT($W15:$AA15,Weights!$C$28:$G$28)</f>
        <v>1</v>
      </c>
      <c r="AW15" s="18" t="n">
        <f aca="false">SUMPRODUCT($AB15:$AD15,Weights!$H$28:$J$28)</f>
        <v>1</v>
      </c>
      <c r="AX15" s="18" t="n">
        <f aca="false">SUMPRODUCT($AE15:$AH15,Weights!$K$28:$N$28)</f>
        <v>2.45</v>
      </c>
      <c r="AY15" s="18" t="n">
        <f aca="false">SUMPRODUCT($AI15:$AK15,Weights!$O$28:$Q$28)</f>
        <v>2.6</v>
      </c>
      <c r="AZ15" s="18" t="n">
        <f aca="false">SUMPRODUCT($AL15:$AP15,Weights!$R$28:$V$28)</f>
        <v>1.3</v>
      </c>
      <c r="BA15" s="8" t="str">
        <f aca="false">IF($AR15&lt;=1.6,"Low",IF($AR15&lt;=2.2,"Medium","High"))</f>
        <v>Low</v>
      </c>
      <c r="BB15" s="24" t="str">
        <f aca="false">IF(OR($AT15="Yes",$AP15=5),"High",$BA15)</f>
        <v>Low</v>
      </c>
    </row>
    <row r="16" customFormat="false" ht="15" hidden="false" customHeight="false" outlineLevel="0" collapsed="false">
      <c r="A16" s="15" t="s">
        <v>1064</v>
      </c>
      <c r="B16" s="7" t="s">
        <v>1065</v>
      </c>
      <c r="C16" s="16" t="s">
        <v>31</v>
      </c>
      <c r="D16" s="16" t="s">
        <v>37</v>
      </c>
      <c r="E16" s="16" t="s">
        <v>43</v>
      </c>
      <c r="F16" s="16" t="s">
        <v>49</v>
      </c>
      <c r="G16" s="16" t="s">
        <v>49</v>
      </c>
      <c r="H16" s="16" t="s">
        <v>59</v>
      </c>
      <c r="I16" s="16" t="s">
        <v>65</v>
      </c>
      <c r="J16" s="16" t="s">
        <v>70</v>
      </c>
      <c r="K16" s="16" t="s">
        <v>75</v>
      </c>
      <c r="L16" s="16" t="s">
        <v>81</v>
      </c>
      <c r="M16" s="16" t="s">
        <v>86</v>
      </c>
      <c r="N16" s="16" t="s">
        <v>91</v>
      </c>
      <c r="O16" s="16" t="s">
        <v>99</v>
      </c>
      <c r="P16" s="16" t="s">
        <v>106</v>
      </c>
      <c r="Q16" s="16" t="s">
        <v>109</v>
      </c>
      <c r="R16" s="16" t="s">
        <v>115</v>
      </c>
      <c r="S16" s="16" t="s">
        <v>123</v>
      </c>
      <c r="T16" s="16" t="s">
        <v>127</v>
      </c>
      <c r="U16" s="16" t="s">
        <v>133</v>
      </c>
      <c r="V16" s="16" t="s">
        <v>138</v>
      </c>
      <c r="W16" s="8" t="n">
        <f aca="false">INDEX(Mapping!$C$2:$C$99,MATCH("C1|"&amp;C16,Mapping!$D$2:$D$99,0))</f>
        <v>1</v>
      </c>
      <c r="X16" s="8" t="n">
        <f aca="false">INDEX(Mapping!$C$2:$C$99,MATCH("C2|"&amp;D16,Mapping!$D$2:$D$99,0))</f>
        <v>1</v>
      </c>
      <c r="Y16" s="8" t="n">
        <f aca="false">INDEX(Mapping!$C$2:$C$99,MATCH("C3|"&amp;E16,Mapping!$D$2:$D$99,0))</f>
        <v>1</v>
      </c>
      <c r="Z16" s="8" t="n">
        <f aca="false">INDEX(Mapping!$C$2:$C$99,MATCH("C4|"&amp;F16,Mapping!$D$2:$D$99,0))</f>
        <v>1</v>
      </c>
      <c r="AA16" s="8" t="n">
        <f aca="false">INDEX(Mapping!$C$2:$C$99,MATCH("C5|"&amp;G16,Mapping!$D$2:$D$99,0))</f>
        <v>1</v>
      </c>
      <c r="AB16" s="8" t="n">
        <f aca="false">INDEX(Mapping!$C$2:$C$99,MATCH("G1|"&amp;H16,Mapping!$D$2:$D$99,0))</f>
        <v>1</v>
      </c>
      <c r="AC16" s="8" t="n">
        <f aca="false">INDEX(Mapping!$C$2:$C$99,MATCH("G2|"&amp;I16,Mapping!$D$2:$D$99,0))</f>
        <v>1</v>
      </c>
      <c r="AD16" s="8" t="n">
        <f aca="false">INDEX(Mapping!$C$2:$C$99,MATCH("G3|"&amp;J16,Mapping!$D$2:$D$99,0))</f>
        <v>1</v>
      </c>
      <c r="AE16" s="8" t="n">
        <f aca="false">INDEX(Mapping!$C$2:$C$99,MATCH("P1|"&amp;K16,Mapping!$D$2:$D$99,0))</f>
        <v>3</v>
      </c>
      <c r="AF16" s="8" t="n">
        <f aca="false">INDEX(Mapping!$C$2:$C$99,MATCH("P2|"&amp;L16,Mapping!$D$2:$D$99,0))</f>
        <v>3</v>
      </c>
      <c r="AG16" s="8" t="n">
        <f aca="false">INDEX(Mapping!$C$2:$C$99,MATCH("P3|"&amp;M16,Mapping!$D$2:$D$99,0))</f>
        <v>2</v>
      </c>
      <c r="AH16" s="8" t="n">
        <f aca="false">INDEX(Mapping!$C$2:$C$99,MATCH("P4|"&amp;N16,Mapping!$D$2:$D$99,0))</f>
        <v>1</v>
      </c>
      <c r="AI16" s="8" t="n">
        <f aca="false">INDEX(Mapping!$C$2:$C$99,MATCH("D1|"&amp;O16,Mapping!$D$2:$D$99,0))</f>
        <v>3</v>
      </c>
      <c r="AJ16" s="8" t="n">
        <f aca="false">INDEX(Mapping!$C$2:$C$99,MATCH("D2|"&amp;P16,Mapping!$D$2:$D$99,0))</f>
        <v>4</v>
      </c>
      <c r="AK16" s="8" t="n">
        <f aca="false">INDEX(Mapping!$C$2:$C$99,MATCH("D3|"&amp;Q16,Mapping!$D$2:$D$99,0))</f>
        <v>1</v>
      </c>
      <c r="AL16" s="8" t="n">
        <f aca="false">INDEX(Mapping!$C$2:$C$99,MATCH("A1|"&amp;R16,Mapping!$D$2:$D$99,0))</f>
        <v>1</v>
      </c>
      <c r="AM16" s="8" t="n">
        <f aca="false">INDEX(Mapping!$C$2:$C$99,MATCH("A2|"&amp;S16,Mapping!$D$2:$D$99,0))</f>
        <v>3</v>
      </c>
      <c r="AN16" s="8" t="n">
        <f aca="false">INDEX(Mapping!$C$2:$C$99,MATCH("A3|"&amp;T16,Mapping!$D$2:$D$99,0))</f>
        <v>1</v>
      </c>
      <c r="AO16" s="8" t="n">
        <f aca="false">INDEX(Mapping!$C$2:$C$99,MATCH("A4|"&amp;U16,Mapping!$D$2:$D$99,0))</f>
        <v>2</v>
      </c>
      <c r="AP16" s="8" t="n">
        <f aca="false">INDEX(Mapping!$C$2:$C$99,MATCH("A5|"&amp;V16,Mapping!$D$2:$D$99,0))</f>
        <v>1</v>
      </c>
      <c r="AQ16" s="17" t="n">
        <f aca="false">SUMPRODUCT($W16:$AP16,Weights!$C$27:$V$27)</f>
        <v>1.5975</v>
      </c>
      <c r="AR16" s="18" t="n">
        <f aca="false">ROUND($AQ16,2)</f>
        <v>1.6</v>
      </c>
      <c r="AS16" s="8" t="str">
        <f aca="false">IF($AR16&lt;=2,"Low",IF($AR16&lt;=3.49,"Medium","High"))</f>
        <v>Low</v>
      </c>
      <c r="AT16" s="8" t="str">
        <f aca="false">IF(OR($Z16&gt;=3,$Y16=5,$X16=5,$W16=5,$AA16=5,$AB16=5,$AC16=5,$AD16=5),"Yes","No")</f>
        <v>No</v>
      </c>
      <c r="AU16" s="15" t="str">
        <f aca="false">IF($AT16="Yes","High",$AS16)</f>
        <v>Low</v>
      </c>
      <c r="AV16" s="18" t="n">
        <f aca="false">SUMPRODUCT($W16:$AA16,Weights!$C$28:$G$28)</f>
        <v>1</v>
      </c>
      <c r="AW16" s="18" t="n">
        <f aca="false">SUMPRODUCT($AB16:$AD16,Weights!$H$28:$J$28)</f>
        <v>1</v>
      </c>
      <c r="AX16" s="18" t="n">
        <f aca="false">SUMPRODUCT($AE16:$AH16,Weights!$K$28:$N$28)</f>
        <v>2.45</v>
      </c>
      <c r="AY16" s="18" t="n">
        <f aca="false">SUMPRODUCT($AI16:$AK16,Weights!$O$28:$Q$28)</f>
        <v>2.95</v>
      </c>
      <c r="AZ16" s="18" t="n">
        <f aca="false">SUMPRODUCT($AL16:$AP16,Weights!$R$28:$V$28)</f>
        <v>1.75</v>
      </c>
      <c r="BA16" s="8" t="str">
        <f aca="false">IF($AR16&lt;=1.6,"Low",IF($AR16&lt;=2.2,"Medium","High"))</f>
        <v>Low</v>
      </c>
      <c r="BB16" s="24" t="str">
        <f aca="false">IF(OR($AT16="Yes",$AP16=5),"High",$BA16)</f>
        <v>Low</v>
      </c>
    </row>
    <row r="18" customFormat="false" ht="15" hidden="false" customHeight="false" outlineLevel="0" collapsed="false">
      <c r="B18" s="6" t="s">
        <v>1066</v>
      </c>
      <c r="C18" s="24" t="n">
        <f aca="false">COUNTIF($AU$4:$AU$16,"High")</f>
        <v>5</v>
      </c>
    </row>
    <row r="19" customFormat="false" ht="15" hidden="false" customHeight="false" outlineLevel="0" collapsed="false">
      <c r="B19" s="6" t="s">
        <v>1067</v>
      </c>
      <c r="C19" s="31" t="n">
        <f aca="false">COUNTIF($AS$4:$AS$16,"High")</f>
        <v>0</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2026-09-08T12:07:04Z</dcterms:created>
  <dc:creator>openpyxl</dc:creator>
  <dc:description/>
  <dc:language>en-US</dc:language>
  <cp:lastModifiedBy/>
  <dcterms:modified xsi:type="dcterms:W3CDTF">2026-09-08T12:07:09Z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