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xl/tables/table1.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2.xml" ContentType="application/vnd.openxmlformats-officedocument.spreadsheetml.table+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Overview" sheetId="1" state="visible" r:id="rId3"/>
    <sheet name="Categories" sheetId="2" state="visible" r:id="rId4"/>
    <sheet name="Factors" sheetId="3" state="visible" r:id="rId5"/>
    <sheet name="Levels" sheetId="4" state="visible" r:id="rId6"/>
    <sheet name="Escalators" sheetId="5" state="visible" r:id="rId7"/>
    <sheet name="Example" sheetId="6" state="visible" r:id="rId8"/>
    <sheet name="Checks"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<sst xmlns="http://schemas.openxmlformats.org/spreadsheetml/2006/main" count="478" uniqueCount="300">
  <si>
    <t xml:space="preserve">Risk factor library</t>
  </si>
  <si>
    <t xml:space="preserve">Northgate Bank UK Limited (fictional)  |  HND-CRA-002  |  version 0.3 draft  |  September 2026</t>
  </si>
  <si>
    <t xml:space="preserve">What this workbook is</t>
  </si>
  <si>
    <t xml:space="preserve">Step 2 of the Hindsight project. It turns the framework set out in docs/01-methodology.md into a working library: 20 risk factors across the five categories required by regulation 18(2)(b) of the Money Laundering Regulations 2017, each with defined levels, a score from 1 to 5, a weight, a written rationale and a source.</t>
  </si>
  <si>
    <t xml:space="preserve">How to read it</t>
  </si>
  <si>
    <t xml:space="preserve">Categories  -  the five headings and their weights. These sum to 100%.</t>
  </si>
  <si>
    <t xml:space="preserve">Factors     -  the 20 factors, their weight inside their category, and their effective weight across the whole model.</t>
  </si>
  <si>
    <t xml:space="preserve">Levels      -  what each score from 1 to 5 means for each factor. An analyst selects the level that matches the evidence on file.</t>
  </si>
  <si>
    <t xml:space="preserve">Escalators  -  the mandatory High and prohibited lists from sections 5.3 and 5.4 of the methodology.</t>
  </si>
  <si>
    <t xml:space="preserve">Example     -  a worked customer, scored live from the library.</t>
  </si>
  <si>
    <t xml:space="preserve">Checks      -  arithmetic and integrity tests. Every one must read OK before the workbook is used.</t>
  </si>
  <si>
    <t xml:space="preserve">Which cells to edit</t>
  </si>
  <si>
    <t xml:space="preserve">Cells in blue text on a pale yellow fill are inputs: the category weights on Categories, the factor weights on Factors, and the selected scores on Example. Everything else is a formula and should not be overwritten. Changing any weight recalculates the whole workbook, including the Checks sheet.</t>
  </si>
  <si>
    <t xml:space="preserve">Scoring rules</t>
  </si>
  <si>
    <t xml:space="preserve">1.  Each factor is scored on the level definitions in the Levels sheet. Analysts select a level; they do not choose a number.</t>
  </si>
  <si>
    <t xml:space="preserve">2.  Where a customer's declared figure straddles two levels, the higher level applies.</t>
  </si>
  <si>
    <t xml:space="preserve">3.  Category score = sum of (factor weight x factor score) within the category.</t>
  </si>
  <si>
    <t xml:space="preserve">4.  Overall score = sum of (category weight x category score), rounded to two decimal places.</t>
  </si>
  <si>
    <t xml:space="preserve">5.  Bands: Low 1.00 to 2.00, Medium 2.01 to 3.49, High 3.50 to 5.00.</t>
  </si>
  <si>
    <t xml:space="preserve">6.  A mandatory escalator in section 5.3 rates the customer High whatever the arithmetic produces.</t>
  </si>
  <si>
    <t xml:space="preserve">Assumptions that are not drawn from a published source</t>
  </si>
  <si>
    <t xml:space="preserve">The category weights and the factor weights are judgement. So are the monetary thresholds in P2 and A1 and the percentage bands in A2 and A3. Each is marked in the Source column of the Factors sheet. Step 5 tests how far the output moves when each weight is changed; until that is done the weights should be treated as provisional.</t>
  </si>
  <si>
    <t xml:space="preserve">Sources</t>
  </si>
  <si>
    <t xml:space="preserve">The Money Laundering, Terrorist Financing and Transfer of Funds (Information on the Payer) Regulations 2017 (SI 2017/692), as amended</t>
  </si>
  <si>
    <t xml:space="preserve">JMLSG, Guidance for the UK financial sector, Part I, chapters 4 and 5</t>
  </si>
  <si>
    <t xml:space="preserve">FCA Financial Crime Guide (FCG); FCA FG25/3 on politically exposed persons (July 2025), which replaces FG17/6</t>
  </si>
  <si>
    <t xml:space="preserve">HM Treasury and Home Office, National Risk Assessment of Money Laundering and Terrorist Financing 2025 (July 2025)</t>
  </si>
  <si>
    <t xml:space="preserve">FATF, High-Risk Jurisdictions subject to a Call for Action, and Jurisdictions under Increased Monitoring (statements of 19 June 2026)</t>
  </si>
  <si>
    <t xml:space="preserve">FCA Final Notices: Monzo Bank Ltd (July 2025); Barclays Bank UK plc (July 2025); Nationwide Building Society (December 2025)</t>
  </si>
  <si>
    <t xml:space="preserve">Synthetic and illustrative only. Northgate Bank UK Limited does not exist and no real customer data appears in this workbook. This is a self-directed learning project and is not professional compliance advice.</t>
  </si>
  <si>
    <t xml:space="preserve">Code</t>
  </si>
  <si>
    <t xml:space="preserve">Category</t>
  </si>
  <si>
    <t xml:space="preserve">Category weight</t>
  </si>
  <si>
    <t xml:space="preserve">Factors</t>
  </si>
  <si>
    <t xml:space="preserve">Factor weights sum</t>
  </si>
  <si>
    <t xml:space="preserve">Check</t>
  </si>
  <si>
    <t xml:space="preserve">C</t>
  </si>
  <si>
    <t xml:space="preserve">Customer</t>
  </si>
  <si>
    <t xml:space="preserve">G</t>
  </si>
  <si>
    <t xml:space="preserve">Geography</t>
  </si>
  <si>
    <t xml:space="preserve">P</t>
  </si>
  <si>
    <t xml:space="preserve">Product and service</t>
  </si>
  <si>
    <t xml:space="preserve">D</t>
  </si>
  <si>
    <t xml:space="preserve">Delivery channel</t>
  </si>
  <si>
    <t xml:space="preserve">A</t>
  </si>
  <si>
    <t xml:space="preserve">Expected activity</t>
  </si>
  <si>
    <t xml:space="preserve">Total</t>
  </si>
  <si>
    <t xml:space="preserve">Weights are judgement, not derived from loss data. Step 5 tests their sensitivity.</t>
  </si>
  <si>
    <t xml:space="preserve">Factor</t>
  </si>
  <si>
    <t xml:space="preserve">Factor name</t>
  </si>
  <si>
    <t xml:space="preserve">Weight in category</t>
  </si>
  <si>
    <t xml:space="preserve">Effective weight</t>
  </si>
  <si>
    <t xml:space="preserve">Lowest level</t>
  </si>
  <si>
    <t xml:space="preserve">Highest level</t>
  </si>
  <si>
    <t xml:space="preserve">Rationale for the weight</t>
  </si>
  <si>
    <t xml:space="preserve">Source</t>
  </si>
  <si>
    <t xml:space="preserve">C1</t>
  </si>
  <si>
    <t xml:space="preserve">Customer legal form</t>
  </si>
  <si>
    <t xml:space="preserve">The legal form determines how far the Bank can see through to the natural persons behind the relationship. Reg. 33(6)(a) treats a legal person used as a vehicle for holding personal assets as a higher-risk factor.</t>
  </si>
  <si>
    <t xml:space="preserve">MLRs 2017 reg. 33(6)(a); JMLSG Part I ch. 5</t>
  </si>
  <si>
    <t xml:space="preserve">C2</t>
  </si>
  <si>
    <t xml:space="preserve">Ownership and control structure</t>
  </si>
  <si>
    <t xml:space="preserve">Reg. 33(6)(a) names nominee shareholders, bearer shares and an unusually complex corporate structure as higher-risk customer factors. Depth alone is not what matters: a chain of five layers the Bank can evidence at every step scores 4, while a single layer it cannot evidence scores 5, because that is the point at which the Bank stops being able to say who it is dealing with.</t>
  </si>
  <si>
    <t xml:space="preserve">MLRs 2017 reg. 33(6)(a); reg. 28</t>
  </si>
  <si>
    <t xml:space="preserve">C3</t>
  </si>
  <si>
    <t xml:space="preserve">Industry or occupation</t>
  </si>
  <si>
    <t xml:space="preserve">Carries the largest weight inside the customer category because sector is the most informative single thing the Bank knows about a business customer at onboarding. Reg. 33(6)(a) names cash-intensive businesses, and the National Risk Assessment 2025 names barber shops, car washes and nail salons among the prominent examples, recording a year-on-year rise in suspicious activity reports from them. Level 5 holds only the three business types that trigger escalator 5.3(c); sectors that are vulnerable without being on that list sit at level 4, so that a score of 5 and an automatic escalation always mean the same thing.</t>
  </si>
  <si>
    <t xml:space="preserve">MLRs 2017 reg. 33(6)(a); HM Treasury and Home Office NRA 2025; escalator 5.3(c)</t>
  </si>
  <si>
    <t xml:space="preserve">C4</t>
  </si>
  <si>
    <t xml:space="preserve">PEP screening outcome</t>
  </si>
  <si>
    <t xml:space="preserve">Scored for management information and for the record. The binding control is escalator 5.3(a), which rates any PEP, family member or known close associate High whatever this score produces, in line with the FCA's guidance as updated in July 2025. There is no level 2: a screening result is either a match or it is not, so a half-step would be a fiction.</t>
  </si>
  <si>
    <t xml:space="preserve">MLRs 2017 reg. 35; FCA FG17/6 as updated by FG25/3 (July 2025)</t>
  </si>
  <si>
    <t xml:space="preserve">C5</t>
  </si>
  <si>
    <t xml:space="preserve">Adverse media screening outcome</t>
  </si>
  <si>
    <t xml:space="preserve">A screening result is evidence about the customer that no other factor captures. It carries the lowest weight in the category because coverage is uneven and false positives are common. A discounted match scores 2 rather than 1 so that the fact a match occurred stays visible on the file.</t>
  </si>
  <si>
    <t xml:space="preserve">FCA Financial Crime Guide FCG 3; JMLSG Part I ch. 5</t>
  </si>
  <si>
    <t xml:space="preserve">G1</t>
  </si>
  <si>
    <t xml:space="preserve">Country of residence or incorporation</t>
  </si>
  <si>
    <t xml:space="preserve">Reg. 33(6)(c) requires the Bank to consider countries without effective AML systems, with significant levels of corruption, or subject to sanctions. Levels 4 and 5 are pinned to the two FATF public statements so the scale updates when FATF updates, rather than when the Bank remembers to.</t>
  </si>
  <si>
    <t xml:space="preserve">MLRs 2017 reg. 33(1)(b) and 33(6)(c); FATF public statements</t>
  </si>
  <si>
    <t xml:space="preserve">G2</t>
  </si>
  <si>
    <t xml:space="preserve">Country of tax residence where different</t>
  </si>
  <si>
    <t xml:space="preserve">A tax residence that differs from the residential address is a fact the Bank should be able to explain. Weighted lowest in the category because it is absent for the large majority of personal customers.</t>
  </si>
  <si>
    <t xml:space="preserve">JMLSG Part I ch. 5</t>
  </si>
  <si>
    <t xml:space="preserve">G3</t>
  </si>
  <si>
    <t xml:space="preserve">Expected counterparty or payment corridor countries</t>
  </si>
  <si>
    <t xml:space="preserve">For a UK-only retail bank the corridor is where country risk actually arrives, not the customer's own address. Weighted equal to G1 for that reason.</t>
  </si>
  <si>
    <t xml:space="preserve">MLRs 2017 reg. 33(6)(c); FATF public statements</t>
  </si>
  <si>
    <t xml:space="preserve">P1</t>
  </si>
  <si>
    <t xml:space="preserve">Product type held</t>
  </si>
  <si>
    <t xml:space="preserve">The product is the container for everything the customer can do. A business current account with cash handling and international payments carries a materially different inherent risk from an instant-access savings account before anything at all is known about the customer.</t>
  </si>
  <si>
    <t xml:space="preserve">MLRs 2017 reg. 18(2)(b)(iii); JMLSG Part I ch. 4</t>
  </si>
  <si>
    <t xml:space="preserve">P2</t>
  </si>
  <si>
    <t xml:space="preserve">Cash functionality</t>
  </si>
  <si>
    <t xml:space="preserve">Cash breaks the audit trail. Reg. 33(6)(a) names cash-intensive business as a higher-risk factor. The monetary thresholds in the levels are Bank policy, not a statutory figure, and are set out here so that they can be challenged and changed in one place.</t>
  </si>
  <si>
    <t xml:space="preserve">MLRs 2017 reg. 33(6)(a). Thresholds are an assumption of this model.</t>
  </si>
  <si>
    <t xml:space="preserve">P3</t>
  </si>
  <si>
    <t xml:space="preserve">International payment functionality</t>
  </si>
  <si>
    <t xml:space="preserve">Reg. 33(6)(b) treats products favouring anonymity and non-face-to-face arrangements as higher risk. International payment capability is the route by which geographic risk reaches an otherwise domestic customer. Level 5 is defined by reference to G3 so that the two factors cannot disagree.</t>
  </si>
  <si>
    <t xml:space="preserve">MLRs 2017 reg. 33(6)(b) and 33(6)(c)</t>
  </si>
  <si>
    <t xml:space="preserve">P4</t>
  </si>
  <si>
    <t xml:space="preserve">Third-party access to the account</t>
  </si>
  <si>
    <t xml:space="preserve">Reg. 33(6)(b) names payments received from unknown or unassociated third parties. Account access held by a person the Bank has not identified is the mechanism behind most money mule activity on retail accounts.</t>
  </si>
  <si>
    <t xml:space="preserve">MLRs 2017 reg. 33(6)(b)</t>
  </si>
  <si>
    <t xml:space="preserve">D1</t>
  </si>
  <si>
    <t xml:space="preserve">Onboarding channel</t>
  </si>
  <si>
    <t xml:space="preserve">Reg. 33(6)(b) names non-face-to-face business relationships established without certain safeguards. The category as a whole carries only 10% because for a digital-first bank almost every customer arrives through the same channel, so the factor discriminates poorly.</t>
  </si>
  <si>
    <t xml:space="preserve">MLRs 2017 reg. 33(6)(b); JMLSG Part I ch. 5</t>
  </si>
  <si>
    <t xml:space="preserve">D2</t>
  </si>
  <si>
    <t xml:space="preserve">Identity verification method</t>
  </si>
  <si>
    <t xml:space="preserve">What matters is not whether the check was digital but how many independent sources corroborated the identity. The FCA's July 2025 final notice against Monzo turned on onboarding accepted with obviously implausible information, which is a verification and plausibility failure rather than a channel failure.</t>
  </si>
  <si>
    <t xml:space="preserve">MLRs 2017 reg. 28; FCA Final Notice, Monzo Bank Ltd, July 2025</t>
  </si>
  <si>
    <t xml:space="preserve">D3</t>
  </si>
  <si>
    <t xml:space="preserve">Introduction source</t>
  </si>
  <si>
    <t xml:space="preserve">An intermediary that is not itself supervised for AML purposes gives the Bank nothing it can rely on. The FCA fined Barclays Bank UK in July 2025 partly for opening an account without checking the Financial Services Register, which is the cheapest version of this check.</t>
  </si>
  <si>
    <t xml:space="preserve">MLRs 2017 reg. 39; FCA Final Notice, Barclays Bank UK plc, July 2025</t>
  </si>
  <si>
    <t xml:space="preserve">A1</t>
  </si>
  <si>
    <t xml:space="preserve">Expected turnover relative to declared income</t>
  </si>
  <si>
    <t xml:space="preserve">Scored relative to declared income or turnover rather than in absolute pounds, because a figure is only informative when set against what the customer says they do.</t>
  </si>
  <si>
    <t xml:space="preserve">MLRs 2017 reg. 28; JMLSG Part I ch. 5. Bands are an assumption of this model.</t>
  </si>
  <si>
    <t xml:space="preserve">A2</t>
  </si>
  <si>
    <t xml:space="preserve">Expected cash proportion of credits</t>
  </si>
  <si>
    <t xml:space="preserve">The heaviest factor in the category. Cash is the most common route by which a legitimate-looking profile is used to place criminal proceeds, and the declared proportion is one of the few forward-looking statements the Bank can test against real activity at the first refresh.</t>
  </si>
  <si>
    <t xml:space="preserve">MLRs 2017 reg. 33(6)(a). Bands are an assumption of this model.</t>
  </si>
  <si>
    <t xml:space="preserve">A3</t>
  </si>
  <si>
    <t xml:space="preserve">Expected international proportion of value</t>
  </si>
  <si>
    <t xml:space="preserve">Defined by reference to G3 at level 5 so that the corridor and the volume travelling through it stay consistent.</t>
  </si>
  <si>
    <t xml:space="preserve">MLRs 2017 reg. 33(6)(c). Bands are an assumption of this model.</t>
  </si>
  <si>
    <t xml:space="preserve">A4</t>
  </si>
  <si>
    <t xml:space="preserve">Expected counterparty profile</t>
  </si>
  <si>
    <t xml:space="preserve">A customer who cannot describe who will be paying them is one of the clearest signals available at onboarding, and it costs nothing to ask.</t>
  </si>
  <si>
    <t xml:space="preserve">A5</t>
  </si>
  <si>
    <t xml:space="preserve">Plausibility of the declared profile</t>
  </si>
  <si>
    <t xml:space="preserve">Deliberately given the smallest weight and the widest definition. It exists so that an analyst who sees something that does not add up has somewhere to record it inside the model rather than only in free text. Level 5 is drawn from the Monzo final notice, where customers were onboarded using well-known London landmarks as their address.</t>
  </si>
  <si>
    <t xml:space="preserve">FCA Final Notice, Monzo Bank Ltd, July 2025</t>
  </si>
  <si>
    <t xml:space="preserve">Total effective weight</t>
  </si>
  <si>
    <t xml:space="preserve">Score</t>
  </si>
  <si>
    <t xml:space="preserve">What this level means</t>
  </si>
  <si>
    <t xml:space="preserve">Mandatory escalator</t>
  </si>
  <si>
    <t xml:space="preserve">UK-resident individual, sole applicant on a personal account</t>
  </si>
  <si>
    <t xml:space="preserve">Joint personal account between parties with an evidenced relationship, or a UK-registered sole trader</t>
  </si>
  <si>
    <t xml:space="preserve">UK-incorporated private limited company or general partnership, all owners identified as natural persons</t>
  </si>
  <si>
    <t xml:space="preserve">UK-incorporated entity with one or more corporate shareholders in the ownership chain, or a limited liability partnership</t>
  </si>
  <si>
    <t xml:space="preserve">Structure including a trust, a foundation, a nominee arrangement, or an entity incorporated outside the United Kingdom anywhere in the ownership chain</t>
  </si>
  <si>
    <t xml:space="preserve">5.3(d), fired on the whole level; see 5.3(d) and methodology 11.9a</t>
  </si>
  <si>
    <t xml:space="preserve">Natural person; no beneficial ownership analysis required</t>
  </si>
  <si>
    <t xml:space="preserve">One or two natural-person beneficial owners, each verified from an independent source</t>
  </si>
  <si>
    <t xml:space="preserve">Three to five natural-person beneficial owners, all verified</t>
  </si>
  <si>
    <t xml:space="preserve">Ownership chain of two or more layers, however deep, with every layer evidenced from a public register or audited accounts</t>
  </si>
  <si>
    <t xml:space="preserve">Nominee shareholders, bearer shares, or a layer of the ownership chain that cannot be evidenced</t>
  </si>
  <si>
    <t xml:space="preserve">5.3(d)</t>
  </si>
  <si>
    <t xml:space="preserve">Salaried employment, pension income, full-time study, or public sector employment</t>
  </si>
  <si>
    <t xml:space="preserve">Regulated profession with a named supervisory body outside the financial sector</t>
  </si>
  <si>
    <t xml:space="preserve">General retail, hospitality, transport, or construction</t>
  </si>
  <si>
    <t xml:space="preserve">Cash-intensive trade or another sector treated as vulnerable, including used vehicle sales, scrap metal, car washes, takeaways, personal care premises, accountancy practices and registered cryptoasset businesses</t>
  </si>
  <si>
    <t xml:space="preserve">Money service business, trust or company service provider, or dealer in high-value goods including art and antiquities</t>
  </si>
  <si>
    <t xml:space="preserve">5.3(c)</t>
  </si>
  <si>
    <t xml:space="preserve">No match</t>
  </si>
  <si>
    <t xml:space="preserve">Confirmed match on a family member or known close associate of a politically exposed person, domestic or foreign</t>
  </si>
  <si>
    <t xml:space="preserve">5.3(a)</t>
  </si>
  <si>
    <t xml:space="preserve">Confirmed match: domestic politically exposed person</t>
  </si>
  <si>
    <t xml:space="preserve">Confirmed match: foreign politically exposed person, or a PEP in a jurisdiction on either FATF list</t>
  </si>
  <si>
    <t xml:space="preserve">Match reviewed and discounted as a false positive, with the rationale recorded on file</t>
  </si>
  <si>
    <t xml:space="preserve">Adverse media unrelated to financial crime</t>
  </si>
  <si>
    <t xml:space="preserve">Adverse media alleging dishonesty or a regulatory breach, no charge brought</t>
  </si>
  <si>
    <t xml:space="preserve">Confirmed adverse media relating to financial crime, fraud, bribery, corruption or tax evasion</t>
  </si>
  <si>
    <t xml:space="preserve">5.3(e)</t>
  </si>
  <si>
    <t xml:space="preserve">United Kingdom</t>
  </si>
  <si>
    <t xml:space="preserve">A country on neither FATF list and not on the HM Treasury high-risk country list</t>
  </si>
  <si>
    <t xml:space="preserve">A country on neither list but with materially weaker AML supervision than the UK on a published index</t>
  </si>
  <si>
    <t xml:space="preserve">A jurisdiction on the FATF list of Jurisdictions under Increased Monitoring</t>
  </si>
  <si>
    <t xml:space="preserve">A jurisdiction on the FATF list of High-Risk Jurisdictions subject to a Call for Action</t>
  </si>
  <si>
    <t xml:space="preserve">5.3(b)</t>
  </si>
  <si>
    <t xml:space="preserve">No tax residence declared other than the United Kingdom</t>
  </si>
  <si>
    <t xml:space="preserve">One further tax residence, in a country on neither FATF list</t>
  </si>
  <si>
    <t xml:space="preserve">A further tax residence in a jurisdiction under Increased Monitoring</t>
  </si>
  <si>
    <t xml:space="preserve">A further tax residence in a Call for Action jurisdiction</t>
  </si>
  <si>
    <t xml:space="preserve">United Kingdom only</t>
  </si>
  <si>
    <t xml:space="preserve">The United Kingdom and countries on neither FATF list</t>
  </si>
  <si>
    <t xml:space="preserve">Any corridor to a country with materially weaker AML supervision, on neither list</t>
  </si>
  <si>
    <t xml:space="preserve">Any corridor to a jurisdiction under Increased Monitoring</t>
  </si>
  <si>
    <t xml:space="preserve">Any corridor to a Call for Action jurisdiction</t>
  </si>
  <si>
    <t xml:space="preserve">Instant-access savings account only</t>
  </si>
  <si>
    <t xml:space="preserve">Personal current account without an overdraft</t>
  </si>
  <si>
    <t xml:space="preserve">Personal current account with an overdraft, or a credit card</t>
  </si>
  <si>
    <t xml:space="preserve">Business current account without cash handling or international payments</t>
  </si>
  <si>
    <t xml:space="preserve">Business current account with cash handling and international payments enabled</t>
  </si>
  <si>
    <t xml:space="preserve">No cash deposit or withdrawal facility</t>
  </si>
  <si>
    <t xml:space="preserve">Cash withdrawal only</t>
  </si>
  <si>
    <t xml:space="preserve">Cash deposits expected up to GBP 2,000 a month</t>
  </si>
  <si>
    <t xml:space="preserve">Cash deposits expected above GBP 2,000 and up to GBP 10,000 a month</t>
  </si>
  <si>
    <t xml:space="preserve">Cash deposits expected above GBP 10,000 a month, or use of a cash collection service</t>
  </si>
  <si>
    <t xml:space="preserve">Not enabled on the account</t>
  </si>
  <si>
    <t xml:space="preserve">Enabled, with no international activity declared at onboarding</t>
  </si>
  <si>
    <t xml:space="preserve">Occasional outbound payments to a small number of named counterparties</t>
  </si>
  <si>
    <t xml:space="preserve">Regular international payments forming part of the customer's stated business</t>
  </si>
  <si>
    <t xml:space="preserve">International payments to or from any country scored 4 or 5 at factor G3</t>
  </si>
  <si>
    <t xml:space="preserve">Sole named party, no third-party access</t>
  </si>
  <si>
    <t xml:space="preserve">Joint account held by parties with an evidenced relationship</t>
  </si>
  <si>
    <t xml:space="preserve">Additional cardholder or third-party mandate, relationship evidenced</t>
  </si>
  <si>
    <t xml:space="preserve">Power of attorney, or a signatory who is not a beneficial owner</t>
  </si>
  <si>
    <t xml:space="preserve">Signatories or regular third-party credits with no evident relationship to the customer or the stated business</t>
  </si>
  <si>
    <t xml:space="preserve">In branch, face to face</t>
  </si>
  <si>
    <t xml:space="preserve">By telephone, followed by a branch visit</t>
  </si>
  <si>
    <t xml:space="preserve">Digital application completed by the customer on the Bank's own app or website</t>
  </si>
  <si>
    <t xml:space="preserve">Digital application completed with assistance from a third party</t>
  </si>
  <si>
    <t xml:space="preserve">Application introduced by an intermediary that is not supervised for AML purposes</t>
  </si>
  <si>
    <t xml:space="preserve">Original documents inspected face to face</t>
  </si>
  <si>
    <t xml:space="preserve">Copies certified by a regulated professional</t>
  </si>
  <si>
    <t xml:space="preserve">Electronic verification returning two or more independent matching sources</t>
  </si>
  <si>
    <t xml:space="preserve">Electronic verification returning a single matching source</t>
  </si>
  <si>
    <t xml:space="preserve">Verification resting only on documents supplied by the customer, with no independent corroboration</t>
  </si>
  <si>
    <t xml:space="preserve">Direct application by the customer</t>
  </si>
  <si>
    <t xml:space="preserve">Referral from an existing customer</t>
  </si>
  <si>
    <t xml:space="preserve">Price comparison site or affinity partner</t>
  </si>
  <si>
    <t xml:space="preserve">Introduction by a firm on the Financial Services Register, entry checked and recorded</t>
  </si>
  <si>
    <t xml:space="preserve">Introduction by a firm whose register entry or AML supervision could not be confirmed</t>
  </si>
  <si>
    <t xml:space="preserve">Consistent with declared income or turnover, and below GBP 5,000 a month</t>
  </si>
  <si>
    <t xml:space="preserve">Consistent with declared income or turnover, GBP 5,000 to GBP 25,000 a month</t>
  </si>
  <si>
    <t xml:space="preserve">Consistent with declared income or turnover, above GBP 25,000 a month</t>
  </si>
  <si>
    <t xml:space="preserve">Above the range the Bank would expect for the declared occupation or sector</t>
  </si>
  <si>
    <t xml:space="preserve">Not explained by the declared income or turnover</t>
  </si>
  <si>
    <t xml:space="preserve">No cash credits declared</t>
  </si>
  <si>
    <t xml:space="preserve">Up to 10% of expected monthly credits</t>
  </si>
  <si>
    <t xml:space="preserve">Above 10% and up to 30% of expected monthly credits</t>
  </si>
  <si>
    <t xml:space="preserve">Above 30% and up to 60% of expected monthly credits</t>
  </si>
  <si>
    <t xml:space="preserve">Above 60% of expected monthly credits, or the customer is unable to state a proportion</t>
  </si>
  <si>
    <t xml:space="preserve">No international activity declared</t>
  </si>
  <si>
    <t xml:space="preserve">Up to 10% of expected monthly value</t>
  </si>
  <si>
    <t xml:space="preserve">Above 10% and up to 40% of expected monthly value</t>
  </si>
  <si>
    <t xml:space="preserve">Above 40% of expected monthly value</t>
  </si>
  <si>
    <t xml:space="preserve">Above 40% of expected monthly value and involving any country scored 4 or 5 at factor G3</t>
  </si>
  <si>
    <t xml:space="preserve">Employer, government body, and a small number of retail counterparties</t>
  </si>
  <si>
    <t xml:space="preserve">A stable set of named business counterparties</t>
  </si>
  <si>
    <t xml:space="preserve">A large number of individual counterparties, consistent with the stated business</t>
  </si>
  <si>
    <t xml:space="preserve">Counterparties concentrated in sectors scored 4 at factor C3</t>
  </si>
  <si>
    <t xml:space="preserve">Counterparties the customer cannot describe, or counterparties in sectors scored 5 at factor C3</t>
  </si>
  <si>
    <t xml:space="preserve">Declared activity is consistent with every other item on file</t>
  </si>
  <si>
    <t xml:space="preserve">Minor inconsistency, explained and recorded</t>
  </si>
  <si>
    <t xml:space="preserve">An inconsistency that required a follow-up question before the file could be completed</t>
  </si>
  <si>
    <t xml:space="preserve">An inconsistency that remains unresolved but does not prevent CDD from being completed</t>
  </si>
  <si>
    <t xml:space="preserve">The declared profile is not credible on the information held, including an address that is a landmark or a non-residential building</t>
  </si>
  <si>
    <t xml:space="preserve">Reference</t>
  </si>
  <si>
    <t xml:space="preserve">Effect</t>
  </si>
  <si>
    <t xml:space="preserve">Condition</t>
  </si>
  <si>
    <t xml:space="preserve">Mandatory High</t>
  </si>
  <si>
    <t xml:space="preserve">The customer, a beneficial owner or a person exercising control is a politically exposed person, a family member or a known close associate.</t>
  </si>
  <si>
    <t xml:space="preserve">The customer resides in, has a further tax residence in, or sends money to or receives money from a jurisdiction identified by FATF as a High-Risk Jurisdiction subject to a Call for Action. Regulation 33(1)(b) requires enhanced due diligence where the customer is established in such a jurisdiction; the Bank applies the escalator to payment corridors as well, which regulation 33(1) permits because it sets a floor and not a ceiling.</t>
  </si>
  <si>
    <t xml:space="preserve">The customer is a money service business, a trust or company service provider, or a dealer in high-value goods.</t>
  </si>
  <si>
    <t xml:space="preserve">The ownership structure includes nominee shareholders, bearer shares, or an entity incorporated in a jurisdiction with no accessible beneficial ownership register. Because level 5 of factor C1 covers trusts, nominee arrangements and overseas incorporation together, the recorded level cannot tell those apart; the escalator therefore fires on the whole of C1 level 5. That is deliberately conservative and it is the wrong way round: the fix is to split C1 level 5 so the condition can be evaluated, and that is a library change requiring approval (methodology 11.9a).</t>
  </si>
  <si>
    <t xml:space="preserve">Screening returns a confirmed adverse media match relating to financial crime, fraud, bribery, corruption or tax evasion.</t>
  </si>
  <si>
    <t xml:space="preserve">5.3(f)</t>
  </si>
  <si>
    <t xml:space="preserve">A suspicious activity report has been submitted in respect of the customer in the preceding twelve months.</t>
  </si>
  <si>
    <t xml:space="preserve">5.4(a)</t>
  </si>
  <si>
    <t xml:space="preserve">Prohibited</t>
  </si>
  <si>
    <t xml:space="preserve">A confirmed sanctions match. Referred to the Sanctions team and handled under the sanctions procedure, not under this model.</t>
  </si>
  <si>
    <t xml:space="preserve">5.4(b)</t>
  </si>
  <si>
    <t xml:space="preserve">Shell banks.</t>
  </si>
  <si>
    <t xml:space="preserve">5.4(c)</t>
  </si>
  <si>
    <t xml:space="preserve">A money service business or cryptoasset business operating in the UK without the registration it is required to hold.</t>
  </si>
  <si>
    <t xml:space="preserve">5.4(d)</t>
  </si>
  <si>
    <t xml:space="preserve">The customer does not provide information the Bank needs to complete customer due diligence (reg. 31).</t>
  </si>
  <si>
    <t xml:space="preserve">5.4(e)</t>
  </si>
  <si>
    <t xml:space="preserve">The Bank cannot identify the beneficial owner, or is not satisfied that it knows who they are.</t>
  </si>
  <si>
    <t xml:space="preserve">Mandatory High overrides the arithmetic. A weighted average dilutes a single severe factor by design; this list is the compensating control. Prohibited relationships are not scored at all.</t>
  </si>
  <si>
    <t xml:space="preserve">Worked example: customer 4417</t>
  </si>
  <si>
    <t xml:space="preserve">Sole trader, UK resident, onboarded through the mobile app with electronic identity verification. Trades in used motor vehicles. Declares turnover of GBP 15,000 to GBP 25,000 a month, of which roughly half is expected in cash. No adverse media, no PEP match, simple ownership. Scores in blue are the analyst's selections; everything else is calculated.</t>
  </si>
  <si>
    <t xml:space="preserve">Category scores</t>
  </si>
  <si>
    <t xml:space="preserve">Contribution</t>
  </si>
  <si>
    <t xml:space="preserve">Level selected</t>
  </si>
  <si>
    <t xml:space="preserve">Weight</t>
  </si>
  <si>
    <t xml:space="preserve">Weighted score</t>
  </si>
  <si>
    <t xml:space="preserve">Rounded to two decimal places</t>
  </si>
  <si>
    <t xml:space="preserve">Band from the arithmetic</t>
  </si>
  <si>
    <t xml:space="preserve">Mandatory escalator applies (Yes or No)</t>
  </si>
  <si>
    <t xml:space="preserve">No</t>
  </si>
  <si>
    <t xml:space="preserve">Final customer risk rating</t>
  </si>
  <si>
    <t xml:space="preserve">The model rates this customer just inside Medium. It is cash-intensive, non-face-to-face and in a sector the National Risk Assessment treats as vulnerable, yet the geography category scores the minimum and pulls the average down. Whether that is the right answer is what Step 4 is for.</t>
  </si>
  <si>
    <t xml:space="preserve">Integrity checks</t>
  </si>
  <si>
    <t xml:space="preserve">Every row must read OK. These recalculate whenever a weight or a level is changed.</t>
  </si>
  <si>
    <t xml:space="preserve">#</t>
  </si>
  <si>
    <t xml:space="preserve">What is tested</t>
  </si>
  <si>
    <t xml:space="preserve">Result</t>
  </si>
  <si>
    <t xml:space="preserve">Expected</t>
  </si>
  <si>
    <t xml:space="preserve">Status</t>
  </si>
  <si>
    <t xml:space="preserve">Category weights sum to 100%</t>
  </si>
  <si>
    <t xml:space="preserve">Factor weights sum to 100% inside every category</t>
  </si>
  <si>
    <t xml:space="preserve">Effective weights sum to 100%</t>
  </si>
  <si>
    <t xml:space="preserve">No duplicate factor codes</t>
  </si>
  <si>
    <t xml:space="preserve">Every level row points at a factor that exists</t>
  </si>
  <si>
    <t xml:space="preserve">Every factor has at least four levels</t>
  </si>
  <si>
    <t xml:space="preserve">No score outside the range 1 to 5</t>
  </si>
  <si>
    <t xml:space="preserve">No duplicate score within a factor</t>
  </si>
  <si>
    <t xml:space="preserve">Every factor's lowest level is 1</t>
  </si>
  <si>
    <t xml:space="preserve">Every factor's highest level is 5</t>
  </si>
  <si>
    <t xml:space="preserve">Lowest overall score the model can produce</t>
  </si>
  <si>
    <t xml:space="preserve">Highest overall score the model can produce</t>
  </si>
  <si>
    <t xml:space="preserve">Worked example scores exactly as documented (2.07)</t>
  </si>
  <si>
    <t xml:space="preserve">Overall status</t>
  </si>
  <si>
    <t xml:space="preserve">Checks 11 and 12 cannot fail while checks 1 to 3, 9 and 10 pass: if every factor runs from 1 to 5 and the weights sum to 100%, the achievable range is 1.00 to 5.00 by arithmetic. They are kept because they evaluate the aggregation formula itself, so a mistyped range or a transposed weight vector fails here and nowhere else in this workbook. They say nothing about the level definitions. See docs/02-risk-factor-rationale.md, 8.2a.</t>
  </si>
</sst>
</file>

<file path=xl/styles.xml><?xml version="1.0" encoding="utf-8"?>
<styleSheet xmlns="http://schemas.openxmlformats.org/spreadsheetml/2006/main">
  <numFmts count="7">
    <numFmt numFmtId="164" formatCode="General"/>
    <numFmt numFmtId="165" formatCode="0%"/>
    <numFmt numFmtId="166" formatCode="General"/>
    <numFmt numFmtId="167" formatCode="0.00%"/>
    <numFmt numFmtId="168" formatCode="0.00"/>
    <numFmt numFmtId="169" formatCode="0.000"/>
    <numFmt numFmtId="170" formatCode="0.0000"/>
  </numFmts>
  <fonts count="10">
    <font>
      <sz val="11"/>
      <color theme="1"/>
      <name val="Calibri"/>
      <family val="2"/>
      <charset val="1"/>
    </font>
    <font>
      <sz val="10"/>
      <name val="Arial"/>
      <family val="0"/>
    </font>
    <font>
      <sz val="10"/>
      <name val="Arial"/>
      <family val="0"/>
    </font>
    <font>
      <sz val="10"/>
      <name val="Arial"/>
      <family val="0"/>
    </font>
    <font>
      <b val="true"/>
      <sz val="14"/>
      <color rgb="FF14454E"/>
      <name val="Arial"/>
      <family val="0"/>
      <charset val="1"/>
    </font>
    <font>
      <b val="true"/>
      <sz val="10"/>
      <name val="Arial"/>
      <family val="0"/>
      <charset val="1"/>
    </font>
    <font>
      <sz val="10"/>
      <name val="Arial"/>
      <family val="0"/>
      <charset val="1"/>
    </font>
    <font>
      <sz val="9"/>
      <color rgb="FF5C6E72"/>
      <name val="Arial"/>
      <family val="0"/>
      <charset val="1"/>
    </font>
    <font>
      <b val="true"/>
      <sz val="10"/>
      <color rgb="FFFFFFFF"/>
      <name val="Arial"/>
      <family val="0"/>
      <charset val="1"/>
    </font>
    <font>
      <sz val="10"/>
      <color rgb="FF0000FF"/>
      <name val="Arial"/>
      <family val="0"/>
      <charset val="1"/>
    </font>
  </fonts>
  <fills count="6">
    <fill>
      <patternFill patternType="none"/>
    </fill>
    <fill>
      <patternFill patternType="gray125"/>
    </fill>
    <fill>
      <patternFill patternType="solid">
        <fgColor rgb="FF14454E"/>
        <bgColor rgb="FF333333"/>
      </patternFill>
    </fill>
    <fill>
      <patternFill patternType="solid">
        <fgColor rgb="FFFFF2CC"/>
        <bgColor rgb="FFE2EFDA"/>
      </patternFill>
    </fill>
    <fill>
      <patternFill patternType="solid">
        <fgColor rgb="FFE4EAEA"/>
        <bgColor rgb="FFE2EFDA"/>
      </patternFill>
    </fill>
    <fill>
      <patternFill patternType="solid">
        <fgColor rgb="FFE2EFDA"/>
        <bgColor rgb="FFE4EAEA"/>
      </patternFill>
    </fill>
  </fills>
  <borders count="2">
    <border diagonalUp="false" diagonalDown="false">
      <left/>
      <right/>
      <top/>
      <bottom/>
      <diagonal/>
    </border>
    <border diagonalUp="false" diagonalDown="false">
      <left/>
      <right/>
      <top/>
      <bottom style="thin">
        <color rgb="FFC9D4D4"/>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2" borderId="0" xfId="0" applyFont="true" applyBorder="false" applyAlignment="true" applyProtection="false">
      <alignment horizontal="general" vertical="center" textRotation="0" wrapText="tru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5" fontId="9" fillId="3" borderId="1" xfId="0" applyFont="true" applyBorder="true" applyAlignment="true" applyProtection="false">
      <alignment horizontal="center" vertical="top" textRotation="0" wrapText="false" indent="0" shrinkToFit="false"/>
      <protection locked="true" hidden="false"/>
    </xf>
    <xf numFmtId="166" fontId="6" fillId="0" borderId="1" xfId="0" applyFont="true" applyBorder="true" applyAlignment="true" applyProtection="false">
      <alignment horizontal="center" vertical="top" textRotation="0" wrapText="false" indent="0" shrinkToFit="false"/>
      <protection locked="true" hidden="false"/>
    </xf>
    <xf numFmtId="165" fontId="6" fillId="0" borderId="1" xfId="0" applyFont="true" applyBorder="true" applyAlignment="true" applyProtection="false">
      <alignment horizontal="center" vertical="top" textRotation="0" wrapText="false" indent="0" shrinkToFit="false"/>
      <protection locked="true" hidden="false"/>
    </xf>
    <xf numFmtId="164" fontId="5" fillId="0" borderId="1" xfId="0" applyFont="true" applyBorder="true" applyAlignment="true" applyProtection="false">
      <alignment horizontal="center" vertical="top"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5" fontId="5" fillId="4" borderId="0" xfId="0" applyFont="true" applyBorder="false" applyAlignment="true" applyProtection="false">
      <alignment horizontal="center" vertical="top" textRotation="0" wrapText="false" indent="0" shrinkToFit="false"/>
      <protection locked="true" hidden="false"/>
    </xf>
    <xf numFmtId="164" fontId="5" fillId="0" borderId="0" xfId="0" applyFont="true" applyBorder="false" applyAlignment="true" applyProtection="false">
      <alignment horizontal="center" vertical="top"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center" vertical="top" textRotation="0" wrapText="false" indent="0" shrinkToFit="false"/>
      <protection locked="true" hidden="false"/>
    </xf>
    <xf numFmtId="165" fontId="9" fillId="3" borderId="0" xfId="0" applyFont="true" applyBorder="false" applyAlignment="true" applyProtection="false">
      <alignment horizontal="center" vertical="top" textRotation="0" wrapText="false" indent="0" shrinkToFit="false"/>
      <protection locked="true" hidden="false"/>
    </xf>
    <xf numFmtId="167" fontId="6" fillId="0" borderId="0" xfId="0" applyFont="true" applyBorder="false" applyAlignment="true" applyProtection="false">
      <alignment horizontal="center" vertical="top" textRotation="0" wrapText="false" indent="0" shrinkToFit="false"/>
      <protection locked="true" hidden="false"/>
    </xf>
    <xf numFmtId="167" fontId="5" fillId="4" borderId="0" xfId="0" applyFont="true" applyBorder="false" applyAlignment="true" applyProtection="false">
      <alignment horizontal="center" vertical="top"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8" fillId="2" borderId="0" xfId="0" applyFont="true" applyBorder="false" applyAlignment="true" applyProtection="false">
      <alignment horizontal="center" vertical="top" textRotation="0" wrapText="false" indent="0" shrinkToFit="false"/>
      <protection locked="true" hidden="false"/>
    </xf>
    <xf numFmtId="168" fontId="8" fillId="2" borderId="0" xfId="0" applyFont="true" applyBorder="false" applyAlignment="true" applyProtection="false">
      <alignment horizontal="center" vertical="top" textRotation="0" wrapText="false" indent="0" shrinkToFit="false"/>
      <protection locked="true" hidden="false"/>
    </xf>
    <xf numFmtId="165" fontId="8" fillId="2" borderId="0" xfId="0" applyFont="true" applyBorder="false" applyAlignment="true" applyProtection="false">
      <alignment horizontal="center" vertical="top" textRotation="0" wrapText="false" indent="0" shrinkToFit="false"/>
      <protection locked="true" hidden="false"/>
    </xf>
    <xf numFmtId="164" fontId="9" fillId="3" borderId="0" xfId="0" applyFont="true" applyBorder="false" applyAlignment="true" applyProtection="false">
      <alignment horizontal="center" vertical="top" textRotation="0" wrapText="false" indent="0" shrinkToFit="false"/>
      <protection locked="true" hidden="false"/>
    </xf>
    <xf numFmtId="169" fontId="6" fillId="0" borderId="0" xfId="0" applyFont="true" applyBorder="false" applyAlignment="true" applyProtection="false">
      <alignment horizontal="center" vertical="top" textRotation="0" wrapText="false" indent="0" shrinkToFit="false"/>
      <protection locked="true" hidden="false"/>
    </xf>
    <xf numFmtId="168" fontId="6" fillId="0" borderId="1" xfId="0" applyFont="true" applyBorder="true" applyAlignment="true" applyProtection="false">
      <alignment horizontal="center" vertical="top" textRotation="0" wrapText="false" indent="0" shrinkToFit="false"/>
      <protection locked="true" hidden="false"/>
    </xf>
    <xf numFmtId="170" fontId="6" fillId="0" borderId="0" xfId="0" applyFont="true" applyBorder="false" applyAlignment="true" applyProtection="false">
      <alignment horizontal="center" vertical="top" textRotation="0" wrapText="false" indent="0" shrinkToFit="false"/>
      <protection locked="true" hidden="false"/>
    </xf>
    <xf numFmtId="168" fontId="6" fillId="0" borderId="0" xfId="0" applyFont="true" applyBorder="false" applyAlignment="true" applyProtection="false">
      <alignment horizontal="center" vertical="top" textRotation="0" wrapText="false" indent="0" shrinkToFit="false"/>
      <protection locked="true" hidden="false"/>
    </xf>
    <xf numFmtId="164" fontId="5" fillId="5" borderId="0" xfId="0" applyFont="true" applyBorder="false" applyAlignment="true" applyProtection="false">
      <alignment horizontal="center" vertical="top" textRotation="0" wrapText="fals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5" fillId="5" borderId="1" xfId="0" applyFont="true" applyBorder="true" applyAlignment="true" applyProtection="false">
      <alignment horizontal="center"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ill>
        <patternFill patternType="solid">
          <fgColor rgb="FF14454E"/>
          <bgColor rgb="FF000000"/>
        </patternFill>
      </fill>
    </dxf>
    <dxf>
      <fill>
        <patternFill patternType="solid">
          <bgColor rgb="FF000000"/>
        </patternFill>
      </fill>
    </dxf>
    <dxf>
      <fill>
        <patternFill patternType="solid">
          <fgColor rgb="FFFFFFFF"/>
          <bgColor rgb="FF000000"/>
        </patternFill>
      </fill>
    </dxf>
    <dxf>
      <fill>
        <patternFill patternType="solid">
          <fgColor rgb="FFFFF2CC"/>
          <bgColor rgb="FF000000"/>
        </patternFill>
      </fill>
    </dxf>
    <dxf>
      <fill>
        <patternFill patternType="solid">
          <fgColor rgb="FF0000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E4EAEA"/>
      <rgbColor rgb="FF660066"/>
      <rgbColor rgb="FFFF8080"/>
      <rgbColor rgb="FF0066CC"/>
      <rgbColor rgb="FFC9D4D4"/>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5C6E72"/>
      <rgbColor rgb="FF969696"/>
      <rgbColor rgb="FF14454E"/>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ables/table1.xml><?xml version="1.0" encoding="utf-8"?>
<table xmlns="http://schemas.openxmlformats.org/spreadsheetml/2006/main" id="1" name="tblCategories" displayName="tblCategories" ref="A1:F6" headerRowCount="1" totalsRowCount="0" totalsRowShown="0">
  <autoFilter ref="A1:F6"/>
  <tableColumns count="6">
    <tableColumn id="1" name="Code"/>
    <tableColumn id="2" name="Category"/>
    <tableColumn id="3" name="Category weight"/>
    <tableColumn id="4" name="Factors"/>
    <tableColumn id="5" name="Factor weights sum"/>
    <tableColumn id="6" name="Check"/>
  </tableColumns>
</table>
</file>

<file path=xl/tables/table2.xml><?xml version="1.0" encoding="utf-8"?>
<table xmlns="http://schemas.openxmlformats.org/spreadsheetml/2006/main" id="2" name="tblEscalators" displayName="tblEscalators" ref="A1:C12" headerRowCount="1" totalsRowCount="0" totalsRowShown="0">
  <autoFilter ref="A1:C12"/>
  <tableColumns count="3">
    <tableColumn id="1" name="Reference"/>
    <tableColumn id="2" name="Effect"/>
    <tableColumn id="3" name="Condition"/>
  </tableColumns>
</table>
</file>

<file path=xl/tables/table3.xml><?xml version="1.0" encoding="utf-8"?>
<table xmlns="http://schemas.openxmlformats.org/spreadsheetml/2006/main" id="3" name="tblFactors" displayName="tblFactors" ref="A1:I21" headerRowCount="1" totalsRowCount="0" totalsRowShown="0">
  <autoFilter ref="A1:I21"/>
  <tableColumns count="9">
    <tableColumn id="1" name="Factor"/>
    <tableColumn id="2" name="Category"/>
    <tableColumn id="3" name="Factor name"/>
    <tableColumn id="4" name="Weight in category"/>
    <tableColumn id="5" name="Effective weight"/>
    <tableColumn id="6" name="Lowest level"/>
    <tableColumn id="7" name="Highest level"/>
    <tableColumn id="8" name="Rationale for the weight"/>
    <tableColumn id="9" name="Source"/>
  </tableColumns>
</table>
</file>

<file path=xl/tables/table4.xml><?xml version="1.0" encoding="utf-8"?>
<table xmlns="http://schemas.openxmlformats.org/spreadsheetml/2006/main" id="4" name="tblLevels" displayName="tblLevels" ref="A1:E99" headerRowCount="1" totalsRowCount="0" totalsRowShown="0">
  <autoFilter ref="A1:E99"/>
  <tableColumns count="5">
    <tableColumn id="1" name="Factor"/>
    <tableColumn id="2" name="Factor name"/>
    <tableColumn id="3" name="Score"/>
    <tableColumn id="4" name="What this level means"/>
    <tableColumn id="5" name="Mandatory escalator"/>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table" Target="../tables/table1.xml"/>
</Relationships>
</file>

<file path=xl/worksheets/_rels/sheet3.xml.rels><?xml version="1.0" encoding="UTF-8"?>
<Relationships xmlns="http://schemas.openxmlformats.org/package/2006/relationships"><Relationship Id="rId1" Type="http://schemas.openxmlformats.org/officeDocument/2006/relationships/table" Target="../tables/table3.xml"/>
</Relationships>
</file>

<file path=xl/worksheets/_rels/sheet4.xml.rels><?xml version="1.0" encoding="UTF-8"?>
<Relationships xmlns="http://schemas.openxmlformats.org/package/2006/relationships"><Relationship Id="rId1" Type="http://schemas.openxmlformats.org/officeDocument/2006/relationships/table" Target="../tables/table4.xml"/>
</Relationships>
</file>

<file path=xl/worksheets/_rels/sheet5.xml.rels><?xml version="1.0" encoding="UTF-8"?>
<Relationships xmlns="http://schemas.openxmlformats.org/package/2006/relationships"><Relationship Id="rId1" Type="http://schemas.openxmlformats.org/officeDocument/2006/relationships/table" Target="../tables/table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4454E"/>
    <pageSetUpPr fitToPage="false"/>
  </sheetPr>
  <dimension ref="B2:B38"/>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104"/>
  </cols>
  <sheetData>
    <row r="2" customFormat="false" ht="21.75" hidden="false" customHeight="true" outlineLevel="0" collapsed="false">
      <c r="B2" s="1" t="s">
        <v>0</v>
      </c>
    </row>
    <row r="3" customFormat="false" ht="15" hidden="false" customHeight="false" outlineLevel="0" collapsed="false">
      <c r="B3" s="2" t="s">
        <v>1</v>
      </c>
    </row>
    <row r="4" customFormat="false" ht="15" hidden="false" customHeight="false" outlineLevel="0" collapsed="false">
      <c r="B4" s="3"/>
    </row>
    <row r="5" customFormat="false" ht="15" hidden="false" customHeight="false" outlineLevel="0" collapsed="false">
      <c r="B5" s="2" t="s">
        <v>2</v>
      </c>
    </row>
    <row r="6" customFormat="false" ht="45" hidden="false" customHeight="true" outlineLevel="0" collapsed="false">
      <c r="B6" s="3" t="s">
        <v>3</v>
      </c>
    </row>
    <row r="7" customFormat="false" ht="15" hidden="false" customHeight="false" outlineLevel="0" collapsed="false">
      <c r="B7" s="3"/>
    </row>
    <row r="8" customFormat="false" ht="15" hidden="false" customHeight="false" outlineLevel="0" collapsed="false">
      <c r="B8" s="2" t="s">
        <v>4</v>
      </c>
    </row>
    <row r="9" customFormat="false" ht="15" hidden="false" customHeight="false" outlineLevel="0" collapsed="false">
      <c r="B9" s="3" t="s">
        <v>5</v>
      </c>
    </row>
    <row r="10" customFormat="false" ht="30" hidden="false" customHeight="true" outlineLevel="0" collapsed="false">
      <c r="B10" s="3" t="s">
        <v>6</v>
      </c>
    </row>
    <row r="11" customFormat="false" ht="30" hidden="false" customHeight="true" outlineLevel="0" collapsed="false">
      <c r="B11" s="3" t="s">
        <v>7</v>
      </c>
    </row>
    <row r="12" customFormat="false" ht="15" hidden="false" customHeight="false" outlineLevel="0" collapsed="false">
      <c r="B12" s="3" t="s">
        <v>8</v>
      </c>
    </row>
    <row r="13" customFormat="false" ht="15" hidden="false" customHeight="false" outlineLevel="0" collapsed="false">
      <c r="B13" s="3" t="s">
        <v>9</v>
      </c>
    </row>
    <row r="14" customFormat="false" ht="15" hidden="false" customHeight="false" outlineLevel="0" collapsed="false">
      <c r="B14" s="3" t="s">
        <v>10</v>
      </c>
    </row>
    <row r="15" customFormat="false" ht="15" hidden="false" customHeight="false" outlineLevel="0" collapsed="false">
      <c r="B15" s="3"/>
    </row>
    <row r="16" customFormat="false" ht="15" hidden="false" customHeight="false" outlineLevel="0" collapsed="false">
      <c r="B16" s="2" t="s">
        <v>11</v>
      </c>
    </row>
    <row r="17" customFormat="false" ht="45" hidden="false" customHeight="true" outlineLevel="0" collapsed="false">
      <c r="B17" s="3" t="s">
        <v>12</v>
      </c>
    </row>
    <row r="18" customFormat="false" ht="15" hidden="false" customHeight="false" outlineLevel="0" collapsed="false">
      <c r="B18" s="3"/>
    </row>
    <row r="19" customFormat="false" ht="15" hidden="false" customHeight="false" outlineLevel="0" collapsed="false">
      <c r="B19" s="2" t="s">
        <v>13</v>
      </c>
    </row>
    <row r="20" customFormat="false" ht="30" hidden="false" customHeight="true" outlineLevel="0" collapsed="false">
      <c r="B20" s="3" t="s">
        <v>14</v>
      </c>
    </row>
    <row r="21" customFormat="false" ht="15" hidden="false" customHeight="false" outlineLevel="0" collapsed="false">
      <c r="B21" s="3" t="s">
        <v>15</v>
      </c>
    </row>
    <row r="22" customFormat="false" ht="15" hidden="false" customHeight="false" outlineLevel="0" collapsed="false">
      <c r="B22" s="3" t="s">
        <v>16</v>
      </c>
    </row>
    <row r="23" customFormat="false" ht="15" hidden="false" customHeight="false" outlineLevel="0" collapsed="false">
      <c r="B23" s="3" t="s">
        <v>17</v>
      </c>
    </row>
    <row r="24" customFormat="false" ht="15" hidden="false" customHeight="false" outlineLevel="0" collapsed="false">
      <c r="B24" s="3" t="s">
        <v>18</v>
      </c>
    </row>
    <row r="25" customFormat="false" ht="15" hidden="false" customHeight="false" outlineLevel="0" collapsed="false">
      <c r="B25" s="3" t="s">
        <v>19</v>
      </c>
    </row>
    <row r="26" customFormat="false" ht="15" hidden="false" customHeight="false" outlineLevel="0" collapsed="false">
      <c r="B26" s="3"/>
    </row>
    <row r="27" customFormat="false" ht="15" hidden="false" customHeight="false" outlineLevel="0" collapsed="false">
      <c r="B27" s="2" t="s">
        <v>20</v>
      </c>
    </row>
    <row r="28" customFormat="false" ht="60" hidden="false" customHeight="true" outlineLevel="0" collapsed="false">
      <c r="B28" s="3" t="s">
        <v>21</v>
      </c>
    </row>
    <row r="29" customFormat="false" ht="15" hidden="false" customHeight="false" outlineLevel="0" collapsed="false">
      <c r="B29" s="3"/>
    </row>
    <row r="30" customFormat="false" ht="15" hidden="false" customHeight="false" outlineLevel="0" collapsed="false">
      <c r="B30" s="2" t="s">
        <v>22</v>
      </c>
    </row>
    <row r="31" customFormat="false" ht="30" hidden="false" customHeight="true" outlineLevel="0" collapsed="false">
      <c r="B31" s="3" t="s">
        <v>23</v>
      </c>
    </row>
    <row r="32" customFormat="false" ht="15" hidden="false" customHeight="false" outlineLevel="0" collapsed="false">
      <c r="B32" s="3" t="s">
        <v>24</v>
      </c>
    </row>
    <row r="33" customFormat="false" ht="15" hidden="false" customHeight="false" outlineLevel="0" collapsed="false">
      <c r="B33" s="3" t="s">
        <v>25</v>
      </c>
    </row>
    <row r="34" customFormat="false" ht="30" hidden="false" customHeight="true" outlineLevel="0" collapsed="false">
      <c r="B34" s="3" t="s">
        <v>26</v>
      </c>
    </row>
    <row r="35" customFormat="false" ht="30" hidden="false" customHeight="true" outlineLevel="0" collapsed="false">
      <c r="B35" s="3" t="s">
        <v>27</v>
      </c>
    </row>
    <row r="36" customFormat="false" ht="30" hidden="false" customHeight="true" outlineLevel="0" collapsed="false">
      <c r="B36" s="3" t="s">
        <v>28</v>
      </c>
    </row>
    <row r="37" customFormat="false" ht="15" hidden="false" customHeight="false" outlineLevel="0" collapsed="false">
      <c r="B37" s="3"/>
    </row>
    <row r="38" customFormat="false" ht="30" hidden="false" customHeight="true" outlineLevel="0" collapsed="false">
      <c r="B38" s="4" t="s">
        <v>29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4454E"/>
    <pageSetUpPr fitToPage="false"/>
  </sheetPr>
  <dimension ref="A1:F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24"/>
    <col collapsed="false" customWidth="true" hidden="false" outlineLevel="0" max="3" min="3" style="0" width="16"/>
    <col collapsed="false" customWidth="true" hidden="false" outlineLevel="0" max="4" min="4" style="0" width="10"/>
    <col collapsed="false" customWidth="true" hidden="false" outlineLevel="0" max="5" min="5" style="0" width="18"/>
    <col collapsed="false" customWidth="true" hidden="false" outlineLevel="0" max="6" min="6" style="0" width="10"/>
  </cols>
  <sheetData>
    <row r="1" customFormat="false" ht="27.75" hidden="false" customHeight="true" outlineLevel="0" collapsed="false">
      <c r="A1" s="5" t="s">
        <v>30</v>
      </c>
      <c r="B1" s="5" t="s">
        <v>31</v>
      </c>
      <c r="C1" s="5" t="s">
        <v>32</v>
      </c>
      <c r="D1" s="5" t="s">
        <v>33</v>
      </c>
      <c r="E1" s="5" t="s">
        <v>34</v>
      </c>
      <c r="F1" s="5" t="s">
        <v>35</v>
      </c>
    </row>
    <row r="2" customFormat="false" ht="15" hidden="false" customHeight="false" outlineLevel="0" collapsed="false">
      <c r="A2" s="6" t="s">
        <v>36</v>
      </c>
      <c r="B2" s="7" t="s">
        <v>37</v>
      </c>
      <c r="C2" s="8" t="n">
        <v>0.3</v>
      </c>
      <c r="D2" s="9" t="n">
        <f aca="false">COUNTIF(Factors!$B$2:$B$21,$A2)</f>
        <v>5</v>
      </c>
      <c r="E2" s="10" t="n">
        <f aca="false">SUMIF(Factors!$B$2:$B$21,$A2,Factors!$D$2:$D$21)</f>
        <v>1</v>
      </c>
      <c r="F2" s="11" t="str">
        <f aca="false">IF(ROUND($E2,6)=1,"OK","CHECK")</f>
        <v>OK</v>
      </c>
    </row>
    <row r="3" customFormat="false" ht="15" hidden="false" customHeight="false" outlineLevel="0" collapsed="false">
      <c r="A3" s="6" t="s">
        <v>38</v>
      </c>
      <c r="B3" s="7" t="s">
        <v>39</v>
      </c>
      <c r="C3" s="8" t="n">
        <v>0.25</v>
      </c>
      <c r="D3" s="9" t="n">
        <f aca="false">COUNTIF(Factors!$B$2:$B$21,$A3)</f>
        <v>3</v>
      </c>
      <c r="E3" s="10" t="n">
        <f aca="false">SUMIF(Factors!$B$2:$B$21,$A3,Factors!$D$2:$D$21)</f>
        <v>1</v>
      </c>
      <c r="F3" s="11" t="str">
        <f aca="false">IF(ROUND($E3,6)=1,"OK","CHECK")</f>
        <v>OK</v>
      </c>
    </row>
    <row r="4" customFormat="false" ht="15" hidden="false" customHeight="false" outlineLevel="0" collapsed="false">
      <c r="A4" s="6" t="s">
        <v>40</v>
      </c>
      <c r="B4" s="7" t="s">
        <v>41</v>
      </c>
      <c r="C4" s="8" t="n">
        <v>0.2</v>
      </c>
      <c r="D4" s="9" t="n">
        <f aca="false">COUNTIF(Factors!$B$2:$B$21,$A4)</f>
        <v>4</v>
      </c>
      <c r="E4" s="10" t="n">
        <f aca="false">SUMIF(Factors!$B$2:$B$21,$A4,Factors!$D$2:$D$21)</f>
        <v>1</v>
      </c>
      <c r="F4" s="11" t="str">
        <f aca="false">IF(ROUND($E4,6)=1,"OK","CHECK")</f>
        <v>OK</v>
      </c>
    </row>
    <row r="5" customFormat="false" ht="15" hidden="false" customHeight="false" outlineLevel="0" collapsed="false">
      <c r="A5" s="6" t="s">
        <v>42</v>
      </c>
      <c r="B5" s="7" t="s">
        <v>43</v>
      </c>
      <c r="C5" s="8" t="n">
        <v>0.1</v>
      </c>
      <c r="D5" s="9" t="n">
        <f aca="false">COUNTIF(Factors!$B$2:$B$21,$A5)</f>
        <v>3</v>
      </c>
      <c r="E5" s="10" t="n">
        <f aca="false">SUMIF(Factors!$B$2:$B$21,$A5,Factors!$D$2:$D$21)</f>
        <v>1</v>
      </c>
      <c r="F5" s="11" t="str">
        <f aca="false">IF(ROUND($E5,6)=1,"OK","CHECK")</f>
        <v>OK</v>
      </c>
    </row>
    <row r="6" customFormat="false" ht="15" hidden="false" customHeight="false" outlineLevel="0" collapsed="false">
      <c r="A6" s="6" t="s">
        <v>44</v>
      </c>
      <c r="B6" s="7" t="s">
        <v>45</v>
      </c>
      <c r="C6" s="8" t="n">
        <v>0.15</v>
      </c>
      <c r="D6" s="9" t="n">
        <f aca="false">COUNTIF(Factors!$B$2:$B$21,$A6)</f>
        <v>5</v>
      </c>
      <c r="E6" s="10" t="n">
        <f aca="false">SUMIF(Factors!$B$2:$B$21,$A6,Factors!$D$2:$D$21)</f>
        <v>1</v>
      </c>
      <c r="F6" s="11" t="str">
        <f aca="false">IF(ROUND($E6,6)=1,"OK","CHECK")</f>
        <v>OK</v>
      </c>
    </row>
    <row r="7" customFormat="false" ht="15" hidden="false" customHeight="false" outlineLevel="0" collapsed="false">
      <c r="B7" s="12" t="s">
        <v>46</v>
      </c>
      <c r="C7" s="13" t="n">
        <f aca="false">SUM($C$2:$C$6)</f>
        <v>1</v>
      </c>
      <c r="F7" s="14" t="str">
        <f aca="false">IF(ROUND($C7,6)=1,"OK","CHECK")</f>
        <v>OK</v>
      </c>
    </row>
    <row r="9" customFormat="false" ht="15" hidden="false" customHeight="false" outlineLevel="0" collapsed="false">
      <c r="B9" s="15" t="s">
        <v>47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4454E"/>
    <pageSetUpPr fitToPage="false"/>
  </sheetPr>
  <dimension ref="A1:I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10"/>
    <col collapsed="false" customWidth="true" hidden="false" outlineLevel="0" max="3" min="3" style="0" width="34"/>
    <col collapsed="false" customWidth="true" hidden="false" outlineLevel="0" max="5" min="4" style="0" width="13"/>
    <col collapsed="false" customWidth="true" hidden="false" outlineLevel="0" max="7" min="6" style="0" width="11"/>
    <col collapsed="false" customWidth="true" hidden="false" outlineLevel="0" max="8" min="8" style="0" width="74"/>
    <col collapsed="false" customWidth="true" hidden="false" outlineLevel="0" max="9" min="9" style="0" width="46"/>
  </cols>
  <sheetData>
    <row r="1" customFormat="false" ht="27.75" hidden="false" customHeight="true" outlineLevel="0" collapsed="false">
      <c r="A1" s="5" t="s">
        <v>48</v>
      </c>
      <c r="B1" s="5" t="s">
        <v>31</v>
      </c>
      <c r="C1" s="5" t="s">
        <v>49</v>
      </c>
      <c r="D1" s="5" t="s">
        <v>50</v>
      </c>
      <c r="E1" s="5" t="s">
        <v>51</v>
      </c>
      <c r="F1" s="5" t="s">
        <v>52</v>
      </c>
      <c r="G1" s="5" t="s">
        <v>53</v>
      </c>
      <c r="H1" s="5" t="s">
        <v>54</v>
      </c>
      <c r="I1" s="5" t="s">
        <v>55</v>
      </c>
    </row>
    <row r="2" customFormat="false" ht="45" hidden="false" customHeight="true" outlineLevel="0" collapsed="false">
      <c r="A2" s="12" t="s">
        <v>56</v>
      </c>
      <c r="B2" s="16" t="s">
        <v>36</v>
      </c>
      <c r="C2" s="3" t="s">
        <v>57</v>
      </c>
      <c r="D2" s="17" t="n">
        <v>0.2</v>
      </c>
      <c r="E2" s="18" t="n">
        <f aca="false">INDEX(Categories!$C$2:$C$6,MATCH($B2,Categories!$A$2:$A$6,0))*$D2</f>
        <v>0.06</v>
      </c>
      <c r="F2" s="16" t="n">
        <f aca="false">SUMPRODUCT(MIN((Levels!$A$2:$A$99=$A2)*Levels!$C$2:$C$99+(Levels!$A$2:$A$99&lt;&gt;$A2)*99))</f>
        <v>1</v>
      </c>
      <c r="G2" s="16" t="n">
        <f aca="false">SUMPRODUCT(MAX((Levels!$A$2:$A$99=$A2)*Levels!$C$2:$C$99))</f>
        <v>5</v>
      </c>
      <c r="H2" s="3" t="s">
        <v>58</v>
      </c>
      <c r="I2" s="3" t="s">
        <v>59</v>
      </c>
    </row>
    <row r="3" customFormat="false" ht="90" hidden="false" customHeight="true" outlineLevel="0" collapsed="false">
      <c r="A3" s="12" t="s">
        <v>60</v>
      </c>
      <c r="B3" s="16" t="s">
        <v>36</v>
      </c>
      <c r="C3" s="3" t="s">
        <v>61</v>
      </c>
      <c r="D3" s="17" t="n">
        <v>0.2</v>
      </c>
      <c r="E3" s="18" t="n">
        <f aca="false">INDEX(Categories!$C$2:$C$6,MATCH($B3,Categories!$A$2:$A$6,0))*$D3</f>
        <v>0.06</v>
      </c>
      <c r="F3" s="16" t="n">
        <f aca="false">SUMPRODUCT(MIN((Levels!$A$2:$A$99=$A3)*Levels!$C$2:$C$99+(Levels!$A$2:$A$99&lt;&gt;$A3)*99))</f>
        <v>1</v>
      </c>
      <c r="G3" s="16" t="n">
        <f aca="false">SUMPRODUCT(MAX((Levels!$A$2:$A$99=$A3)*Levels!$C$2:$C$99))</f>
        <v>5</v>
      </c>
      <c r="H3" s="3" t="s">
        <v>62</v>
      </c>
      <c r="I3" s="3" t="s">
        <v>63</v>
      </c>
    </row>
    <row r="4" customFormat="false" ht="135" hidden="false" customHeight="true" outlineLevel="0" collapsed="false">
      <c r="A4" s="12" t="s">
        <v>64</v>
      </c>
      <c r="B4" s="16" t="s">
        <v>36</v>
      </c>
      <c r="C4" s="3" t="s">
        <v>65</v>
      </c>
      <c r="D4" s="17" t="n">
        <v>0.25</v>
      </c>
      <c r="E4" s="18" t="n">
        <f aca="false">INDEX(Categories!$C$2:$C$6,MATCH($B4,Categories!$A$2:$A$6,0))*$D4</f>
        <v>0.075</v>
      </c>
      <c r="F4" s="16" t="n">
        <f aca="false">SUMPRODUCT(MIN((Levels!$A$2:$A$99=$A4)*Levels!$C$2:$C$99+(Levels!$A$2:$A$99&lt;&gt;$A4)*99))</f>
        <v>1</v>
      </c>
      <c r="G4" s="16" t="n">
        <f aca="false">SUMPRODUCT(MAX((Levels!$A$2:$A$99=$A4)*Levels!$C$2:$C$99))</f>
        <v>5</v>
      </c>
      <c r="H4" s="3" t="s">
        <v>66</v>
      </c>
      <c r="I4" s="3" t="s">
        <v>67</v>
      </c>
    </row>
    <row r="5" customFormat="false" ht="75" hidden="false" customHeight="true" outlineLevel="0" collapsed="false">
      <c r="A5" s="12" t="s">
        <v>68</v>
      </c>
      <c r="B5" s="16" t="s">
        <v>36</v>
      </c>
      <c r="C5" s="3" t="s">
        <v>69</v>
      </c>
      <c r="D5" s="17" t="n">
        <v>0.2</v>
      </c>
      <c r="E5" s="18" t="n">
        <f aca="false">INDEX(Categories!$C$2:$C$6,MATCH($B5,Categories!$A$2:$A$6,0))*$D5</f>
        <v>0.06</v>
      </c>
      <c r="F5" s="16" t="n">
        <f aca="false">SUMPRODUCT(MIN((Levels!$A$2:$A$99=$A5)*Levels!$C$2:$C$99+(Levels!$A$2:$A$99&lt;&gt;$A5)*99))</f>
        <v>1</v>
      </c>
      <c r="G5" s="16" t="n">
        <f aca="false">SUMPRODUCT(MAX((Levels!$A$2:$A$99=$A5)*Levels!$C$2:$C$99))</f>
        <v>5</v>
      </c>
      <c r="H5" s="3" t="s">
        <v>70</v>
      </c>
      <c r="I5" s="3" t="s">
        <v>71</v>
      </c>
    </row>
    <row r="6" customFormat="false" ht="60" hidden="false" customHeight="true" outlineLevel="0" collapsed="false">
      <c r="A6" s="12" t="s">
        <v>72</v>
      </c>
      <c r="B6" s="16" t="s">
        <v>36</v>
      </c>
      <c r="C6" s="3" t="s">
        <v>73</v>
      </c>
      <c r="D6" s="17" t="n">
        <v>0.15</v>
      </c>
      <c r="E6" s="18" t="n">
        <f aca="false">INDEX(Categories!$C$2:$C$6,MATCH($B6,Categories!$A$2:$A$6,0))*$D6</f>
        <v>0.045</v>
      </c>
      <c r="F6" s="16" t="n">
        <f aca="false">SUMPRODUCT(MIN((Levels!$A$2:$A$99=$A6)*Levels!$C$2:$C$99+(Levels!$A$2:$A$99&lt;&gt;$A6)*99))</f>
        <v>1</v>
      </c>
      <c r="G6" s="16" t="n">
        <f aca="false">SUMPRODUCT(MAX((Levels!$A$2:$A$99=$A6)*Levels!$C$2:$C$99))</f>
        <v>5</v>
      </c>
      <c r="H6" s="3" t="s">
        <v>74</v>
      </c>
      <c r="I6" s="3" t="s">
        <v>75</v>
      </c>
    </row>
    <row r="7" customFormat="false" ht="60" hidden="false" customHeight="true" outlineLevel="0" collapsed="false">
      <c r="A7" s="12" t="s">
        <v>76</v>
      </c>
      <c r="B7" s="16" t="s">
        <v>38</v>
      </c>
      <c r="C7" s="3" t="s">
        <v>77</v>
      </c>
      <c r="D7" s="17" t="n">
        <v>0.4</v>
      </c>
      <c r="E7" s="18" t="n">
        <f aca="false">INDEX(Categories!$C$2:$C$6,MATCH($B7,Categories!$A$2:$A$6,0))*$D7</f>
        <v>0.1</v>
      </c>
      <c r="F7" s="16" t="n">
        <f aca="false">SUMPRODUCT(MIN((Levels!$A$2:$A$99=$A7)*Levels!$C$2:$C$99+(Levels!$A$2:$A$99&lt;&gt;$A7)*99))</f>
        <v>1</v>
      </c>
      <c r="G7" s="16" t="n">
        <f aca="false">SUMPRODUCT(MAX((Levels!$A$2:$A$99=$A7)*Levels!$C$2:$C$99))</f>
        <v>5</v>
      </c>
      <c r="H7" s="3" t="s">
        <v>78</v>
      </c>
      <c r="I7" s="3" t="s">
        <v>79</v>
      </c>
    </row>
    <row r="8" customFormat="false" ht="45" hidden="false" customHeight="true" outlineLevel="0" collapsed="false">
      <c r="A8" s="12" t="s">
        <v>80</v>
      </c>
      <c r="B8" s="16" t="s">
        <v>38</v>
      </c>
      <c r="C8" s="3" t="s">
        <v>81</v>
      </c>
      <c r="D8" s="17" t="n">
        <v>0.2</v>
      </c>
      <c r="E8" s="18" t="n">
        <f aca="false">INDEX(Categories!$C$2:$C$6,MATCH($B8,Categories!$A$2:$A$6,0))*$D8</f>
        <v>0.05</v>
      </c>
      <c r="F8" s="16" t="n">
        <f aca="false">SUMPRODUCT(MIN((Levels!$A$2:$A$99=$A8)*Levels!$C$2:$C$99+(Levels!$A$2:$A$99&lt;&gt;$A8)*99))</f>
        <v>1</v>
      </c>
      <c r="G8" s="16" t="n">
        <f aca="false">SUMPRODUCT(MAX((Levels!$A$2:$A$99=$A8)*Levels!$C$2:$C$99))</f>
        <v>5</v>
      </c>
      <c r="H8" s="3" t="s">
        <v>82</v>
      </c>
      <c r="I8" s="3" t="s">
        <v>83</v>
      </c>
    </row>
    <row r="9" customFormat="false" ht="45" hidden="false" customHeight="true" outlineLevel="0" collapsed="false">
      <c r="A9" s="12" t="s">
        <v>84</v>
      </c>
      <c r="B9" s="16" t="s">
        <v>38</v>
      </c>
      <c r="C9" s="3" t="s">
        <v>85</v>
      </c>
      <c r="D9" s="17" t="n">
        <v>0.4</v>
      </c>
      <c r="E9" s="18" t="n">
        <f aca="false">INDEX(Categories!$C$2:$C$6,MATCH($B9,Categories!$A$2:$A$6,0))*$D9</f>
        <v>0.1</v>
      </c>
      <c r="F9" s="16" t="n">
        <f aca="false">SUMPRODUCT(MIN((Levels!$A$2:$A$99=$A9)*Levels!$C$2:$C$99+(Levels!$A$2:$A$99&lt;&gt;$A9)*99))</f>
        <v>1</v>
      </c>
      <c r="G9" s="16" t="n">
        <f aca="false">SUMPRODUCT(MAX((Levels!$A$2:$A$99=$A9)*Levels!$C$2:$C$99))</f>
        <v>5</v>
      </c>
      <c r="H9" s="3" t="s">
        <v>86</v>
      </c>
      <c r="I9" s="3" t="s">
        <v>87</v>
      </c>
    </row>
    <row r="10" customFormat="false" ht="60" hidden="false" customHeight="true" outlineLevel="0" collapsed="false">
      <c r="A10" s="12" t="s">
        <v>88</v>
      </c>
      <c r="B10" s="16" t="s">
        <v>40</v>
      </c>
      <c r="C10" s="3" t="s">
        <v>89</v>
      </c>
      <c r="D10" s="17" t="n">
        <v>0.35</v>
      </c>
      <c r="E10" s="18" t="n">
        <f aca="false">INDEX(Categories!$C$2:$C$6,MATCH($B10,Categories!$A$2:$A$6,0))*$D10</f>
        <v>0.07</v>
      </c>
      <c r="F10" s="16" t="n">
        <f aca="false">SUMPRODUCT(MIN((Levels!$A$2:$A$99=$A10)*Levels!$C$2:$C$99+(Levels!$A$2:$A$99&lt;&gt;$A10)*99))</f>
        <v>1</v>
      </c>
      <c r="G10" s="16" t="n">
        <f aca="false">SUMPRODUCT(MAX((Levels!$A$2:$A$99=$A10)*Levels!$C$2:$C$99))</f>
        <v>5</v>
      </c>
      <c r="H10" s="3" t="s">
        <v>90</v>
      </c>
      <c r="I10" s="3" t="s">
        <v>91</v>
      </c>
    </row>
    <row r="11" customFormat="false" ht="60" hidden="false" customHeight="true" outlineLevel="0" collapsed="false">
      <c r="A11" s="12" t="s">
        <v>92</v>
      </c>
      <c r="B11" s="16" t="s">
        <v>40</v>
      </c>
      <c r="C11" s="3" t="s">
        <v>93</v>
      </c>
      <c r="D11" s="17" t="n">
        <v>0.25</v>
      </c>
      <c r="E11" s="18" t="n">
        <f aca="false">INDEX(Categories!$C$2:$C$6,MATCH($B11,Categories!$A$2:$A$6,0))*$D11</f>
        <v>0.05</v>
      </c>
      <c r="F11" s="16" t="n">
        <f aca="false">SUMPRODUCT(MIN((Levels!$A$2:$A$99=$A11)*Levels!$C$2:$C$99+(Levels!$A$2:$A$99&lt;&gt;$A11)*99))</f>
        <v>1</v>
      </c>
      <c r="G11" s="16" t="n">
        <f aca="false">SUMPRODUCT(MAX((Levels!$A$2:$A$99=$A11)*Levels!$C$2:$C$99))</f>
        <v>5</v>
      </c>
      <c r="H11" s="3" t="s">
        <v>94</v>
      </c>
      <c r="I11" s="3" t="s">
        <v>95</v>
      </c>
    </row>
    <row r="12" customFormat="false" ht="60" hidden="false" customHeight="true" outlineLevel="0" collapsed="false">
      <c r="A12" s="12" t="s">
        <v>96</v>
      </c>
      <c r="B12" s="16" t="s">
        <v>40</v>
      </c>
      <c r="C12" s="3" t="s">
        <v>97</v>
      </c>
      <c r="D12" s="17" t="n">
        <v>0.25</v>
      </c>
      <c r="E12" s="18" t="n">
        <f aca="false">INDEX(Categories!$C$2:$C$6,MATCH($B12,Categories!$A$2:$A$6,0))*$D12</f>
        <v>0.05</v>
      </c>
      <c r="F12" s="16" t="n">
        <f aca="false">SUMPRODUCT(MIN((Levels!$A$2:$A$99=$A12)*Levels!$C$2:$C$99+(Levels!$A$2:$A$99&lt;&gt;$A12)*99))</f>
        <v>1</v>
      </c>
      <c r="G12" s="16" t="n">
        <f aca="false">SUMPRODUCT(MAX((Levels!$A$2:$A$99=$A12)*Levels!$C$2:$C$99))</f>
        <v>5</v>
      </c>
      <c r="H12" s="3" t="s">
        <v>98</v>
      </c>
      <c r="I12" s="3" t="s">
        <v>99</v>
      </c>
    </row>
    <row r="13" customFormat="false" ht="45" hidden="false" customHeight="true" outlineLevel="0" collapsed="false">
      <c r="A13" s="12" t="s">
        <v>100</v>
      </c>
      <c r="B13" s="16" t="s">
        <v>40</v>
      </c>
      <c r="C13" s="3" t="s">
        <v>101</v>
      </c>
      <c r="D13" s="17" t="n">
        <v>0.15</v>
      </c>
      <c r="E13" s="18" t="n">
        <f aca="false">INDEX(Categories!$C$2:$C$6,MATCH($B13,Categories!$A$2:$A$6,0))*$D13</f>
        <v>0.03</v>
      </c>
      <c r="F13" s="16" t="n">
        <f aca="false">SUMPRODUCT(MIN((Levels!$A$2:$A$99=$A13)*Levels!$C$2:$C$99+(Levels!$A$2:$A$99&lt;&gt;$A13)*99))</f>
        <v>1</v>
      </c>
      <c r="G13" s="16" t="n">
        <f aca="false">SUMPRODUCT(MAX((Levels!$A$2:$A$99=$A13)*Levels!$C$2:$C$99))</f>
        <v>5</v>
      </c>
      <c r="H13" s="3" t="s">
        <v>102</v>
      </c>
      <c r="I13" s="3" t="s">
        <v>103</v>
      </c>
    </row>
    <row r="14" customFormat="false" ht="60" hidden="false" customHeight="true" outlineLevel="0" collapsed="false">
      <c r="A14" s="12" t="s">
        <v>104</v>
      </c>
      <c r="B14" s="16" t="s">
        <v>42</v>
      </c>
      <c r="C14" s="3" t="s">
        <v>105</v>
      </c>
      <c r="D14" s="17" t="n">
        <v>0.45</v>
      </c>
      <c r="E14" s="18" t="n">
        <f aca="false">INDEX(Categories!$C$2:$C$6,MATCH($B14,Categories!$A$2:$A$6,0))*$D14</f>
        <v>0.045</v>
      </c>
      <c r="F14" s="16" t="n">
        <f aca="false">SUMPRODUCT(MIN((Levels!$A$2:$A$99=$A14)*Levels!$C$2:$C$99+(Levels!$A$2:$A$99&lt;&gt;$A14)*99))</f>
        <v>1</v>
      </c>
      <c r="G14" s="16" t="n">
        <f aca="false">SUMPRODUCT(MAX((Levels!$A$2:$A$99=$A14)*Levels!$C$2:$C$99))</f>
        <v>5</v>
      </c>
      <c r="H14" s="3" t="s">
        <v>106</v>
      </c>
      <c r="I14" s="3" t="s">
        <v>107</v>
      </c>
    </row>
    <row r="15" customFormat="false" ht="75" hidden="false" customHeight="true" outlineLevel="0" collapsed="false">
      <c r="A15" s="12" t="s">
        <v>108</v>
      </c>
      <c r="B15" s="16" t="s">
        <v>42</v>
      </c>
      <c r="C15" s="3" t="s">
        <v>109</v>
      </c>
      <c r="D15" s="17" t="n">
        <v>0.35</v>
      </c>
      <c r="E15" s="18" t="n">
        <f aca="false">INDEX(Categories!$C$2:$C$6,MATCH($B15,Categories!$A$2:$A$6,0))*$D15</f>
        <v>0.035</v>
      </c>
      <c r="F15" s="16" t="n">
        <f aca="false">SUMPRODUCT(MIN((Levels!$A$2:$A$99=$A15)*Levels!$C$2:$C$99+(Levels!$A$2:$A$99&lt;&gt;$A15)*99))</f>
        <v>1</v>
      </c>
      <c r="G15" s="16" t="n">
        <f aca="false">SUMPRODUCT(MAX((Levels!$A$2:$A$99=$A15)*Levels!$C$2:$C$99))</f>
        <v>5</v>
      </c>
      <c r="H15" s="3" t="s">
        <v>110</v>
      </c>
      <c r="I15" s="3" t="s">
        <v>111</v>
      </c>
    </row>
    <row r="16" customFormat="false" ht="60" hidden="false" customHeight="true" outlineLevel="0" collapsed="false">
      <c r="A16" s="12" t="s">
        <v>112</v>
      </c>
      <c r="B16" s="16" t="s">
        <v>42</v>
      </c>
      <c r="C16" s="3" t="s">
        <v>113</v>
      </c>
      <c r="D16" s="17" t="n">
        <v>0.2</v>
      </c>
      <c r="E16" s="18" t="n">
        <f aca="false">INDEX(Categories!$C$2:$C$6,MATCH($B16,Categories!$A$2:$A$6,0))*$D16</f>
        <v>0.02</v>
      </c>
      <c r="F16" s="16" t="n">
        <f aca="false">SUMPRODUCT(MIN((Levels!$A$2:$A$99=$A16)*Levels!$C$2:$C$99+(Levels!$A$2:$A$99&lt;&gt;$A16)*99))</f>
        <v>1</v>
      </c>
      <c r="G16" s="16" t="n">
        <f aca="false">SUMPRODUCT(MAX((Levels!$A$2:$A$99=$A16)*Levels!$C$2:$C$99))</f>
        <v>5</v>
      </c>
      <c r="H16" s="3" t="s">
        <v>114</v>
      </c>
      <c r="I16" s="3" t="s">
        <v>115</v>
      </c>
    </row>
    <row r="17" customFormat="false" ht="45" hidden="false" customHeight="true" outlineLevel="0" collapsed="false">
      <c r="A17" s="12" t="s">
        <v>116</v>
      </c>
      <c r="B17" s="16" t="s">
        <v>44</v>
      </c>
      <c r="C17" s="3" t="s">
        <v>117</v>
      </c>
      <c r="D17" s="17" t="n">
        <v>0.25</v>
      </c>
      <c r="E17" s="18" t="n">
        <f aca="false">INDEX(Categories!$C$2:$C$6,MATCH($B17,Categories!$A$2:$A$6,0))*$D17</f>
        <v>0.0375</v>
      </c>
      <c r="F17" s="16" t="n">
        <f aca="false">SUMPRODUCT(MIN((Levels!$A$2:$A$99=$A17)*Levels!$C$2:$C$99+(Levels!$A$2:$A$99&lt;&gt;$A17)*99))</f>
        <v>1</v>
      </c>
      <c r="G17" s="16" t="n">
        <f aca="false">SUMPRODUCT(MAX((Levels!$A$2:$A$99=$A17)*Levels!$C$2:$C$99))</f>
        <v>5</v>
      </c>
      <c r="H17" s="3" t="s">
        <v>118</v>
      </c>
      <c r="I17" s="3" t="s">
        <v>119</v>
      </c>
    </row>
    <row r="18" customFormat="false" ht="60" hidden="false" customHeight="true" outlineLevel="0" collapsed="false">
      <c r="A18" s="12" t="s">
        <v>120</v>
      </c>
      <c r="B18" s="16" t="s">
        <v>44</v>
      </c>
      <c r="C18" s="3" t="s">
        <v>121</v>
      </c>
      <c r="D18" s="17" t="n">
        <v>0.3</v>
      </c>
      <c r="E18" s="18" t="n">
        <f aca="false">INDEX(Categories!$C$2:$C$6,MATCH($B18,Categories!$A$2:$A$6,0))*$D18</f>
        <v>0.045</v>
      </c>
      <c r="F18" s="16" t="n">
        <f aca="false">SUMPRODUCT(MIN((Levels!$A$2:$A$99=$A18)*Levels!$C$2:$C$99+(Levels!$A$2:$A$99&lt;&gt;$A18)*99))</f>
        <v>1</v>
      </c>
      <c r="G18" s="16" t="n">
        <f aca="false">SUMPRODUCT(MAX((Levels!$A$2:$A$99=$A18)*Levels!$C$2:$C$99))</f>
        <v>5</v>
      </c>
      <c r="H18" s="3" t="s">
        <v>122</v>
      </c>
      <c r="I18" s="3" t="s">
        <v>123</v>
      </c>
    </row>
    <row r="19" customFormat="false" ht="30" hidden="false" customHeight="true" outlineLevel="0" collapsed="false">
      <c r="A19" s="12" t="s">
        <v>124</v>
      </c>
      <c r="B19" s="16" t="s">
        <v>44</v>
      </c>
      <c r="C19" s="3" t="s">
        <v>125</v>
      </c>
      <c r="D19" s="17" t="n">
        <v>0.2</v>
      </c>
      <c r="E19" s="18" t="n">
        <f aca="false">INDEX(Categories!$C$2:$C$6,MATCH($B19,Categories!$A$2:$A$6,0))*$D19</f>
        <v>0.03</v>
      </c>
      <c r="F19" s="16" t="n">
        <f aca="false">SUMPRODUCT(MIN((Levels!$A$2:$A$99=$A19)*Levels!$C$2:$C$99+(Levels!$A$2:$A$99&lt;&gt;$A19)*99))</f>
        <v>1</v>
      </c>
      <c r="G19" s="16" t="n">
        <f aca="false">SUMPRODUCT(MAX((Levels!$A$2:$A$99=$A19)*Levels!$C$2:$C$99))</f>
        <v>5</v>
      </c>
      <c r="H19" s="3" t="s">
        <v>126</v>
      </c>
      <c r="I19" s="3" t="s">
        <v>127</v>
      </c>
    </row>
    <row r="20" customFormat="false" ht="30" hidden="false" customHeight="true" outlineLevel="0" collapsed="false">
      <c r="A20" s="12" t="s">
        <v>128</v>
      </c>
      <c r="B20" s="16" t="s">
        <v>44</v>
      </c>
      <c r="C20" s="3" t="s">
        <v>129</v>
      </c>
      <c r="D20" s="17" t="n">
        <v>0.15</v>
      </c>
      <c r="E20" s="18" t="n">
        <f aca="false">INDEX(Categories!$C$2:$C$6,MATCH($B20,Categories!$A$2:$A$6,0))*$D20</f>
        <v>0.0225</v>
      </c>
      <c r="F20" s="16" t="n">
        <f aca="false">SUMPRODUCT(MIN((Levels!$A$2:$A$99=$A20)*Levels!$C$2:$C$99+(Levels!$A$2:$A$99&lt;&gt;$A20)*99))</f>
        <v>1</v>
      </c>
      <c r="G20" s="16" t="n">
        <f aca="false">SUMPRODUCT(MAX((Levels!$A$2:$A$99=$A20)*Levels!$C$2:$C$99))</f>
        <v>5</v>
      </c>
      <c r="H20" s="3" t="s">
        <v>130</v>
      </c>
      <c r="I20" s="3" t="s">
        <v>83</v>
      </c>
    </row>
    <row r="21" customFormat="false" ht="75" hidden="false" customHeight="true" outlineLevel="0" collapsed="false">
      <c r="A21" s="12" t="s">
        <v>131</v>
      </c>
      <c r="B21" s="16" t="s">
        <v>44</v>
      </c>
      <c r="C21" s="3" t="s">
        <v>132</v>
      </c>
      <c r="D21" s="17" t="n">
        <v>0.1</v>
      </c>
      <c r="E21" s="18" t="n">
        <f aca="false">INDEX(Categories!$C$2:$C$6,MATCH($B21,Categories!$A$2:$A$6,0))*$D21</f>
        <v>0.015</v>
      </c>
      <c r="F21" s="16" t="n">
        <f aca="false">SUMPRODUCT(MIN((Levels!$A$2:$A$99=$A21)*Levels!$C$2:$C$99+(Levels!$A$2:$A$99&lt;&gt;$A21)*99))</f>
        <v>1</v>
      </c>
      <c r="G21" s="16" t="n">
        <f aca="false">SUMPRODUCT(MAX((Levels!$A$2:$A$99=$A21)*Levels!$C$2:$C$99))</f>
        <v>5</v>
      </c>
      <c r="H21" s="3" t="s">
        <v>133</v>
      </c>
      <c r="I21" s="3" t="s">
        <v>134</v>
      </c>
    </row>
    <row r="22" customFormat="false" ht="15" hidden="false" customHeight="false" outlineLevel="0" collapsed="false">
      <c r="C22" s="12" t="s">
        <v>135</v>
      </c>
      <c r="E22" s="19" t="n">
        <f aca="false">SUM($E$2:$E$21)</f>
        <v>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4454E"/>
    <pageSetUpPr fitToPage="false"/>
  </sheetPr>
  <dimension ref="A1:E9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34"/>
    <col collapsed="false" customWidth="true" hidden="false" outlineLevel="0" max="3" min="3" style="0" width="8"/>
    <col collapsed="false" customWidth="true" hidden="false" outlineLevel="0" max="4" min="4" style="0" width="96"/>
    <col collapsed="false" customWidth="true" hidden="false" outlineLevel="0" max="5" min="5" style="0" width="34"/>
  </cols>
  <sheetData>
    <row r="1" customFormat="false" ht="27.75" hidden="false" customHeight="true" outlineLevel="0" collapsed="false">
      <c r="A1" s="5" t="s">
        <v>48</v>
      </c>
      <c r="B1" s="5" t="s">
        <v>49</v>
      </c>
      <c r="C1" s="5" t="s">
        <v>136</v>
      </c>
      <c r="D1" s="5" t="s">
        <v>137</v>
      </c>
      <c r="E1" s="5" t="s">
        <v>138</v>
      </c>
    </row>
    <row r="2" customFormat="false" ht="15" hidden="false" customHeight="true" outlineLevel="0" collapsed="false">
      <c r="A2" s="12" t="s">
        <v>56</v>
      </c>
      <c r="B2" s="3" t="str">
        <f aca="false">INDEX(Factors!$C$2:$C$21,MATCH($A2,Factors!$A$2:$A$21,0))</f>
        <v>Customer legal form</v>
      </c>
      <c r="C2" s="16" t="n">
        <v>1</v>
      </c>
      <c r="D2" s="3" t="s">
        <v>139</v>
      </c>
      <c r="E2" s="3"/>
    </row>
    <row r="3" customFormat="false" ht="30" hidden="false" customHeight="true" outlineLevel="0" collapsed="false">
      <c r="A3" s="12" t="s">
        <v>56</v>
      </c>
      <c r="B3" s="3" t="str">
        <f aca="false">INDEX(Factors!$C$2:$C$21,MATCH($A3,Factors!$A$2:$A$21,0))</f>
        <v>Customer legal form</v>
      </c>
      <c r="C3" s="16" t="n">
        <v>2</v>
      </c>
      <c r="D3" s="3" t="s">
        <v>140</v>
      </c>
      <c r="E3" s="3"/>
    </row>
    <row r="4" customFormat="false" ht="30" hidden="false" customHeight="true" outlineLevel="0" collapsed="false">
      <c r="A4" s="12" t="s">
        <v>56</v>
      </c>
      <c r="B4" s="3" t="str">
        <f aca="false">INDEX(Factors!$C$2:$C$21,MATCH($A4,Factors!$A$2:$A$21,0))</f>
        <v>Customer legal form</v>
      </c>
      <c r="C4" s="16" t="n">
        <v>3</v>
      </c>
      <c r="D4" s="3" t="s">
        <v>141</v>
      </c>
      <c r="E4" s="3"/>
    </row>
    <row r="5" customFormat="false" ht="30" hidden="false" customHeight="true" outlineLevel="0" collapsed="false">
      <c r="A5" s="12" t="s">
        <v>56</v>
      </c>
      <c r="B5" s="3" t="str">
        <f aca="false">INDEX(Factors!$C$2:$C$21,MATCH($A5,Factors!$A$2:$A$21,0))</f>
        <v>Customer legal form</v>
      </c>
      <c r="C5" s="16" t="n">
        <v>4</v>
      </c>
      <c r="D5" s="3" t="s">
        <v>142</v>
      </c>
      <c r="E5" s="3"/>
    </row>
    <row r="6" customFormat="false" ht="30" hidden="false" customHeight="true" outlineLevel="0" collapsed="false">
      <c r="A6" s="12" t="s">
        <v>56</v>
      </c>
      <c r="B6" s="3" t="str">
        <f aca="false">INDEX(Factors!$C$2:$C$21,MATCH($A6,Factors!$A$2:$A$21,0))</f>
        <v>Customer legal form</v>
      </c>
      <c r="C6" s="16" t="n">
        <v>5</v>
      </c>
      <c r="D6" s="3" t="s">
        <v>143</v>
      </c>
      <c r="E6" s="3" t="s">
        <v>144</v>
      </c>
    </row>
    <row r="7" customFormat="false" ht="15" hidden="false" customHeight="true" outlineLevel="0" collapsed="false">
      <c r="A7" s="12" t="s">
        <v>60</v>
      </c>
      <c r="B7" s="3" t="str">
        <f aca="false">INDEX(Factors!$C$2:$C$21,MATCH($A7,Factors!$A$2:$A$21,0))</f>
        <v>Ownership and control structure</v>
      </c>
      <c r="C7" s="16" t="n">
        <v>1</v>
      </c>
      <c r="D7" s="3" t="s">
        <v>145</v>
      </c>
      <c r="E7" s="3"/>
    </row>
    <row r="8" customFormat="false" ht="15" hidden="false" customHeight="true" outlineLevel="0" collapsed="false">
      <c r="A8" s="12" t="s">
        <v>60</v>
      </c>
      <c r="B8" s="3" t="str">
        <f aca="false">INDEX(Factors!$C$2:$C$21,MATCH($A8,Factors!$A$2:$A$21,0))</f>
        <v>Ownership and control structure</v>
      </c>
      <c r="C8" s="16" t="n">
        <v>2</v>
      </c>
      <c r="D8" s="3" t="s">
        <v>146</v>
      </c>
      <c r="E8" s="3"/>
    </row>
    <row r="9" customFormat="false" ht="15" hidden="false" customHeight="true" outlineLevel="0" collapsed="false">
      <c r="A9" s="12" t="s">
        <v>60</v>
      </c>
      <c r="B9" s="3" t="str">
        <f aca="false">INDEX(Factors!$C$2:$C$21,MATCH($A9,Factors!$A$2:$A$21,0))</f>
        <v>Ownership and control structure</v>
      </c>
      <c r="C9" s="16" t="n">
        <v>3</v>
      </c>
      <c r="D9" s="3" t="s">
        <v>147</v>
      </c>
      <c r="E9" s="3"/>
    </row>
    <row r="10" customFormat="false" ht="30" hidden="false" customHeight="true" outlineLevel="0" collapsed="false">
      <c r="A10" s="12" t="s">
        <v>60</v>
      </c>
      <c r="B10" s="3" t="str">
        <f aca="false">INDEX(Factors!$C$2:$C$21,MATCH($A10,Factors!$A$2:$A$21,0))</f>
        <v>Ownership and control structure</v>
      </c>
      <c r="C10" s="16" t="n">
        <v>4</v>
      </c>
      <c r="D10" s="3" t="s">
        <v>148</v>
      </c>
      <c r="E10" s="3"/>
    </row>
    <row r="11" customFormat="false" ht="15" hidden="false" customHeight="true" outlineLevel="0" collapsed="false">
      <c r="A11" s="12" t="s">
        <v>60</v>
      </c>
      <c r="B11" s="3" t="str">
        <f aca="false">INDEX(Factors!$C$2:$C$21,MATCH($A11,Factors!$A$2:$A$21,0))</f>
        <v>Ownership and control structure</v>
      </c>
      <c r="C11" s="16" t="n">
        <v>5</v>
      </c>
      <c r="D11" s="3" t="s">
        <v>149</v>
      </c>
      <c r="E11" s="3" t="s">
        <v>150</v>
      </c>
    </row>
    <row r="12" customFormat="false" ht="15" hidden="false" customHeight="true" outlineLevel="0" collapsed="false">
      <c r="A12" s="12" t="s">
        <v>64</v>
      </c>
      <c r="B12" s="3" t="str">
        <f aca="false">INDEX(Factors!$C$2:$C$21,MATCH($A12,Factors!$A$2:$A$21,0))</f>
        <v>Industry or occupation</v>
      </c>
      <c r="C12" s="16" t="n">
        <v>1</v>
      </c>
      <c r="D12" s="3" t="s">
        <v>151</v>
      </c>
      <c r="E12" s="3"/>
    </row>
    <row r="13" customFormat="false" ht="15" hidden="false" customHeight="true" outlineLevel="0" collapsed="false">
      <c r="A13" s="12" t="s">
        <v>64</v>
      </c>
      <c r="B13" s="3" t="str">
        <f aca="false">INDEX(Factors!$C$2:$C$21,MATCH($A13,Factors!$A$2:$A$21,0))</f>
        <v>Industry or occupation</v>
      </c>
      <c r="C13" s="16" t="n">
        <v>2</v>
      </c>
      <c r="D13" s="3" t="s">
        <v>152</v>
      </c>
      <c r="E13" s="3"/>
    </row>
    <row r="14" customFormat="false" ht="15" hidden="false" customHeight="true" outlineLevel="0" collapsed="false">
      <c r="A14" s="12" t="s">
        <v>64</v>
      </c>
      <c r="B14" s="3" t="str">
        <f aca="false">INDEX(Factors!$C$2:$C$21,MATCH($A14,Factors!$A$2:$A$21,0))</f>
        <v>Industry or occupation</v>
      </c>
      <c r="C14" s="16" t="n">
        <v>3</v>
      </c>
      <c r="D14" s="3" t="s">
        <v>153</v>
      </c>
      <c r="E14" s="3"/>
    </row>
    <row r="15" customFormat="false" ht="45" hidden="false" customHeight="true" outlineLevel="0" collapsed="false">
      <c r="A15" s="12" t="s">
        <v>64</v>
      </c>
      <c r="B15" s="3" t="str">
        <f aca="false">INDEX(Factors!$C$2:$C$21,MATCH($A15,Factors!$A$2:$A$21,0))</f>
        <v>Industry or occupation</v>
      </c>
      <c r="C15" s="16" t="n">
        <v>4</v>
      </c>
      <c r="D15" s="3" t="s">
        <v>154</v>
      </c>
      <c r="E15" s="3"/>
    </row>
    <row r="16" customFormat="false" ht="30" hidden="false" customHeight="true" outlineLevel="0" collapsed="false">
      <c r="A16" s="12" t="s">
        <v>64</v>
      </c>
      <c r="B16" s="3" t="str">
        <f aca="false">INDEX(Factors!$C$2:$C$21,MATCH($A16,Factors!$A$2:$A$21,0))</f>
        <v>Industry or occupation</v>
      </c>
      <c r="C16" s="16" t="n">
        <v>5</v>
      </c>
      <c r="D16" s="3" t="s">
        <v>155</v>
      </c>
      <c r="E16" s="3" t="s">
        <v>156</v>
      </c>
    </row>
    <row r="17" customFormat="false" ht="15" hidden="false" customHeight="true" outlineLevel="0" collapsed="false">
      <c r="A17" s="12" t="s">
        <v>68</v>
      </c>
      <c r="B17" s="3" t="str">
        <f aca="false">INDEX(Factors!$C$2:$C$21,MATCH($A17,Factors!$A$2:$A$21,0))</f>
        <v>PEP screening outcome</v>
      </c>
      <c r="C17" s="16" t="n">
        <v>1</v>
      </c>
      <c r="D17" s="3" t="s">
        <v>157</v>
      </c>
      <c r="E17" s="3"/>
    </row>
    <row r="18" customFormat="false" ht="30" hidden="false" customHeight="true" outlineLevel="0" collapsed="false">
      <c r="A18" s="12" t="s">
        <v>68</v>
      </c>
      <c r="B18" s="3" t="str">
        <f aca="false">INDEX(Factors!$C$2:$C$21,MATCH($A18,Factors!$A$2:$A$21,0))</f>
        <v>PEP screening outcome</v>
      </c>
      <c r="C18" s="16" t="n">
        <v>3</v>
      </c>
      <c r="D18" s="3" t="s">
        <v>158</v>
      </c>
      <c r="E18" s="3" t="s">
        <v>159</v>
      </c>
    </row>
    <row r="19" customFormat="false" ht="15" hidden="false" customHeight="true" outlineLevel="0" collapsed="false">
      <c r="A19" s="12" t="s">
        <v>68</v>
      </c>
      <c r="B19" s="3" t="str">
        <f aca="false">INDEX(Factors!$C$2:$C$21,MATCH($A19,Factors!$A$2:$A$21,0))</f>
        <v>PEP screening outcome</v>
      </c>
      <c r="C19" s="16" t="n">
        <v>4</v>
      </c>
      <c r="D19" s="3" t="s">
        <v>160</v>
      </c>
      <c r="E19" s="3" t="s">
        <v>159</v>
      </c>
    </row>
    <row r="20" customFormat="false" ht="30" hidden="false" customHeight="true" outlineLevel="0" collapsed="false">
      <c r="A20" s="12" t="s">
        <v>68</v>
      </c>
      <c r="B20" s="3" t="str">
        <f aca="false">INDEX(Factors!$C$2:$C$21,MATCH($A20,Factors!$A$2:$A$21,0))</f>
        <v>PEP screening outcome</v>
      </c>
      <c r="C20" s="16" t="n">
        <v>5</v>
      </c>
      <c r="D20" s="3" t="s">
        <v>161</v>
      </c>
      <c r="E20" s="3" t="s">
        <v>159</v>
      </c>
    </row>
    <row r="21" customFormat="false" ht="15" hidden="false" customHeight="true" outlineLevel="0" collapsed="false">
      <c r="A21" s="12" t="s">
        <v>72</v>
      </c>
      <c r="B21" s="3" t="str">
        <f aca="false">INDEX(Factors!$C$2:$C$21,MATCH($A21,Factors!$A$2:$A$21,0))</f>
        <v>Adverse media screening outcome</v>
      </c>
      <c r="C21" s="16" t="n">
        <v>1</v>
      </c>
      <c r="D21" s="3" t="s">
        <v>157</v>
      </c>
      <c r="E21" s="3"/>
    </row>
    <row r="22" customFormat="false" ht="15" hidden="false" customHeight="true" outlineLevel="0" collapsed="false">
      <c r="A22" s="12" t="s">
        <v>72</v>
      </c>
      <c r="B22" s="3" t="str">
        <f aca="false">INDEX(Factors!$C$2:$C$21,MATCH($A22,Factors!$A$2:$A$21,0))</f>
        <v>Adverse media screening outcome</v>
      </c>
      <c r="C22" s="16" t="n">
        <v>2</v>
      </c>
      <c r="D22" s="3" t="s">
        <v>162</v>
      </c>
      <c r="E22" s="3"/>
    </row>
    <row r="23" customFormat="false" ht="15" hidden="false" customHeight="true" outlineLevel="0" collapsed="false">
      <c r="A23" s="12" t="s">
        <v>72</v>
      </c>
      <c r="B23" s="3" t="str">
        <f aca="false">INDEX(Factors!$C$2:$C$21,MATCH($A23,Factors!$A$2:$A$21,0))</f>
        <v>Adverse media screening outcome</v>
      </c>
      <c r="C23" s="16" t="n">
        <v>3</v>
      </c>
      <c r="D23" s="3" t="s">
        <v>163</v>
      </c>
      <c r="E23" s="3"/>
    </row>
    <row r="24" customFormat="false" ht="15" hidden="false" customHeight="true" outlineLevel="0" collapsed="false">
      <c r="A24" s="12" t="s">
        <v>72</v>
      </c>
      <c r="B24" s="3" t="str">
        <f aca="false">INDEX(Factors!$C$2:$C$21,MATCH($A24,Factors!$A$2:$A$21,0))</f>
        <v>Adverse media screening outcome</v>
      </c>
      <c r="C24" s="16" t="n">
        <v>4</v>
      </c>
      <c r="D24" s="3" t="s">
        <v>164</v>
      </c>
      <c r="E24" s="3"/>
    </row>
    <row r="25" customFormat="false" ht="15" hidden="false" customHeight="true" outlineLevel="0" collapsed="false">
      <c r="A25" s="12" t="s">
        <v>72</v>
      </c>
      <c r="B25" s="3" t="str">
        <f aca="false">INDEX(Factors!$C$2:$C$21,MATCH($A25,Factors!$A$2:$A$21,0))</f>
        <v>Adverse media screening outcome</v>
      </c>
      <c r="C25" s="16" t="n">
        <v>5</v>
      </c>
      <c r="D25" s="3" t="s">
        <v>165</v>
      </c>
      <c r="E25" s="3" t="s">
        <v>166</v>
      </c>
    </row>
    <row r="26" customFormat="false" ht="15" hidden="false" customHeight="true" outlineLevel="0" collapsed="false">
      <c r="A26" s="12" t="s">
        <v>76</v>
      </c>
      <c r="B26" s="3" t="str">
        <f aca="false">INDEX(Factors!$C$2:$C$21,MATCH($A26,Factors!$A$2:$A$21,0))</f>
        <v>Country of residence or incorporation</v>
      </c>
      <c r="C26" s="16" t="n">
        <v>1</v>
      </c>
      <c r="D26" s="3" t="s">
        <v>167</v>
      </c>
      <c r="E26" s="3"/>
    </row>
    <row r="27" customFormat="false" ht="15" hidden="false" customHeight="true" outlineLevel="0" collapsed="false">
      <c r="A27" s="12" t="s">
        <v>76</v>
      </c>
      <c r="B27" s="3" t="str">
        <f aca="false">INDEX(Factors!$C$2:$C$21,MATCH($A27,Factors!$A$2:$A$21,0))</f>
        <v>Country of residence or incorporation</v>
      </c>
      <c r="C27" s="16" t="n">
        <v>2</v>
      </c>
      <c r="D27" s="3" t="s">
        <v>168</v>
      </c>
      <c r="E27" s="3"/>
    </row>
    <row r="28" customFormat="false" ht="30" hidden="false" customHeight="true" outlineLevel="0" collapsed="false">
      <c r="A28" s="12" t="s">
        <v>76</v>
      </c>
      <c r="B28" s="3" t="str">
        <f aca="false">INDEX(Factors!$C$2:$C$21,MATCH($A28,Factors!$A$2:$A$21,0))</f>
        <v>Country of residence or incorporation</v>
      </c>
      <c r="C28" s="16" t="n">
        <v>3</v>
      </c>
      <c r="D28" s="3" t="s">
        <v>169</v>
      </c>
      <c r="E28" s="3"/>
    </row>
    <row r="29" customFormat="false" ht="15" hidden="false" customHeight="true" outlineLevel="0" collapsed="false">
      <c r="A29" s="12" t="s">
        <v>76</v>
      </c>
      <c r="B29" s="3" t="str">
        <f aca="false">INDEX(Factors!$C$2:$C$21,MATCH($A29,Factors!$A$2:$A$21,0))</f>
        <v>Country of residence or incorporation</v>
      </c>
      <c r="C29" s="16" t="n">
        <v>4</v>
      </c>
      <c r="D29" s="3" t="s">
        <v>170</v>
      </c>
      <c r="E29" s="3"/>
    </row>
    <row r="30" customFormat="false" ht="15" hidden="false" customHeight="true" outlineLevel="0" collapsed="false">
      <c r="A30" s="12" t="s">
        <v>76</v>
      </c>
      <c r="B30" s="3" t="str">
        <f aca="false">INDEX(Factors!$C$2:$C$21,MATCH($A30,Factors!$A$2:$A$21,0))</f>
        <v>Country of residence or incorporation</v>
      </c>
      <c r="C30" s="16" t="n">
        <v>5</v>
      </c>
      <c r="D30" s="3" t="s">
        <v>171</v>
      </c>
      <c r="E30" s="3" t="s">
        <v>172</v>
      </c>
    </row>
    <row r="31" customFormat="false" ht="15" hidden="false" customHeight="true" outlineLevel="0" collapsed="false">
      <c r="A31" s="12" t="s">
        <v>80</v>
      </c>
      <c r="B31" s="3" t="str">
        <f aca="false">INDEX(Factors!$C$2:$C$21,MATCH($A31,Factors!$A$2:$A$21,0))</f>
        <v>Country of tax residence where different</v>
      </c>
      <c r="C31" s="16" t="n">
        <v>1</v>
      </c>
      <c r="D31" s="3" t="s">
        <v>173</v>
      </c>
      <c r="E31" s="3"/>
    </row>
    <row r="32" customFormat="false" ht="15" hidden="false" customHeight="true" outlineLevel="0" collapsed="false">
      <c r="A32" s="12" t="s">
        <v>80</v>
      </c>
      <c r="B32" s="3" t="str">
        <f aca="false">INDEX(Factors!$C$2:$C$21,MATCH($A32,Factors!$A$2:$A$21,0))</f>
        <v>Country of tax residence where different</v>
      </c>
      <c r="C32" s="16" t="n">
        <v>2</v>
      </c>
      <c r="D32" s="3" t="s">
        <v>174</v>
      </c>
      <c r="E32" s="3"/>
    </row>
    <row r="33" customFormat="false" ht="15" hidden="false" customHeight="true" outlineLevel="0" collapsed="false">
      <c r="A33" s="12" t="s">
        <v>80</v>
      </c>
      <c r="B33" s="3" t="str">
        <f aca="false">INDEX(Factors!$C$2:$C$21,MATCH($A33,Factors!$A$2:$A$21,0))</f>
        <v>Country of tax residence where different</v>
      </c>
      <c r="C33" s="16" t="n">
        <v>4</v>
      </c>
      <c r="D33" s="3" t="s">
        <v>175</v>
      </c>
      <c r="E33" s="3"/>
    </row>
    <row r="34" customFormat="false" ht="15" hidden="false" customHeight="true" outlineLevel="0" collapsed="false">
      <c r="A34" s="12" t="s">
        <v>80</v>
      </c>
      <c r="B34" s="3" t="str">
        <f aca="false">INDEX(Factors!$C$2:$C$21,MATCH($A34,Factors!$A$2:$A$21,0))</f>
        <v>Country of tax residence where different</v>
      </c>
      <c r="C34" s="16" t="n">
        <v>5</v>
      </c>
      <c r="D34" s="3" t="s">
        <v>176</v>
      </c>
      <c r="E34" s="3" t="s">
        <v>172</v>
      </c>
    </row>
    <row r="35" customFormat="false" ht="15" hidden="false" customHeight="true" outlineLevel="0" collapsed="false">
      <c r="A35" s="12" t="s">
        <v>84</v>
      </c>
      <c r="B35" s="3" t="str">
        <f aca="false">INDEX(Factors!$C$2:$C$21,MATCH($A35,Factors!$A$2:$A$21,0))</f>
        <v>Expected counterparty or payment corridor countries</v>
      </c>
      <c r="C35" s="16" t="n">
        <v>1</v>
      </c>
      <c r="D35" s="3" t="s">
        <v>177</v>
      </c>
      <c r="E35" s="3"/>
    </row>
    <row r="36" customFormat="false" ht="15" hidden="false" customHeight="true" outlineLevel="0" collapsed="false">
      <c r="A36" s="12" t="s">
        <v>84</v>
      </c>
      <c r="B36" s="3" t="str">
        <f aca="false">INDEX(Factors!$C$2:$C$21,MATCH($A36,Factors!$A$2:$A$21,0))</f>
        <v>Expected counterparty or payment corridor countries</v>
      </c>
      <c r="C36" s="16" t="n">
        <v>2</v>
      </c>
      <c r="D36" s="3" t="s">
        <v>178</v>
      </c>
      <c r="E36" s="3"/>
    </row>
    <row r="37" customFormat="false" ht="15" hidden="false" customHeight="true" outlineLevel="0" collapsed="false">
      <c r="A37" s="12" t="s">
        <v>84</v>
      </c>
      <c r="B37" s="3" t="str">
        <f aca="false">INDEX(Factors!$C$2:$C$21,MATCH($A37,Factors!$A$2:$A$21,0))</f>
        <v>Expected counterparty or payment corridor countries</v>
      </c>
      <c r="C37" s="16" t="n">
        <v>3</v>
      </c>
      <c r="D37" s="3" t="s">
        <v>179</v>
      </c>
      <c r="E37" s="3"/>
    </row>
    <row r="38" customFormat="false" ht="15" hidden="false" customHeight="true" outlineLevel="0" collapsed="false">
      <c r="A38" s="12" t="s">
        <v>84</v>
      </c>
      <c r="B38" s="3" t="str">
        <f aca="false">INDEX(Factors!$C$2:$C$21,MATCH($A38,Factors!$A$2:$A$21,0))</f>
        <v>Expected counterparty or payment corridor countries</v>
      </c>
      <c r="C38" s="16" t="n">
        <v>4</v>
      </c>
      <c r="D38" s="3" t="s">
        <v>180</v>
      </c>
      <c r="E38" s="3"/>
    </row>
    <row r="39" customFormat="false" ht="15" hidden="false" customHeight="true" outlineLevel="0" collapsed="false">
      <c r="A39" s="12" t="s">
        <v>84</v>
      </c>
      <c r="B39" s="3" t="str">
        <f aca="false">INDEX(Factors!$C$2:$C$21,MATCH($A39,Factors!$A$2:$A$21,0))</f>
        <v>Expected counterparty or payment corridor countries</v>
      </c>
      <c r="C39" s="16" t="n">
        <v>5</v>
      </c>
      <c r="D39" s="3" t="s">
        <v>181</v>
      </c>
      <c r="E39" s="3" t="s">
        <v>172</v>
      </c>
    </row>
    <row r="40" customFormat="false" ht="15" hidden="false" customHeight="true" outlineLevel="0" collapsed="false">
      <c r="A40" s="12" t="s">
        <v>88</v>
      </c>
      <c r="B40" s="3" t="str">
        <f aca="false">INDEX(Factors!$C$2:$C$21,MATCH($A40,Factors!$A$2:$A$21,0))</f>
        <v>Product type held</v>
      </c>
      <c r="C40" s="16" t="n">
        <v>1</v>
      </c>
      <c r="D40" s="3" t="s">
        <v>182</v>
      </c>
      <c r="E40" s="3"/>
    </row>
    <row r="41" customFormat="false" ht="15" hidden="false" customHeight="true" outlineLevel="0" collapsed="false">
      <c r="A41" s="12" t="s">
        <v>88</v>
      </c>
      <c r="B41" s="3" t="str">
        <f aca="false">INDEX(Factors!$C$2:$C$21,MATCH($A41,Factors!$A$2:$A$21,0))</f>
        <v>Product type held</v>
      </c>
      <c r="C41" s="16" t="n">
        <v>2</v>
      </c>
      <c r="D41" s="3" t="s">
        <v>183</v>
      </c>
      <c r="E41" s="3"/>
    </row>
    <row r="42" customFormat="false" ht="15" hidden="false" customHeight="true" outlineLevel="0" collapsed="false">
      <c r="A42" s="12" t="s">
        <v>88</v>
      </c>
      <c r="B42" s="3" t="str">
        <f aca="false">INDEX(Factors!$C$2:$C$21,MATCH($A42,Factors!$A$2:$A$21,0))</f>
        <v>Product type held</v>
      </c>
      <c r="C42" s="16" t="n">
        <v>3</v>
      </c>
      <c r="D42" s="3" t="s">
        <v>184</v>
      </c>
      <c r="E42" s="3"/>
    </row>
    <row r="43" customFormat="false" ht="15" hidden="false" customHeight="true" outlineLevel="0" collapsed="false">
      <c r="A43" s="12" t="s">
        <v>88</v>
      </c>
      <c r="B43" s="3" t="str">
        <f aca="false">INDEX(Factors!$C$2:$C$21,MATCH($A43,Factors!$A$2:$A$21,0))</f>
        <v>Product type held</v>
      </c>
      <c r="C43" s="16" t="n">
        <v>4</v>
      </c>
      <c r="D43" s="3" t="s">
        <v>185</v>
      </c>
      <c r="E43" s="3"/>
    </row>
    <row r="44" customFormat="false" ht="15" hidden="false" customHeight="true" outlineLevel="0" collapsed="false">
      <c r="A44" s="12" t="s">
        <v>88</v>
      </c>
      <c r="B44" s="3" t="str">
        <f aca="false">INDEX(Factors!$C$2:$C$21,MATCH($A44,Factors!$A$2:$A$21,0))</f>
        <v>Product type held</v>
      </c>
      <c r="C44" s="16" t="n">
        <v>5</v>
      </c>
      <c r="D44" s="3" t="s">
        <v>186</v>
      </c>
      <c r="E44" s="3"/>
    </row>
    <row r="45" customFormat="false" ht="15" hidden="false" customHeight="true" outlineLevel="0" collapsed="false">
      <c r="A45" s="12" t="s">
        <v>92</v>
      </c>
      <c r="B45" s="3" t="str">
        <f aca="false">INDEX(Factors!$C$2:$C$21,MATCH($A45,Factors!$A$2:$A$21,0))</f>
        <v>Cash functionality</v>
      </c>
      <c r="C45" s="16" t="n">
        <v>1</v>
      </c>
      <c r="D45" s="3" t="s">
        <v>187</v>
      </c>
      <c r="E45" s="3"/>
    </row>
    <row r="46" customFormat="false" ht="15" hidden="false" customHeight="true" outlineLevel="0" collapsed="false">
      <c r="A46" s="12" t="s">
        <v>92</v>
      </c>
      <c r="B46" s="3" t="str">
        <f aca="false">INDEX(Factors!$C$2:$C$21,MATCH($A46,Factors!$A$2:$A$21,0))</f>
        <v>Cash functionality</v>
      </c>
      <c r="C46" s="16" t="n">
        <v>2</v>
      </c>
      <c r="D46" s="3" t="s">
        <v>188</v>
      </c>
      <c r="E46" s="3"/>
    </row>
    <row r="47" customFormat="false" ht="15" hidden="false" customHeight="true" outlineLevel="0" collapsed="false">
      <c r="A47" s="12" t="s">
        <v>92</v>
      </c>
      <c r="B47" s="3" t="str">
        <f aca="false">INDEX(Factors!$C$2:$C$21,MATCH($A47,Factors!$A$2:$A$21,0))</f>
        <v>Cash functionality</v>
      </c>
      <c r="C47" s="16" t="n">
        <v>3</v>
      </c>
      <c r="D47" s="3" t="s">
        <v>189</v>
      </c>
      <c r="E47" s="3"/>
    </row>
    <row r="48" customFormat="false" ht="15" hidden="false" customHeight="true" outlineLevel="0" collapsed="false">
      <c r="A48" s="12" t="s">
        <v>92</v>
      </c>
      <c r="B48" s="3" t="str">
        <f aca="false">INDEX(Factors!$C$2:$C$21,MATCH($A48,Factors!$A$2:$A$21,0))</f>
        <v>Cash functionality</v>
      </c>
      <c r="C48" s="16" t="n">
        <v>4</v>
      </c>
      <c r="D48" s="3" t="s">
        <v>190</v>
      </c>
      <c r="E48" s="3"/>
    </row>
    <row r="49" customFormat="false" ht="15" hidden="false" customHeight="true" outlineLevel="0" collapsed="false">
      <c r="A49" s="12" t="s">
        <v>92</v>
      </c>
      <c r="B49" s="3" t="str">
        <f aca="false">INDEX(Factors!$C$2:$C$21,MATCH($A49,Factors!$A$2:$A$21,0))</f>
        <v>Cash functionality</v>
      </c>
      <c r="C49" s="16" t="n">
        <v>5</v>
      </c>
      <c r="D49" s="3" t="s">
        <v>191</v>
      </c>
      <c r="E49" s="3"/>
    </row>
    <row r="50" customFormat="false" ht="15" hidden="false" customHeight="true" outlineLevel="0" collapsed="false">
      <c r="A50" s="12" t="s">
        <v>96</v>
      </c>
      <c r="B50" s="3" t="str">
        <f aca="false">INDEX(Factors!$C$2:$C$21,MATCH($A50,Factors!$A$2:$A$21,0))</f>
        <v>International payment functionality</v>
      </c>
      <c r="C50" s="16" t="n">
        <v>1</v>
      </c>
      <c r="D50" s="3" t="s">
        <v>192</v>
      </c>
      <c r="E50" s="3"/>
    </row>
    <row r="51" customFormat="false" ht="15" hidden="false" customHeight="true" outlineLevel="0" collapsed="false">
      <c r="A51" s="12" t="s">
        <v>96</v>
      </c>
      <c r="B51" s="3" t="str">
        <f aca="false">INDEX(Factors!$C$2:$C$21,MATCH($A51,Factors!$A$2:$A$21,0))</f>
        <v>International payment functionality</v>
      </c>
      <c r="C51" s="16" t="n">
        <v>2</v>
      </c>
      <c r="D51" s="3" t="s">
        <v>193</v>
      </c>
      <c r="E51" s="3"/>
    </row>
    <row r="52" customFormat="false" ht="15" hidden="false" customHeight="true" outlineLevel="0" collapsed="false">
      <c r="A52" s="12" t="s">
        <v>96</v>
      </c>
      <c r="B52" s="3" t="str">
        <f aca="false">INDEX(Factors!$C$2:$C$21,MATCH($A52,Factors!$A$2:$A$21,0))</f>
        <v>International payment functionality</v>
      </c>
      <c r="C52" s="16" t="n">
        <v>3</v>
      </c>
      <c r="D52" s="3" t="s">
        <v>194</v>
      </c>
      <c r="E52" s="3"/>
    </row>
    <row r="53" customFormat="false" ht="15" hidden="false" customHeight="true" outlineLevel="0" collapsed="false">
      <c r="A53" s="12" t="s">
        <v>96</v>
      </c>
      <c r="B53" s="3" t="str">
        <f aca="false">INDEX(Factors!$C$2:$C$21,MATCH($A53,Factors!$A$2:$A$21,0))</f>
        <v>International payment functionality</v>
      </c>
      <c r="C53" s="16" t="n">
        <v>4</v>
      </c>
      <c r="D53" s="3" t="s">
        <v>195</v>
      </c>
      <c r="E53" s="3"/>
    </row>
    <row r="54" customFormat="false" ht="15" hidden="false" customHeight="true" outlineLevel="0" collapsed="false">
      <c r="A54" s="12" t="s">
        <v>96</v>
      </c>
      <c r="B54" s="3" t="str">
        <f aca="false">INDEX(Factors!$C$2:$C$21,MATCH($A54,Factors!$A$2:$A$21,0))</f>
        <v>International payment functionality</v>
      </c>
      <c r="C54" s="16" t="n">
        <v>5</v>
      </c>
      <c r="D54" s="3" t="s">
        <v>196</v>
      </c>
      <c r="E54" s="3"/>
    </row>
    <row r="55" customFormat="false" ht="15" hidden="false" customHeight="true" outlineLevel="0" collapsed="false">
      <c r="A55" s="12" t="s">
        <v>100</v>
      </c>
      <c r="B55" s="3" t="str">
        <f aca="false">INDEX(Factors!$C$2:$C$21,MATCH($A55,Factors!$A$2:$A$21,0))</f>
        <v>Third-party access to the account</v>
      </c>
      <c r="C55" s="16" t="n">
        <v>1</v>
      </c>
      <c r="D55" s="3" t="s">
        <v>197</v>
      </c>
      <c r="E55" s="3"/>
    </row>
    <row r="56" customFormat="false" ht="15" hidden="false" customHeight="true" outlineLevel="0" collapsed="false">
      <c r="A56" s="12" t="s">
        <v>100</v>
      </c>
      <c r="B56" s="3" t="str">
        <f aca="false">INDEX(Factors!$C$2:$C$21,MATCH($A56,Factors!$A$2:$A$21,0))</f>
        <v>Third-party access to the account</v>
      </c>
      <c r="C56" s="16" t="n">
        <v>2</v>
      </c>
      <c r="D56" s="3" t="s">
        <v>198</v>
      </c>
      <c r="E56" s="3"/>
    </row>
    <row r="57" customFormat="false" ht="15" hidden="false" customHeight="true" outlineLevel="0" collapsed="false">
      <c r="A57" s="12" t="s">
        <v>100</v>
      </c>
      <c r="B57" s="3" t="str">
        <f aca="false">INDEX(Factors!$C$2:$C$21,MATCH($A57,Factors!$A$2:$A$21,0))</f>
        <v>Third-party access to the account</v>
      </c>
      <c r="C57" s="16" t="n">
        <v>3</v>
      </c>
      <c r="D57" s="3" t="s">
        <v>199</v>
      </c>
      <c r="E57" s="3"/>
    </row>
    <row r="58" customFormat="false" ht="15" hidden="false" customHeight="true" outlineLevel="0" collapsed="false">
      <c r="A58" s="12" t="s">
        <v>100</v>
      </c>
      <c r="B58" s="3" t="str">
        <f aca="false">INDEX(Factors!$C$2:$C$21,MATCH($A58,Factors!$A$2:$A$21,0))</f>
        <v>Third-party access to the account</v>
      </c>
      <c r="C58" s="16" t="n">
        <v>4</v>
      </c>
      <c r="D58" s="3" t="s">
        <v>200</v>
      </c>
      <c r="E58" s="3"/>
    </row>
    <row r="59" customFormat="false" ht="30" hidden="false" customHeight="true" outlineLevel="0" collapsed="false">
      <c r="A59" s="12" t="s">
        <v>100</v>
      </c>
      <c r="B59" s="3" t="str">
        <f aca="false">INDEX(Factors!$C$2:$C$21,MATCH($A59,Factors!$A$2:$A$21,0))</f>
        <v>Third-party access to the account</v>
      </c>
      <c r="C59" s="16" t="n">
        <v>5</v>
      </c>
      <c r="D59" s="3" t="s">
        <v>201</v>
      </c>
      <c r="E59" s="3"/>
    </row>
    <row r="60" customFormat="false" ht="15" hidden="false" customHeight="true" outlineLevel="0" collapsed="false">
      <c r="A60" s="12" t="s">
        <v>104</v>
      </c>
      <c r="B60" s="3" t="str">
        <f aca="false">INDEX(Factors!$C$2:$C$21,MATCH($A60,Factors!$A$2:$A$21,0))</f>
        <v>Onboarding channel</v>
      </c>
      <c r="C60" s="16" t="n">
        <v>1</v>
      </c>
      <c r="D60" s="3" t="s">
        <v>202</v>
      </c>
      <c r="E60" s="3"/>
    </row>
    <row r="61" customFormat="false" ht="15" hidden="false" customHeight="true" outlineLevel="0" collapsed="false">
      <c r="A61" s="12" t="s">
        <v>104</v>
      </c>
      <c r="B61" s="3" t="str">
        <f aca="false">INDEX(Factors!$C$2:$C$21,MATCH($A61,Factors!$A$2:$A$21,0))</f>
        <v>Onboarding channel</v>
      </c>
      <c r="C61" s="16" t="n">
        <v>2</v>
      </c>
      <c r="D61" s="3" t="s">
        <v>203</v>
      </c>
      <c r="E61" s="3"/>
    </row>
    <row r="62" customFormat="false" ht="15" hidden="false" customHeight="true" outlineLevel="0" collapsed="false">
      <c r="A62" s="12" t="s">
        <v>104</v>
      </c>
      <c r="B62" s="3" t="str">
        <f aca="false">INDEX(Factors!$C$2:$C$21,MATCH($A62,Factors!$A$2:$A$21,0))</f>
        <v>Onboarding channel</v>
      </c>
      <c r="C62" s="16" t="n">
        <v>3</v>
      </c>
      <c r="D62" s="3" t="s">
        <v>204</v>
      </c>
      <c r="E62" s="3"/>
    </row>
    <row r="63" customFormat="false" ht="15" hidden="false" customHeight="true" outlineLevel="0" collapsed="false">
      <c r="A63" s="12" t="s">
        <v>104</v>
      </c>
      <c r="B63" s="3" t="str">
        <f aca="false">INDEX(Factors!$C$2:$C$21,MATCH($A63,Factors!$A$2:$A$21,0))</f>
        <v>Onboarding channel</v>
      </c>
      <c r="C63" s="16" t="n">
        <v>4</v>
      </c>
      <c r="D63" s="3" t="s">
        <v>205</v>
      </c>
      <c r="E63" s="3"/>
    </row>
    <row r="64" customFormat="false" ht="15" hidden="false" customHeight="true" outlineLevel="0" collapsed="false">
      <c r="A64" s="12" t="s">
        <v>104</v>
      </c>
      <c r="B64" s="3" t="str">
        <f aca="false">INDEX(Factors!$C$2:$C$21,MATCH($A64,Factors!$A$2:$A$21,0))</f>
        <v>Onboarding channel</v>
      </c>
      <c r="C64" s="16" t="n">
        <v>5</v>
      </c>
      <c r="D64" s="3" t="s">
        <v>206</v>
      </c>
      <c r="E64" s="3"/>
    </row>
    <row r="65" customFormat="false" ht="15" hidden="false" customHeight="true" outlineLevel="0" collapsed="false">
      <c r="A65" s="12" t="s">
        <v>108</v>
      </c>
      <c r="B65" s="3" t="str">
        <f aca="false">INDEX(Factors!$C$2:$C$21,MATCH($A65,Factors!$A$2:$A$21,0))</f>
        <v>Identity verification method</v>
      </c>
      <c r="C65" s="16" t="n">
        <v>1</v>
      </c>
      <c r="D65" s="3" t="s">
        <v>207</v>
      </c>
      <c r="E65" s="3"/>
    </row>
    <row r="66" customFormat="false" ht="15" hidden="false" customHeight="true" outlineLevel="0" collapsed="false">
      <c r="A66" s="12" t="s">
        <v>108</v>
      </c>
      <c r="B66" s="3" t="str">
        <f aca="false">INDEX(Factors!$C$2:$C$21,MATCH($A66,Factors!$A$2:$A$21,0))</f>
        <v>Identity verification method</v>
      </c>
      <c r="C66" s="16" t="n">
        <v>2</v>
      </c>
      <c r="D66" s="3" t="s">
        <v>208</v>
      </c>
      <c r="E66" s="3"/>
    </row>
    <row r="67" customFormat="false" ht="15" hidden="false" customHeight="true" outlineLevel="0" collapsed="false">
      <c r="A67" s="12" t="s">
        <v>108</v>
      </c>
      <c r="B67" s="3" t="str">
        <f aca="false">INDEX(Factors!$C$2:$C$21,MATCH($A67,Factors!$A$2:$A$21,0))</f>
        <v>Identity verification method</v>
      </c>
      <c r="C67" s="16" t="n">
        <v>3</v>
      </c>
      <c r="D67" s="3" t="s">
        <v>209</v>
      </c>
      <c r="E67" s="3"/>
    </row>
    <row r="68" customFormat="false" ht="15" hidden="false" customHeight="true" outlineLevel="0" collapsed="false">
      <c r="A68" s="12" t="s">
        <v>108</v>
      </c>
      <c r="B68" s="3" t="str">
        <f aca="false">INDEX(Factors!$C$2:$C$21,MATCH($A68,Factors!$A$2:$A$21,0))</f>
        <v>Identity verification method</v>
      </c>
      <c r="C68" s="16" t="n">
        <v>4</v>
      </c>
      <c r="D68" s="3" t="s">
        <v>210</v>
      </c>
      <c r="E68" s="3"/>
    </row>
    <row r="69" customFormat="false" ht="30" hidden="false" customHeight="true" outlineLevel="0" collapsed="false">
      <c r="A69" s="12" t="s">
        <v>108</v>
      </c>
      <c r="B69" s="3" t="str">
        <f aca="false">INDEX(Factors!$C$2:$C$21,MATCH($A69,Factors!$A$2:$A$21,0))</f>
        <v>Identity verification method</v>
      </c>
      <c r="C69" s="16" t="n">
        <v>5</v>
      </c>
      <c r="D69" s="3" t="s">
        <v>211</v>
      </c>
      <c r="E69" s="3"/>
    </row>
    <row r="70" customFormat="false" ht="15" hidden="false" customHeight="true" outlineLevel="0" collapsed="false">
      <c r="A70" s="12" t="s">
        <v>112</v>
      </c>
      <c r="B70" s="3" t="str">
        <f aca="false">INDEX(Factors!$C$2:$C$21,MATCH($A70,Factors!$A$2:$A$21,0))</f>
        <v>Introduction source</v>
      </c>
      <c r="C70" s="16" t="n">
        <v>1</v>
      </c>
      <c r="D70" s="3" t="s">
        <v>212</v>
      </c>
      <c r="E70" s="3"/>
    </row>
    <row r="71" customFormat="false" ht="15" hidden="false" customHeight="true" outlineLevel="0" collapsed="false">
      <c r="A71" s="12" t="s">
        <v>112</v>
      </c>
      <c r="B71" s="3" t="str">
        <f aca="false">INDEX(Factors!$C$2:$C$21,MATCH($A71,Factors!$A$2:$A$21,0))</f>
        <v>Introduction source</v>
      </c>
      <c r="C71" s="16" t="n">
        <v>2</v>
      </c>
      <c r="D71" s="3" t="s">
        <v>213</v>
      </c>
      <c r="E71" s="3"/>
    </row>
    <row r="72" customFormat="false" ht="15" hidden="false" customHeight="true" outlineLevel="0" collapsed="false">
      <c r="A72" s="12" t="s">
        <v>112</v>
      </c>
      <c r="B72" s="3" t="str">
        <f aca="false">INDEX(Factors!$C$2:$C$21,MATCH($A72,Factors!$A$2:$A$21,0))</f>
        <v>Introduction source</v>
      </c>
      <c r="C72" s="16" t="n">
        <v>3</v>
      </c>
      <c r="D72" s="3" t="s">
        <v>214</v>
      </c>
      <c r="E72" s="3"/>
    </row>
    <row r="73" customFormat="false" ht="15" hidden="false" customHeight="true" outlineLevel="0" collapsed="false">
      <c r="A73" s="12" t="s">
        <v>112</v>
      </c>
      <c r="B73" s="3" t="str">
        <f aca="false">INDEX(Factors!$C$2:$C$21,MATCH($A73,Factors!$A$2:$A$21,0))</f>
        <v>Introduction source</v>
      </c>
      <c r="C73" s="16" t="n">
        <v>4</v>
      </c>
      <c r="D73" s="3" t="s">
        <v>215</v>
      </c>
      <c r="E73" s="3"/>
    </row>
    <row r="74" customFormat="false" ht="15" hidden="false" customHeight="true" outlineLevel="0" collapsed="false">
      <c r="A74" s="12" t="s">
        <v>112</v>
      </c>
      <c r="B74" s="3" t="str">
        <f aca="false">INDEX(Factors!$C$2:$C$21,MATCH($A74,Factors!$A$2:$A$21,0))</f>
        <v>Introduction source</v>
      </c>
      <c r="C74" s="16" t="n">
        <v>5</v>
      </c>
      <c r="D74" s="3" t="s">
        <v>216</v>
      </c>
      <c r="E74" s="3"/>
    </row>
    <row r="75" customFormat="false" ht="15" hidden="false" customHeight="true" outlineLevel="0" collapsed="false">
      <c r="A75" s="12" t="s">
        <v>116</v>
      </c>
      <c r="B75" s="3" t="str">
        <f aca="false">INDEX(Factors!$C$2:$C$21,MATCH($A75,Factors!$A$2:$A$21,0))</f>
        <v>Expected turnover relative to declared income</v>
      </c>
      <c r="C75" s="16" t="n">
        <v>1</v>
      </c>
      <c r="D75" s="3" t="s">
        <v>217</v>
      </c>
      <c r="E75" s="3"/>
    </row>
    <row r="76" customFormat="false" ht="15" hidden="false" customHeight="true" outlineLevel="0" collapsed="false">
      <c r="A76" s="12" t="s">
        <v>116</v>
      </c>
      <c r="B76" s="3" t="str">
        <f aca="false">INDEX(Factors!$C$2:$C$21,MATCH($A76,Factors!$A$2:$A$21,0))</f>
        <v>Expected turnover relative to declared income</v>
      </c>
      <c r="C76" s="16" t="n">
        <v>2</v>
      </c>
      <c r="D76" s="3" t="s">
        <v>218</v>
      </c>
      <c r="E76" s="3"/>
    </row>
    <row r="77" customFormat="false" ht="15" hidden="false" customHeight="true" outlineLevel="0" collapsed="false">
      <c r="A77" s="12" t="s">
        <v>116</v>
      </c>
      <c r="B77" s="3" t="str">
        <f aca="false">INDEX(Factors!$C$2:$C$21,MATCH($A77,Factors!$A$2:$A$21,0))</f>
        <v>Expected turnover relative to declared income</v>
      </c>
      <c r="C77" s="16" t="n">
        <v>3</v>
      </c>
      <c r="D77" s="3" t="s">
        <v>219</v>
      </c>
      <c r="E77" s="3"/>
    </row>
    <row r="78" customFormat="false" ht="15" hidden="false" customHeight="true" outlineLevel="0" collapsed="false">
      <c r="A78" s="12" t="s">
        <v>116</v>
      </c>
      <c r="B78" s="3" t="str">
        <f aca="false">INDEX(Factors!$C$2:$C$21,MATCH($A78,Factors!$A$2:$A$21,0))</f>
        <v>Expected turnover relative to declared income</v>
      </c>
      <c r="C78" s="16" t="n">
        <v>4</v>
      </c>
      <c r="D78" s="3" t="s">
        <v>220</v>
      </c>
      <c r="E78" s="3"/>
    </row>
    <row r="79" customFormat="false" ht="15" hidden="false" customHeight="true" outlineLevel="0" collapsed="false">
      <c r="A79" s="12" t="s">
        <v>116</v>
      </c>
      <c r="B79" s="3" t="str">
        <f aca="false">INDEX(Factors!$C$2:$C$21,MATCH($A79,Factors!$A$2:$A$21,0))</f>
        <v>Expected turnover relative to declared income</v>
      </c>
      <c r="C79" s="16" t="n">
        <v>5</v>
      </c>
      <c r="D79" s="3" t="s">
        <v>221</v>
      </c>
      <c r="E79" s="3"/>
    </row>
    <row r="80" customFormat="false" ht="15" hidden="false" customHeight="true" outlineLevel="0" collapsed="false">
      <c r="A80" s="12" t="s">
        <v>120</v>
      </c>
      <c r="B80" s="3" t="str">
        <f aca="false">INDEX(Factors!$C$2:$C$21,MATCH($A80,Factors!$A$2:$A$21,0))</f>
        <v>Expected cash proportion of credits</v>
      </c>
      <c r="C80" s="16" t="n">
        <v>1</v>
      </c>
      <c r="D80" s="3" t="s">
        <v>222</v>
      </c>
      <c r="E80" s="3"/>
    </row>
    <row r="81" customFormat="false" ht="15" hidden="false" customHeight="true" outlineLevel="0" collapsed="false">
      <c r="A81" s="12" t="s">
        <v>120</v>
      </c>
      <c r="B81" s="3" t="str">
        <f aca="false">INDEX(Factors!$C$2:$C$21,MATCH($A81,Factors!$A$2:$A$21,0))</f>
        <v>Expected cash proportion of credits</v>
      </c>
      <c r="C81" s="16" t="n">
        <v>2</v>
      </c>
      <c r="D81" s="3" t="s">
        <v>223</v>
      </c>
      <c r="E81" s="3"/>
    </row>
    <row r="82" customFormat="false" ht="15" hidden="false" customHeight="true" outlineLevel="0" collapsed="false">
      <c r="A82" s="12" t="s">
        <v>120</v>
      </c>
      <c r="B82" s="3" t="str">
        <f aca="false">INDEX(Factors!$C$2:$C$21,MATCH($A82,Factors!$A$2:$A$21,0))</f>
        <v>Expected cash proportion of credits</v>
      </c>
      <c r="C82" s="16" t="n">
        <v>3</v>
      </c>
      <c r="D82" s="3" t="s">
        <v>224</v>
      </c>
      <c r="E82" s="3"/>
    </row>
    <row r="83" customFormat="false" ht="15" hidden="false" customHeight="true" outlineLevel="0" collapsed="false">
      <c r="A83" s="12" t="s">
        <v>120</v>
      </c>
      <c r="B83" s="3" t="str">
        <f aca="false">INDEX(Factors!$C$2:$C$21,MATCH($A83,Factors!$A$2:$A$21,0))</f>
        <v>Expected cash proportion of credits</v>
      </c>
      <c r="C83" s="16" t="n">
        <v>4</v>
      </c>
      <c r="D83" s="3" t="s">
        <v>225</v>
      </c>
      <c r="E83" s="3"/>
    </row>
    <row r="84" customFormat="false" ht="15" hidden="false" customHeight="true" outlineLevel="0" collapsed="false">
      <c r="A84" s="12" t="s">
        <v>120</v>
      </c>
      <c r="B84" s="3" t="str">
        <f aca="false">INDEX(Factors!$C$2:$C$21,MATCH($A84,Factors!$A$2:$A$21,0))</f>
        <v>Expected cash proportion of credits</v>
      </c>
      <c r="C84" s="16" t="n">
        <v>5</v>
      </c>
      <c r="D84" s="3" t="s">
        <v>226</v>
      </c>
      <c r="E84" s="3"/>
    </row>
    <row r="85" customFormat="false" ht="15" hidden="false" customHeight="true" outlineLevel="0" collapsed="false">
      <c r="A85" s="12" t="s">
        <v>124</v>
      </c>
      <c r="B85" s="3" t="str">
        <f aca="false">INDEX(Factors!$C$2:$C$21,MATCH($A85,Factors!$A$2:$A$21,0))</f>
        <v>Expected international proportion of value</v>
      </c>
      <c r="C85" s="16" t="n">
        <v>1</v>
      </c>
      <c r="D85" s="3" t="s">
        <v>227</v>
      </c>
      <c r="E85" s="3"/>
    </row>
    <row r="86" customFormat="false" ht="15" hidden="false" customHeight="true" outlineLevel="0" collapsed="false">
      <c r="A86" s="12" t="s">
        <v>124</v>
      </c>
      <c r="B86" s="3" t="str">
        <f aca="false">INDEX(Factors!$C$2:$C$21,MATCH($A86,Factors!$A$2:$A$21,0))</f>
        <v>Expected international proportion of value</v>
      </c>
      <c r="C86" s="16" t="n">
        <v>2</v>
      </c>
      <c r="D86" s="3" t="s">
        <v>228</v>
      </c>
      <c r="E86" s="3"/>
    </row>
    <row r="87" customFormat="false" ht="15" hidden="false" customHeight="true" outlineLevel="0" collapsed="false">
      <c r="A87" s="12" t="s">
        <v>124</v>
      </c>
      <c r="B87" s="3" t="str">
        <f aca="false">INDEX(Factors!$C$2:$C$21,MATCH($A87,Factors!$A$2:$A$21,0))</f>
        <v>Expected international proportion of value</v>
      </c>
      <c r="C87" s="16" t="n">
        <v>3</v>
      </c>
      <c r="D87" s="3" t="s">
        <v>229</v>
      </c>
      <c r="E87" s="3"/>
    </row>
    <row r="88" customFormat="false" ht="15" hidden="false" customHeight="true" outlineLevel="0" collapsed="false">
      <c r="A88" s="12" t="s">
        <v>124</v>
      </c>
      <c r="B88" s="3" t="str">
        <f aca="false">INDEX(Factors!$C$2:$C$21,MATCH($A88,Factors!$A$2:$A$21,0))</f>
        <v>Expected international proportion of value</v>
      </c>
      <c r="C88" s="16" t="n">
        <v>4</v>
      </c>
      <c r="D88" s="3" t="s">
        <v>230</v>
      </c>
      <c r="E88" s="3"/>
    </row>
    <row r="89" customFormat="false" ht="15" hidden="false" customHeight="true" outlineLevel="0" collapsed="false">
      <c r="A89" s="12" t="s">
        <v>124</v>
      </c>
      <c r="B89" s="3" t="str">
        <f aca="false">INDEX(Factors!$C$2:$C$21,MATCH($A89,Factors!$A$2:$A$21,0))</f>
        <v>Expected international proportion of value</v>
      </c>
      <c r="C89" s="16" t="n">
        <v>5</v>
      </c>
      <c r="D89" s="3" t="s">
        <v>231</v>
      </c>
      <c r="E89" s="3"/>
    </row>
    <row r="90" customFormat="false" ht="15" hidden="false" customHeight="true" outlineLevel="0" collapsed="false">
      <c r="A90" s="12" t="s">
        <v>128</v>
      </c>
      <c r="B90" s="3" t="str">
        <f aca="false">INDEX(Factors!$C$2:$C$21,MATCH($A90,Factors!$A$2:$A$21,0))</f>
        <v>Expected counterparty profile</v>
      </c>
      <c r="C90" s="16" t="n">
        <v>1</v>
      </c>
      <c r="D90" s="3" t="s">
        <v>232</v>
      </c>
      <c r="E90" s="3"/>
    </row>
    <row r="91" customFormat="false" ht="15" hidden="false" customHeight="true" outlineLevel="0" collapsed="false">
      <c r="A91" s="12" t="s">
        <v>128</v>
      </c>
      <c r="B91" s="3" t="str">
        <f aca="false">INDEX(Factors!$C$2:$C$21,MATCH($A91,Factors!$A$2:$A$21,0))</f>
        <v>Expected counterparty profile</v>
      </c>
      <c r="C91" s="16" t="n">
        <v>2</v>
      </c>
      <c r="D91" s="3" t="s">
        <v>233</v>
      </c>
      <c r="E91" s="3"/>
    </row>
    <row r="92" customFormat="false" ht="15" hidden="false" customHeight="true" outlineLevel="0" collapsed="false">
      <c r="A92" s="12" t="s">
        <v>128</v>
      </c>
      <c r="B92" s="3" t="str">
        <f aca="false">INDEX(Factors!$C$2:$C$21,MATCH($A92,Factors!$A$2:$A$21,0))</f>
        <v>Expected counterparty profile</v>
      </c>
      <c r="C92" s="16" t="n">
        <v>3</v>
      </c>
      <c r="D92" s="3" t="s">
        <v>234</v>
      </c>
      <c r="E92" s="3"/>
    </row>
    <row r="93" customFormat="false" ht="15" hidden="false" customHeight="true" outlineLevel="0" collapsed="false">
      <c r="A93" s="12" t="s">
        <v>128</v>
      </c>
      <c r="B93" s="3" t="str">
        <f aca="false">INDEX(Factors!$C$2:$C$21,MATCH($A93,Factors!$A$2:$A$21,0))</f>
        <v>Expected counterparty profile</v>
      </c>
      <c r="C93" s="16" t="n">
        <v>4</v>
      </c>
      <c r="D93" s="3" t="s">
        <v>235</v>
      </c>
      <c r="E93" s="3"/>
    </row>
    <row r="94" customFormat="false" ht="15" hidden="false" customHeight="true" outlineLevel="0" collapsed="false">
      <c r="A94" s="12" t="s">
        <v>128</v>
      </c>
      <c r="B94" s="3" t="str">
        <f aca="false">INDEX(Factors!$C$2:$C$21,MATCH($A94,Factors!$A$2:$A$21,0))</f>
        <v>Expected counterparty profile</v>
      </c>
      <c r="C94" s="16" t="n">
        <v>5</v>
      </c>
      <c r="D94" s="3" t="s">
        <v>236</v>
      </c>
      <c r="E94" s="3"/>
    </row>
    <row r="95" customFormat="false" ht="15" hidden="false" customHeight="true" outlineLevel="0" collapsed="false">
      <c r="A95" s="12" t="s">
        <v>131</v>
      </c>
      <c r="B95" s="3" t="str">
        <f aca="false">INDEX(Factors!$C$2:$C$21,MATCH($A95,Factors!$A$2:$A$21,0))</f>
        <v>Plausibility of the declared profile</v>
      </c>
      <c r="C95" s="16" t="n">
        <v>1</v>
      </c>
      <c r="D95" s="3" t="s">
        <v>237</v>
      </c>
      <c r="E95" s="3"/>
    </row>
    <row r="96" customFormat="false" ht="15" hidden="false" customHeight="true" outlineLevel="0" collapsed="false">
      <c r="A96" s="12" t="s">
        <v>131</v>
      </c>
      <c r="B96" s="3" t="str">
        <f aca="false">INDEX(Factors!$C$2:$C$21,MATCH($A96,Factors!$A$2:$A$21,0))</f>
        <v>Plausibility of the declared profile</v>
      </c>
      <c r="C96" s="16" t="n">
        <v>2</v>
      </c>
      <c r="D96" s="3" t="s">
        <v>238</v>
      </c>
      <c r="E96" s="3"/>
    </row>
    <row r="97" customFormat="false" ht="15" hidden="false" customHeight="true" outlineLevel="0" collapsed="false">
      <c r="A97" s="12" t="s">
        <v>131</v>
      </c>
      <c r="B97" s="3" t="str">
        <f aca="false">INDEX(Factors!$C$2:$C$21,MATCH($A97,Factors!$A$2:$A$21,0))</f>
        <v>Plausibility of the declared profile</v>
      </c>
      <c r="C97" s="16" t="n">
        <v>3</v>
      </c>
      <c r="D97" s="3" t="s">
        <v>239</v>
      </c>
      <c r="E97" s="3"/>
    </row>
    <row r="98" customFormat="false" ht="15" hidden="false" customHeight="true" outlineLevel="0" collapsed="false">
      <c r="A98" s="12" t="s">
        <v>131</v>
      </c>
      <c r="B98" s="3" t="str">
        <f aca="false">INDEX(Factors!$C$2:$C$21,MATCH($A98,Factors!$A$2:$A$21,0))</f>
        <v>Plausibility of the declared profile</v>
      </c>
      <c r="C98" s="16" t="n">
        <v>4</v>
      </c>
      <c r="D98" s="3" t="s">
        <v>240</v>
      </c>
      <c r="E98" s="3"/>
    </row>
    <row r="99" customFormat="false" ht="30" hidden="false" customHeight="true" outlineLevel="0" collapsed="false">
      <c r="A99" s="12" t="s">
        <v>131</v>
      </c>
      <c r="B99" s="3" t="str">
        <f aca="false">INDEX(Factors!$C$2:$C$21,MATCH($A99,Factors!$A$2:$A$21,0))</f>
        <v>Plausibility of the declared profile</v>
      </c>
      <c r="C99" s="16" t="n">
        <v>5</v>
      </c>
      <c r="D99" s="3" t="s">
        <v>241</v>
      </c>
      <c r="E99" s="3"/>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4454E"/>
    <pageSetUpPr fitToPage="false"/>
  </sheetPr>
  <dimension ref="A1:C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6"/>
    <col collapsed="false" customWidth="true" hidden="false" outlineLevel="0" max="3" min="3" style="0" width="116"/>
  </cols>
  <sheetData>
    <row r="1" customFormat="false" ht="27.75" hidden="false" customHeight="true" outlineLevel="0" collapsed="false">
      <c r="A1" s="5" t="s">
        <v>242</v>
      </c>
      <c r="B1" s="5" t="s">
        <v>243</v>
      </c>
      <c r="C1" s="5" t="s">
        <v>244</v>
      </c>
    </row>
    <row r="2" customFormat="false" ht="30" hidden="false" customHeight="true" outlineLevel="0" collapsed="false">
      <c r="A2" s="12" t="s">
        <v>159</v>
      </c>
      <c r="B2" s="20" t="s">
        <v>245</v>
      </c>
      <c r="C2" s="3" t="s">
        <v>246</v>
      </c>
    </row>
    <row r="3" customFormat="false" ht="60" hidden="false" customHeight="true" outlineLevel="0" collapsed="false">
      <c r="A3" s="12" t="s">
        <v>172</v>
      </c>
      <c r="B3" s="20" t="s">
        <v>245</v>
      </c>
      <c r="C3" s="3" t="s">
        <v>247</v>
      </c>
    </row>
    <row r="4" customFormat="false" ht="15" hidden="false" customHeight="true" outlineLevel="0" collapsed="false">
      <c r="A4" s="12" t="s">
        <v>156</v>
      </c>
      <c r="B4" s="20" t="s">
        <v>245</v>
      </c>
      <c r="C4" s="3" t="s">
        <v>248</v>
      </c>
    </row>
    <row r="5" customFormat="false" ht="75" hidden="false" customHeight="true" outlineLevel="0" collapsed="false">
      <c r="A5" s="12" t="s">
        <v>150</v>
      </c>
      <c r="B5" s="20" t="s">
        <v>245</v>
      </c>
      <c r="C5" s="3" t="s">
        <v>249</v>
      </c>
    </row>
    <row r="6" customFormat="false" ht="30" hidden="false" customHeight="true" outlineLevel="0" collapsed="false">
      <c r="A6" s="12" t="s">
        <v>166</v>
      </c>
      <c r="B6" s="20" t="s">
        <v>245</v>
      </c>
      <c r="C6" s="3" t="s">
        <v>250</v>
      </c>
    </row>
    <row r="7" customFormat="false" ht="15" hidden="false" customHeight="true" outlineLevel="0" collapsed="false">
      <c r="A7" s="12" t="s">
        <v>251</v>
      </c>
      <c r="B7" s="20" t="s">
        <v>245</v>
      </c>
      <c r="C7" s="3" t="s">
        <v>252</v>
      </c>
    </row>
    <row r="8" customFormat="false" ht="30" hidden="false" customHeight="true" outlineLevel="0" collapsed="false">
      <c r="A8" s="12" t="s">
        <v>253</v>
      </c>
      <c r="B8" s="20" t="s">
        <v>254</v>
      </c>
      <c r="C8" s="3" t="s">
        <v>255</v>
      </c>
    </row>
    <row r="9" customFormat="false" ht="15" hidden="false" customHeight="true" outlineLevel="0" collapsed="false">
      <c r="A9" s="12" t="s">
        <v>256</v>
      </c>
      <c r="B9" s="20" t="s">
        <v>254</v>
      </c>
      <c r="C9" s="3" t="s">
        <v>257</v>
      </c>
    </row>
    <row r="10" customFormat="false" ht="30" hidden="false" customHeight="true" outlineLevel="0" collapsed="false">
      <c r="A10" s="12" t="s">
        <v>258</v>
      </c>
      <c r="B10" s="20" t="s">
        <v>254</v>
      </c>
      <c r="C10" s="3" t="s">
        <v>259</v>
      </c>
    </row>
    <row r="11" customFormat="false" ht="15" hidden="false" customHeight="true" outlineLevel="0" collapsed="false">
      <c r="A11" s="12" t="s">
        <v>260</v>
      </c>
      <c r="B11" s="20" t="s">
        <v>254</v>
      </c>
      <c r="C11" s="3" t="s">
        <v>261</v>
      </c>
    </row>
    <row r="12" customFormat="false" ht="15" hidden="false" customHeight="true" outlineLevel="0" collapsed="false">
      <c r="A12" s="12" t="s">
        <v>262</v>
      </c>
      <c r="B12" s="20" t="s">
        <v>254</v>
      </c>
      <c r="C12" s="3" t="s">
        <v>263</v>
      </c>
    </row>
    <row r="14" customFormat="false" ht="22.35" hidden="false" customHeight="false" outlineLevel="0" collapsed="false">
      <c r="C14" s="4" t="s">
        <v>264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4454E"/>
    <pageSetUpPr fitToPage="false"/>
  </sheetPr>
  <dimension ref="A1:K3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34"/>
    <col collapsed="false" customWidth="true" hidden="false" outlineLevel="0" max="3" min="3" style="0" width="8"/>
    <col collapsed="false" customWidth="true" hidden="false" outlineLevel="0" max="4" min="4" style="0" width="14"/>
    <col collapsed="false" customWidth="true" hidden="false" outlineLevel="0" max="5" min="5" style="0" width="13"/>
    <col collapsed="false" customWidth="true" hidden="false" outlineLevel="0" max="6" min="6" style="0" width="92"/>
    <col collapsed="false" customWidth="true" hidden="false" outlineLevel="0" max="8" min="8" style="0" width="9"/>
    <col collapsed="false" customWidth="true" hidden="false" outlineLevel="0" max="9" min="9" style="0" width="22"/>
    <col collapsed="false" customWidth="true" hidden="false" outlineLevel="0" max="11" min="10" style="0" width="9"/>
  </cols>
  <sheetData>
    <row r="1" customFormat="false" ht="17.35" hidden="false" customHeight="false" outlineLevel="0" collapsed="false">
      <c r="A1" s="21" t="s">
        <v>265</v>
      </c>
    </row>
    <row r="2" customFormat="false" ht="45.75" hidden="false" customHeight="true" outlineLevel="0" collapsed="false">
      <c r="A2" s="22" t="s">
        <v>266</v>
      </c>
      <c r="B2" s="22"/>
      <c r="C2" s="22"/>
      <c r="D2" s="22"/>
      <c r="E2" s="22"/>
      <c r="F2" s="22"/>
    </row>
    <row r="3" customFormat="false" ht="15" hidden="false" customHeight="false" outlineLevel="0" collapsed="false">
      <c r="H3" s="12" t="s">
        <v>267</v>
      </c>
    </row>
    <row r="4" customFormat="false" ht="27.75" hidden="false" customHeight="true" outlineLevel="0" collapsed="false">
      <c r="A4" s="5" t="s">
        <v>48</v>
      </c>
      <c r="B4" s="5" t="s">
        <v>49</v>
      </c>
      <c r="C4" s="5" t="s">
        <v>136</v>
      </c>
      <c r="D4" s="5" t="s">
        <v>51</v>
      </c>
      <c r="E4" s="5" t="s">
        <v>268</v>
      </c>
      <c r="F4" s="5" t="s">
        <v>269</v>
      </c>
      <c r="H4" s="23" t="s">
        <v>30</v>
      </c>
      <c r="I4" s="23" t="s">
        <v>31</v>
      </c>
      <c r="J4" s="24" t="s">
        <v>136</v>
      </c>
      <c r="K4" s="25" t="s">
        <v>270</v>
      </c>
    </row>
    <row r="5" customFormat="false" ht="27.75" hidden="false" customHeight="true" outlineLevel="0" collapsed="false">
      <c r="A5" s="12" t="s">
        <v>56</v>
      </c>
      <c r="B5" s="20" t="str">
        <f aca="false">INDEX(Factors!$C$2:$C$21,MATCH($A5,Factors!$A$2:$A$21,0))</f>
        <v>Customer legal form</v>
      </c>
      <c r="C5" s="26" t="n">
        <v>2</v>
      </c>
      <c r="D5" s="18" t="n">
        <f aca="false">INDEX(Factors!$E$2:$E$21,MATCH($A5,Factors!$A$2:$A$21,0))</f>
        <v>0.06</v>
      </c>
      <c r="E5" s="27" t="n">
        <f aca="false">$D5*$C5</f>
        <v>0.12</v>
      </c>
      <c r="F5" s="3" t="str">
        <f aca="false">INDEX(Levels!$D$2:$D$99,MATCH(1,INDEX((Levels!$A$2:$A$99=$A5)*(Levels!$C$2:$C$99=$C5),0),0))</f>
        <v>Joint personal account between parties with an evidenced relationship, or a UK-registered sole trader</v>
      </c>
      <c r="H5" s="6" t="s">
        <v>36</v>
      </c>
      <c r="I5" s="7" t="s">
        <v>37</v>
      </c>
      <c r="J5" s="28" t="n">
        <f aca="false">SUMPRODUCT((Factors!$B$2:$B$21=$H5)*Factors!$D$2:$D$21*$C$5:$C$24)</f>
        <v>1.95</v>
      </c>
      <c r="K5" s="10" t="n">
        <f aca="false">INDEX(Categories!$C$2:$C$6,MATCH($H5,Categories!$A$2:$A$6,0))</f>
        <v>0.3</v>
      </c>
    </row>
    <row r="6" customFormat="false" ht="27.75" hidden="false" customHeight="true" outlineLevel="0" collapsed="false">
      <c r="A6" s="12" t="s">
        <v>60</v>
      </c>
      <c r="B6" s="20" t="str">
        <f aca="false">INDEX(Factors!$C$2:$C$21,MATCH($A6,Factors!$A$2:$A$21,0))</f>
        <v>Ownership and control structure</v>
      </c>
      <c r="C6" s="26" t="n">
        <v>1</v>
      </c>
      <c r="D6" s="18" t="n">
        <f aca="false">INDEX(Factors!$E$2:$E$21,MATCH($A6,Factors!$A$2:$A$21,0))</f>
        <v>0.06</v>
      </c>
      <c r="E6" s="27" t="n">
        <f aca="false">$D6*$C6</f>
        <v>0.06</v>
      </c>
      <c r="F6" s="3" t="str">
        <f aca="false">INDEX(Levels!$D$2:$D$99,MATCH(1,INDEX((Levels!$A$2:$A$99=$A6)*(Levels!$C$2:$C$99=$C6),0),0))</f>
        <v>Natural person; no beneficial ownership analysis required</v>
      </c>
      <c r="H6" s="6" t="s">
        <v>38</v>
      </c>
      <c r="I6" s="7" t="s">
        <v>39</v>
      </c>
      <c r="J6" s="28" t="n">
        <f aca="false">SUMPRODUCT((Factors!$B$2:$B$21=$H6)*Factors!$D$2:$D$21*$C$5:$C$24)</f>
        <v>1</v>
      </c>
      <c r="K6" s="10" t="n">
        <f aca="false">INDEX(Categories!$C$2:$C$6,MATCH($H6,Categories!$A$2:$A$6,0))</f>
        <v>0.25</v>
      </c>
    </row>
    <row r="7" customFormat="false" ht="27.75" hidden="false" customHeight="true" outlineLevel="0" collapsed="false">
      <c r="A7" s="12" t="s">
        <v>64</v>
      </c>
      <c r="B7" s="20" t="str">
        <f aca="false">INDEX(Factors!$C$2:$C$21,MATCH($A7,Factors!$A$2:$A$21,0))</f>
        <v>Industry or occupation</v>
      </c>
      <c r="C7" s="26" t="n">
        <v>4</v>
      </c>
      <c r="D7" s="18" t="n">
        <f aca="false">INDEX(Factors!$E$2:$E$21,MATCH($A7,Factors!$A$2:$A$21,0))</f>
        <v>0.075</v>
      </c>
      <c r="E7" s="27" t="n">
        <f aca="false">$D7*$C7</f>
        <v>0.3</v>
      </c>
      <c r="F7" s="3" t="str">
        <f aca="false">INDEX(Levels!$D$2:$D$99,MATCH(1,INDEX((Levels!$A$2:$A$99=$A7)*(Levels!$C$2:$C$99=$C7),0),0))</f>
        <v>Cash-intensive trade or another sector treated as vulnerable, including used vehicle sales, scrap metal, car washes, takeaways, personal care premises, accountancy practices and registered cryptoasset businesses</v>
      </c>
      <c r="H7" s="6" t="s">
        <v>40</v>
      </c>
      <c r="I7" s="7" t="s">
        <v>41</v>
      </c>
      <c r="J7" s="28" t="n">
        <f aca="false">SUMPRODUCT((Factors!$B$2:$B$21=$H7)*Factors!$D$2:$D$21*$C$5:$C$24)</f>
        <v>3.05</v>
      </c>
      <c r="K7" s="10" t="n">
        <f aca="false">INDEX(Categories!$C$2:$C$6,MATCH($H7,Categories!$A$2:$A$6,0))</f>
        <v>0.2</v>
      </c>
    </row>
    <row r="8" customFormat="false" ht="27.75" hidden="false" customHeight="true" outlineLevel="0" collapsed="false">
      <c r="A8" s="12" t="s">
        <v>68</v>
      </c>
      <c r="B8" s="20" t="str">
        <f aca="false">INDEX(Factors!$C$2:$C$21,MATCH($A8,Factors!$A$2:$A$21,0))</f>
        <v>PEP screening outcome</v>
      </c>
      <c r="C8" s="26" t="n">
        <v>1</v>
      </c>
      <c r="D8" s="18" t="n">
        <f aca="false">INDEX(Factors!$E$2:$E$21,MATCH($A8,Factors!$A$2:$A$21,0))</f>
        <v>0.06</v>
      </c>
      <c r="E8" s="27" t="n">
        <f aca="false">$D8*$C8</f>
        <v>0.06</v>
      </c>
      <c r="F8" s="3" t="str">
        <f aca="false">INDEX(Levels!$D$2:$D$99,MATCH(1,INDEX((Levels!$A$2:$A$99=$A8)*(Levels!$C$2:$C$99=$C8),0),0))</f>
        <v>No match</v>
      </c>
      <c r="H8" s="6" t="s">
        <v>42</v>
      </c>
      <c r="I8" s="7" t="s">
        <v>43</v>
      </c>
      <c r="J8" s="28" t="n">
        <f aca="false">SUMPRODUCT((Factors!$B$2:$B$21=$H8)*Factors!$D$2:$D$21*$C$5:$C$24)</f>
        <v>2.6</v>
      </c>
      <c r="K8" s="10" t="n">
        <f aca="false">INDEX(Categories!$C$2:$C$6,MATCH($H8,Categories!$A$2:$A$6,0))</f>
        <v>0.1</v>
      </c>
    </row>
    <row r="9" customFormat="false" ht="27.75" hidden="false" customHeight="true" outlineLevel="0" collapsed="false">
      <c r="A9" s="12" t="s">
        <v>72</v>
      </c>
      <c r="B9" s="20" t="str">
        <f aca="false">INDEX(Factors!$C$2:$C$21,MATCH($A9,Factors!$A$2:$A$21,0))</f>
        <v>Adverse media screening outcome</v>
      </c>
      <c r="C9" s="26" t="n">
        <v>1</v>
      </c>
      <c r="D9" s="18" t="n">
        <f aca="false">INDEX(Factors!$E$2:$E$21,MATCH($A9,Factors!$A$2:$A$21,0))</f>
        <v>0.045</v>
      </c>
      <c r="E9" s="27" t="n">
        <f aca="false">$D9*$C9</f>
        <v>0.045</v>
      </c>
      <c r="F9" s="3" t="str">
        <f aca="false">INDEX(Levels!$D$2:$D$99,MATCH(1,INDEX((Levels!$A$2:$A$99=$A9)*(Levels!$C$2:$C$99=$C9),0),0))</f>
        <v>No match</v>
      </c>
      <c r="H9" s="6" t="s">
        <v>44</v>
      </c>
      <c r="I9" s="7" t="s">
        <v>45</v>
      </c>
      <c r="J9" s="28" t="n">
        <f aca="false">SUMPRODUCT((Factors!$B$2:$B$21=$H9)*Factors!$D$2:$D$21*$C$5:$C$24)</f>
        <v>2.45</v>
      </c>
      <c r="K9" s="10" t="n">
        <f aca="false">INDEX(Categories!$C$2:$C$6,MATCH($H9,Categories!$A$2:$A$6,0))</f>
        <v>0.15</v>
      </c>
    </row>
    <row r="10" customFormat="false" ht="27.75" hidden="false" customHeight="true" outlineLevel="0" collapsed="false">
      <c r="A10" s="12" t="s">
        <v>76</v>
      </c>
      <c r="B10" s="20" t="str">
        <f aca="false">INDEX(Factors!$C$2:$C$21,MATCH($A10,Factors!$A$2:$A$21,0))</f>
        <v>Country of residence or incorporation</v>
      </c>
      <c r="C10" s="26" t="n">
        <v>1</v>
      </c>
      <c r="D10" s="18" t="n">
        <f aca="false">INDEX(Factors!$E$2:$E$21,MATCH($A10,Factors!$A$2:$A$21,0))</f>
        <v>0.1</v>
      </c>
      <c r="E10" s="27" t="n">
        <f aca="false">$D10*$C10</f>
        <v>0.1</v>
      </c>
      <c r="F10" s="3" t="str">
        <f aca="false">INDEX(Levels!$D$2:$D$99,MATCH(1,INDEX((Levels!$A$2:$A$99=$A10)*(Levels!$C$2:$C$99=$C10),0),0))</f>
        <v>United Kingdom</v>
      </c>
    </row>
    <row r="11" customFormat="false" ht="27.75" hidden="false" customHeight="true" outlineLevel="0" collapsed="false">
      <c r="A11" s="12" t="s">
        <v>80</v>
      </c>
      <c r="B11" s="20" t="str">
        <f aca="false">INDEX(Factors!$C$2:$C$21,MATCH($A11,Factors!$A$2:$A$21,0))</f>
        <v>Country of tax residence where different</v>
      </c>
      <c r="C11" s="26" t="n">
        <v>1</v>
      </c>
      <c r="D11" s="18" t="n">
        <f aca="false">INDEX(Factors!$E$2:$E$21,MATCH($A11,Factors!$A$2:$A$21,0))</f>
        <v>0.05</v>
      </c>
      <c r="E11" s="27" t="n">
        <f aca="false">$D11*$C11</f>
        <v>0.05</v>
      </c>
      <c r="F11" s="3" t="str">
        <f aca="false">INDEX(Levels!$D$2:$D$99,MATCH(1,INDEX((Levels!$A$2:$A$99=$A11)*(Levels!$C$2:$C$99=$C11),0),0))</f>
        <v>No tax residence declared other than the United Kingdom</v>
      </c>
    </row>
    <row r="12" customFormat="false" ht="27.75" hidden="false" customHeight="true" outlineLevel="0" collapsed="false">
      <c r="A12" s="12" t="s">
        <v>84</v>
      </c>
      <c r="B12" s="20" t="str">
        <f aca="false">INDEX(Factors!$C$2:$C$21,MATCH($A12,Factors!$A$2:$A$21,0))</f>
        <v>Expected counterparty or payment corridor countries</v>
      </c>
      <c r="C12" s="26" t="n">
        <v>1</v>
      </c>
      <c r="D12" s="18" t="n">
        <f aca="false">INDEX(Factors!$E$2:$E$21,MATCH($A12,Factors!$A$2:$A$21,0))</f>
        <v>0.1</v>
      </c>
      <c r="E12" s="27" t="n">
        <f aca="false">$D12*$C12</f>
        <v>0.1</v>
      </c>
      <c r="F12" s="3" t="str">
        <f aca="false">INDEX(Levels!$D$2:$D$99,MATCH(1,INDEX((Levels!$A$2:$A$99=$A12)*(Levels!$C$2:$C$99=$C12),0),0))</f>
        <v>United Kingdom only</v>
      </c>
    </row>
    <row r="13" customFormat="false" ht="27.75" hidden="false" customHeight="true" outlineLevel="0" collapsed="false">
      <c r="A13" s="12" t="s">
        <v>88</v>
      </c>
      <c r="B13" s="20" t="str">
        <f aca="false">INDEX(Factors!$C$2:$C$21,MATCH($A13,Factors!$A$2:$A$21,0))</f>
        <v>Product type held</v>
      </c>
      <c r="C13" s="26" t="n">
        <v>4</v>
      </c>
      <c r="D13" s="18" t="n">
        <f aca="false">INDEX(Factors!$E$2:$E$21,MATCH($A13,Factors!$A$2:$A$21,0))</f>
        <v>0.07</v>
      </c>
      <c r="E13" s="27" t="n">
        <f aca="false">$D13*$C13</f>
        <v>0.28</v>
      </c>
      <c r="F13" s="3" t="str">
        <f aca="false">INDEX(Levels!$D$2:$D$99,MATCH(1,INDEX((Levels!$A$2:$A$99=$A13)*(Levels!$C$2:$C$99=$C13),0),0))</f>
        <v>Business current account without cash handling or international payments</v>
      </c>
    </row>
    <row r="14" customFormat="false" ht="27.75" hidden="false" customHeight="true" outlineLevel="0" collapsed="false">
      <c r="A14" s="12" t="s">
        <v>92</v>
      </c>
      <c r="B14" s="20" t="str">
        <f aca="false">INDEX(Factors!$C$2:$C$21,MATCH($A14,Factors!$A$2:$A$21,0))</f>
        <v>Cash functionality</v>
      </c>
      <c r="C14" s="26" t="n">
        <v>5</v>
      </c>
      <c r="D14" s="18" t="n">
        <f aca="false">INDEX(Factors!$E$2:$E$21,MATCH($A14,Factors!$A$2:$A$21,0))</f>
        <v>0.05</v>
      </c>
      <c r="E14" s="27" t="n">
        <f aca="false">$D14*$C14</f>
        <v>0.25</v>
      </c>
      <c r="F14" s="3" t="str">
        <f aca="false">INDEX(Levels!$D$2:$D$99,MATCH(1,INDEX((Levels!$A$2:$A$99=$A14)*(Levels!$C$2:$C$99=$C14),0),0))</f>
        <v>Cash deposits expected above GBP 10,000 a month, or use of a cash collection service</v>
      </c>
    </row>
    <row r="15" customFormat="false" ht="27.75" hidden="false" customHeight="true" outlineLevel="0" collapsed="false">
      <c r="A15" s="12" t="s">
        <v>96</v>
      </c>
      <c r="B15" s="20" t="str">
        <f aca="false">INDEX(Factors!$C$2:$C$21,MATCH($A15,Factors!$A$2:$A$21,0))</f>
        <v>International payment functionality</v>
      </c>
      <c r="C15" s="26" t="n">
        <v>1</v>
      </c>
      <c r="D15" s="18" t="n">
        <f aca="false">INDEX(Factors!$E$2:$E$21,MATCH($A15,Factors!$A$2:$A$21,0))</f>
        <v>0.05</v>
      </c>
      <c r="E15" s="27" t="n">
        <f aca="false">$D15*$C15</f>
        <v>0.05</v>
      </c>
      <c r="F15" s="3" t="str">
        <f aca="false">INDEX(Levels!$D$2:$D$99,MATCH(1,INDEX((Levels!$A$2:$A$99=$A15)*(Levels!$C$2:$C$99=$C15),0),0))</f>
        <v>Not enabled on the account</v>
      </c>
    </row>
    <row r="16" customFormat="false" ht="27.75" hidden="false" customHeight="true" outlineLevel="0" collapsed="false">
      <c r="A16" s="12" t="s">
        <v>100</v>
      </c>
      <c r="B16" s="20" t="str">
        <f aca="false">INDEX(Factors!$C$2:$C$21,MATCH($A16,Factors!$A$2:$A$21,0))</f>
        <v>Third-party access to the account</v>
      </c>
      <c r="C16" s="26" t="n">
        <v>1</v>
      </c>
      <c r="D16" s="18" t="n">
        <f aca="false">INDEX(Factors!$E$2:$E$21,MATCH($A16,Factors!$A$2:$A$21,0))</f>
        <v>0.03</v>
      </c>
      <c r="E16" s="27" t="n">
        <f aca="false">$D16*$C16</f>
        <v>0.03</v>
      </c>
      <c r="F16" s="3" t="str">
        <f aca="false">INDEX(Levels!$D$2:$D$99,MATCH(1,INDEX((Levels!$A$2:$A$99=$A16)*(Levels!$C$2:$C$99=$C16),0),0))</f>
        <v>Sole named party, no third-party access</v>
      </c>
    </row>
    <row r="17" customFormat="false" ht="27.75" hidden="false" customHeight="true" outlineLevel="0" collapsed="false">
      <c r="A17" s="12" t="s">
        <v>104</v>
      </c>
      <c r="B17" s="20" t="str">
        <f aca="false">INDEX(Factors!$C$2:$C$21,MATCH($A17,Factors!$A$2:$A$21,0))</f>
        <v>Onboarding channel</v>
      </c>
      <c r="C17" s="26" t="n">
        <v>3</v>
      </c>
      <c r="D17" s="18" t="n">
        <f aca="false">INDEX(Factors!$E$2:$E$21,MATCH($A17,Factors!$A$2:$A$21,0))</f>
        <v>0.045</v>
      </c>
      <c r="E17" s="27" t="n">
        <f aca="false">$D17*$C17</f>
        <v>0.135</v>
      </c>
      <c r="F17" s="3" t="str">
        <f aca="false">INDEX(Levels!$D$2:$D$99,MATCH(1,INDEX((Levels!$A$2:$A$99=$A17)*(Levels!$C$2:$C$99=$C17),0),0))</f>
        <v>Digital application completed by the customer on the Bank's own app or website</v>
      </c>
    </row>
    <row r="18" customFormat="false" ht="27.75" hidden="false" customHeight="true" outlineLevel="0" collapsed="false">
      <c r="A18" s="12" t="s">
        <v>108</v>
      </c>
      <c r="B18" s="20" t="str">
        <f aca="false">INDEX(Factors!$C$2:$C$21,MATCH($A18,Factors!$A$2:$A$21,0))</f>
        <v>Identity verification method</v>
      </c>
      <c r="C18" s="26" t="n">
        <v>3</v>
      </c>
      <c r="D18" s="18" t="n">
        <f aca="false">INDEX(Factors!$E$2:$E$21,MATCH($A18,Factors!$A$2:$A$21,0))</f>
        <v>0.035</v>
      </c>
      <c r="E18" s="27" t="n">
        <f aca="false">$D18*$C18</f>
        <v>0.105</v>
      </c>
      <c r="F18" s="3" t="str">
        <f aca="false">INDEX(Levels!$D$2:$D$99,MATCH(1,INDEX((Levels!$A$2:$A$99=$A18)*(Levels!$C$2:$C$99=$C18),0),0))</f>
        <v>Electronic verification returning two or more independent matching sources</v>
      </c>
    </row>
    <row r="19" customFormat="false" ht="27.75" hidden="false" customHeight="true" outlineLevel="0" collapsed="false">
      <c r="A19" s="12" t="s">
        <v>112</v>
      </c>
      <c r="B19" s="20" t="str">
        <f aca="false">INDEX(Factors!$C$2:$C$21,MATCH($A19,Factors!$A$2:$A$21,0))</f>
        <v>Introduction source</v>
      </c>
      <c r="C19" s="26" t="n">
        <v>1</v>
      </c>
      <c r="D19" s="18" t="n">
        <f aca="false">INDEX(Factors!$E$2:$E$21,MATCH($A19,Factors!$A$2:$A$21,0))</f>
        <v>0.02</v>
      </c>
      <c r="E19" s="27" t="n">
        <f aca="false">$D19*$C19</f>
        <v>0.02</v>
      </c>
      <c r="F19" s="3" t="str">
        <f aca="false">INDEX(Levels!$D$2:$D$99,MATCH(1,INDEX((Levels!$A$2:$A$99=$A19)*(Levels!$C$2:$C$99=$C19),0),0))</f>
        <v>Direct application by the customer</v>
      </c>
    </row>
    <row r="20" customFormat="false" ht="27.75" hidden="false" customHeight="true" outlineLevel="0" collapsed="false">
      <c r="A20" s="12" t="s">
        <v>116</v>
      </c>
      <c r="B20" s="20" t="str">
        <f aca="false">INDEX(Factors!$C$2:$C$21,MATCH($A20,Factors!$A$2:$A$21,0))</f>
        <v>Expected turnover relative to declared income</v>
      </c>
      <c r="C20" s="26" t="n">
        <v>2</v>
      </c>
      <c r="D20" s="18" t="n">
        <f aca="false">INDEX(Factors!$E$2:$E$21,MATCH($A20,Factors!$A$2:$A$21,0))</f>
        <v>0.0375</v>
      </c>
      <c r="E20" s="27" t="n">
        <f aca="false">$D20*$C20</f>
        <v>0.075</v>
      </c>
      <c r="F20" s="3" t="str">
        <f aca="false">INDEX(Levels!$D$2:$D$99,MATCH(1,INDEX((Levels!$A$2:$A$99=$A20)*(Levels!$C$2:$C$99=$C20),0),0))</f>
        <v>Consistent with declared income or turnover, GBP 5,000 to GBP 25,000 a month</v>
      </c>
    </row>
    <row r="21" customFormat="false" ht="27.75" hidden="false" customHeight="true" outlineLevel="0" collapsed="false">
      <c r="A21" s="12" t="s">
        <v>120</v>
      </c>
      <c r="B21" s="20" t="str">
        <f aca="false">INDEX(Factors!$C$2:$C$21,MATCH($A21,Factors!$A$2:$A$21,0))</f>
        <v>Expected cash proportion of credits</v>
      </c>
      <c r="C21" s="26" t="n">
        <v>4</v>
      </c>
      <c r="D21" s="18" t="n">
        <f aca="false">INDEX(Factors!$E$2:$E$21,MATCH($A21,Factors!$A$2:$A$21,0))</f>
        <v>0.045</v>
      </c>
      <c r="E21" s="27" t="n">
        <f aca="false">$D21*$C21</f>
        <v>0.18</v>
      </c>
      <c r="F21" s="3" t="str">
        <f aca="false">INDEX(Levels!$D$2:$D$99,MATCH(1,INDEX((Levels!$A$2:$A$99=$A21)*(Levels!$C$2:$C$99=$C21),0),0))</f>
        <v>Above 30% and up to 60% of expected monthly credits</v>
      </c>
    </row>
    <row r="22" customFormat="false" ht="27.75" hidden="false" customHeight="true" outlineLevel="0" collapsed="false">
      <c r="A22" s="12" t="s">
        <v>124</v>
      </c>
      <c r="B22" s="20" t="str">
        <f aca="false">INDEX(Factors!$C$2:$C$21,MATCH($A22,Factors!$A$2:$A$21,0))</f>
        <v>Expected international proportion of value</v>
      </c>
      <c r="C22" s="26" t="n">
        <v>1</v>
      </c>
      <c r="D22" s="18" t="n">
        <f aca="false">INDEX(Factors!$E$2:$E$21,MATCH($A22,Factors!$A$2:$A$21,0))</f>
        <v>0.03</v>
      </c>
      <c r="E22" s="27" t="n">
        <f aca="false">$D22*$C22</f>
        <v>0.03</v>
      </c>
      <c r="F22" s="3" t="str">
        <f aca="false">INDEX(Levels!$D$2:$D$99,MATCH(1,INDEX((Levels!$A$2:$A$99=$A22)*(Levels!$C$2:$C$99=$C22),0),0))</f>
        <v>No international activity declared</v>
      </c>
    </row>
    <row r="23" customFormat="false" ht="27.75" hidden="false" customHeight="true" outlineLevel="0" collapsed="false">
      <c r="A23" s="12" t="s">
        <v>128</v>
      </c>
      <c r="B23" s="20" t="str">
        <f aca="false">INDEX(Factors!$C$2:$C$21,MATCH($A23,Factors!$A$2:$A$21,0))</f>
        <v>Expected counterparty profile</v>
      </c>
      <c r="C23" s="26" t="n">
        <v>3</v>
      </c>
      <c r="D23" s="18" t="n">
        <f aca="false">INDEX(Factors!$E$2:$E$21,MATCH($A23,Factors!$A$2:$A$21,0))</f>
        <v>0.0225</v>
      </c>
      <c r="E23" s="27" t="n">
        <f aca="false">$D23*$C23</f>
        <v>0.0675</v>
      </c>
      <c r="F23" s="3" t="str">
        <f aca="false">INDEX(Levels!$D$2:$D$99,MATCH(1,INDEX((Levels!$A$2:$A$99=$A23)*(Levels!$C$2:$C$99=$C23),0),0))</f>
        <v>A large number of individual counterparties, consistent with the stated business</v>
      </c>
    </row>
    <row r="24" customFormat="false" ht="27.75" hidden="false" customHeight="true" outlineLevel="0" collapsed="false">
      <c r="A24" s="12" t="s">
        <v>131</v>
      </c>
      <c r="B24" s="20" t="str">
        <f aca="false">INDEX(Factors!$C$2:$C$21,MATCH($A24,Factors!$A$2:$A$21,0))</f>
        <v>Plausibility of the declared profile</v>
      </c>
      <c r="C24" s="26" t="n">
        <v>1</v>
      </c>
      <c r="D24" s="18" t="n">
        <f aca="false">INDEX(Factors!$E$2:$E$21,MATCH($A24,Factors!$A$2:$A$21,0))</f>
        <v>0.015</v>
      </c>
      <c r="E24" s="27" t="n">
        <f aca="false">$D24*$C24</f>
        <v>0.015</v>
      </c>
      <c r="F24" s="3" t="str">
        <f aca="false">INDEX(Levels!$D$2:$D$99,MATCH(1,INDEX((Levels!$A$2:$A$99=$A24)*(Levels!$C$2:$C$99=$C24),0),0))</f>
        <v>Declared activity is consistent with every other item on file</v>
      </c>
    </row>
    <row r="26" customFormat="false" ht="15" hidden="false" customHeight="false" outlineLevel="0" collapsed="false">
      <c r="G26" s="12" t="s">
        <v>271</v>
      </c>
      <c r="I26" s="29" t="n">
        <f aca="false">SUM($E$5:$E$24)</f>
        <v>2.0725</v>
      </c>
    </row>
    <row r="27" customFormat="false" ht="15" hidden="false" customHeight="false" outlineLevel="0" collapsed="false">
      <c r="G27" s="12" t="s">
        <v>272</v>
      </c>
      <c r="I27" s="30" t="n">
        <f aca="false">ROUND($I26,2)</f>
        <v>2.07</v>
      </c>
    </row>
    <row r="28" customFormat="false" ht="15" hidden="false" customHeight="false" outlineLevel="0" collapsed="false">
      <c r="G28" s="12" t="s">
        <v>273</v>
      </c>
      <c r="I28" s="16" t="str">
        <f aca="false">IF($I27&lt;=2,"Low",IF($I27&lt;=3.49,"Medium","High"))</f>
        <v>Medium</v>
      </c>
    </row>
    <row r="29" customFormat="false" ht="15" hidden="false" customHeight="false" outlineLevel="0" collapsed="false">
      <c r="G29" s="12" t="s">
        <v>274</v>
      </c>
      <c r="I29" s="26" t="s">
        <v>275</v>
      </c>
    </row>
    <row r="30" customFormat="false" ht="15" hidden="false" customHeight="false" outlineLevel="0" collapsed="false">
      <c r="G30" s="12" t="s">
        <v>276</v>
      </c>
      <c r="I30" s="31" t="str">
        <f aca="false">IF($I29="Yes","High",$I28)</f>
        <v>Medium</v>
      </c>
    </row>
    <row r="32" customFormat="false" ht="15" hidden="false" customHeight="true" outlineLevel="0" collapsed="false">
      <c r="G32" s="22" t="s">
        <v>277</v>
      </c>
      <c r="H32" s="22"/>
      <c r="I32" s="22"/>
      <c r="J32" s="22"/>
      <c r="K32" s="22"/>
    </row>
    <row r="33" customFormat="false" ht="15" hidden="false" customHeight="false" outlineLevel="0" collapsed="false">
      <c r="G33" s="22"/>
      <c r="H33" s="22"/>
      <c r="I33" s="22"/>
      <c r="J33" s="22"/>
      <c r="K33" s="22"/>
    </row>
    <row r="34" customFormat="false" ht="15" hidden="false" customHeight="false" outlineLevel="0" collapsed="false">
      <c r="G34" s="22"/>
      <c r="H34" s="22"/>
      <c r="I34" s="22"/>
      <c r="J34" s="22"/>
      <c r="K34" s="22"/>
    </row>
  </sheetData>
  <mergeCells count="2">
    <mergeCell ref="A2:F2"/>
    <mergeCell ref="G32:K3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4454E"/>
    <pageSetUpPr fitToPage="false"/>
  </sheetPr>
  <dimension ref="A1:E2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68"/>
    <col collapsed="false" customWidth="true" hidden="false" outlineLevel="0" max="5" min="3" style="0" width="12"/>
  </cols>
  <sheetData>
    <row r="1" customFormat="false" ht="17.35" hidden="false" customHeight="false" outlineLevel="0" collapsed="false">
      <c r="A1" s="21" t="s">
        <v>278</v>
      </c>
    </row>
    <row r="2" customFormat="false" ht="15" hidden="false" customHeight="false" outlineLevel="0" collapsed="false">
      <c r="A2" s="15" t="s">
        <v>279</v>
      </c>
    </row>
    <row r="4" customFormat="false" ht="27.75" hidden="false" customHeight="true" outlineLevel="0" collapsed="false">
      <c r="A4" s="5" t="s">
        <v>280</v>
      </c>
      <c r="B4" s="5" t="s">
        <v>281</v>
      </c>
      <c r="C4" s="5" t="s">
        <v>282</v>
      </c>
      <c r="D4" s="5" t="s">
        <v>283</v>
      </c>
      <c r="E4" s="5" t="s">
        <v>284</v>
      </c>
    </row>
    <row r="5" customFormat="false" ht="15" hidden="false" customHeight="false" outlineLevel="0" collapsed="false">
      <c r="A5" s="9" t="n">
        <v>1</v>
      </c>
      <c r="B5" s="32" t="s">
        <v>285</v>
      </c>
      <c r="C5" s="9" t="n">
        <f aca="false">ROUND(SUM(Categories!$C$2:$C$6),6)</f>
        <v>1</v>
      </c>
      <c r="D5" s="9" t="n">
        <v>1</v>
      </c>
      <c r="E5" s="33" t="str">
        <f aca="false">IF($C5=$D5,"OK","CHECK")</f>
        <v>OK</v>
      </c>
    </row>
    <row r="6" customFormat="false" ht="15" hidden="false" customHeight="false" outlineLevel="0" collapsed="false">
      <c r="A6" s="9" t="n">
        <v>2</v>
      </c>
      <c r="B6" s="32" t="s">
        <v>286</v>
      </c>
      <c r="C6" s="9" t="n">
        <f aca="false">SUMPRODUCT(--(ROUND(Categories!$E$2:$E$6,6)&lt;&gt;1))</f>
        <v>0</v>
      </c>
      <c r="D6" s="9" t="n">
        <v>0</v>
      </c>
      <c r="E6" s="33" t="str">
        <f aca="false">IF($C6=$D6,"OK","CHECK")</f>
        <v>OK</v>
      </c>
    </row>
    <row r="7" customFormat="false" ht="15" hidden="false" customHeight="false" outlineLevel="0" collapsed="false">
      <c r="A7" s="9" t="n">
        <v>3</v>
      </c>
      <c r="B7" s="32" t="s">
        <v>287</v>
      </c>
      <c r="C7" s="9" t="n">
        <f aca="false">ROUND(SUM(Factors!$E$2:$E$21),6)</f>
        <v>1</v>
      </c>
      <c r="D7" s="9" t="n">
        <v>1</v>
      </c>
      <c r="E7" s="33" t="str">
        <f aca="false">IF($C7=$D7,"OK","CHECK")</f>
        <v>OK</v>
      </c>
    </row>
    <row r="8" customFormat="false" ht="15" hidden="false" customHeight="false" outlineLevel="0" collapsed="false">
      <c r="A8" s="9" t="n">
        <v>4</v>
      </c>
      <c r="B8" s="32" t="s">
        <v>288</v>
      </c>
      <c r="C8" s="9" t="n">
        <f aca="false">SUMPRODUCT(--(COUNTIF(Factors!$A$2:$A$21,Factors!$A$2:$A$21)&gt;1))</f>
        <v>0</v>
      </c>
      <c r="D8" s="9" t="n">
        <v>0</v>
      </c>
      <c r="E8" s="33" t="str">
        <f aca="false">IF($C8=$D8,"OK","CHECK")</f>
        <v>OK</v>
      </c>
    </row>
    <row r="9" customFormat="false" ht="15" hidden="false" customHeight="false" outlineLevel="0" collapsed="false">
      <c r="A9" s="9" t="n">
        <v>5</v>
      </c>
      <c r="B9" s="32" t="s">
        <v>289</v>
      </c>
      <c r="C9" s="9" t="n">
        <f aca="false">SUMPRODUCT(--(COUNTIF(Factors!$A$2:$A$21,Levels!$A$2:$A$99)=0))</f>
        <v>0</v>
      </c>
      <c r="D9" s="9" t="n">
        <v>0</v>
      </c>
      <c r="E9" s="33" t="str">
        <f aca="false">IF($C9=$D9,"OK","CHECK")</f>
        <v>OK</v>
      </c>
    </row>
    <row r="10" customFormat="false" ht="15" hidden="false" customHeight="false" outlineLevel="0" collapsed="false">
      <c r="A10" s="9" t="n">
        <v>6</v>
      </c>
      <c r="B10" s="32" t="s">
        <v>290</v>
      </c>
      <c r="C10" s="9" t="n">
        <f aca="false">SUMPRODUCT(--(COUNTIF(Levels!$A$2:$A$99,Factors!$A$2:$A$21)&lt;4))</f>
        <v>0</v>
      </c>
      <c r="D10" s="9" t="n">
        <v>0</v>
      </c>
      <c r="E10" s="33" t="str">
        <f aca="false">IF($C10=$D10,"OK","CHECK")</f>
        <v>OK</v>
      </c>
    </row>
    <row r="11" customFormat="false" ht="15" hidden="false" customHeight="false" outlineLevel="0" collapsed="false">
      <c r="A11" s="9" t="n">
        <v>7</v>
      </c>
      <c r="B11" s="32" t="s">
        <v>291</v>
      </c>
      <c r="C11" s="9" t="n">
        <f aca="false">SUMPRODUCT(--((Levels!$C$2:$C$99&lt;1)+(Levels!$C$2:$C$99&gt;5)&gt;0))</f>
        <v>0</v>
      </c>
      <c r="D11" s="9" t="n">
        <v>0</v>
      </c>
      <c r="E11" s="33" t="str">
        <f aca="false">IF($C11=$D11,"OK","CHECK")</f>
        <v>OK</v>
      </c>
    </row>
    <row r="12" customFormat="false" ht="15" hidden="false" customHeight="false" outlineLevel="0" collapsed="false">
      <c r="A12" s="9" t="n">
        <v>8</v>
      </c>
      <c r="B12" s="32" t="s">
        <v>292</v>
      </c>
      <c r="C12" s="9" t="n">
        <f aca="false">SUMPRODUCT(--(COUNTIFS(Levels!$A$2:$A$99,Levels!$A$2:$A$99,Levels!$C$2:$C$99,Levels!$C$2:$C$99)&gt;1))</f>
        <v>0</v>
      </c>
      <c r="D12" s="9" t="n">
        <v>0</v>
      </c>
      <c r="E12" s="33" t="str">
        <f aca="false">IF($C12=$D12,"OK","CHECK")</f>
        <v>OK</v>
      </c>
    </row>
    <row r="13" customFormat="false" ht="15" hidden="false" customHeight="false" outlineLevel="0" collapsed="false">
      <c r="A13" s="9" t="n">
        <v>9</v>
      </c>
      <c r="B13" s="32" t="s">
        <v>293</v>
      </c>
      <c r="C13" s="9" t="n">
        <f aca="false">SUMPRODUCT(--(Factors!$F$2:$F$21&lt;&gt;1))</f>
        <v>0</v>
      </c>
      <c r="D13" s="9" t="n">
        <v>0</v>
      </c>
      <c r="E13" s="33" t="str">
        <f aca="false">IF($C13=$D13,"OK","CHECK")</f>
        <v>OK</v>
      </c>
    </row>
    <row r="14" customFormat="false" ht="15" hidden="false" customHeight="false" outlineLevel="0" collapsed="false">
      <c r="A14" s="9" t="n">
        <v>10</v>
      </c>
      <c r="B14" s="32" t="s">
        <v>294</v>
      </c>
      <c r="C14" s="9" t="n">
        <f aca="false">SUMPRODUCT(--(Factors!$G$2:$G$21&lt;&gt;5))</f>
        <v>0</v>
      </c>
      <c r="D14" s="9" t="n">
        <v>0</v>
      </c>
      <c r="E14" s="33" t="str">
        <f aca="false">IF($C14=$D14,"OK","CHECK")</f>
        <v>OK</v>
      </c>
    </row>
    <row r="15" customFormat="false" ht="15" hidden="false" customHeight="false" outlineLevel="0" collapsed="false">
      <c r="A15" s="9" t="n">
        <v>11</v>
      </c>
      <c r="B15" s="32" t="s">
        <v>295</v>
      </c>
      <c r="C15" s="9" t="n">
        <f aca="false">ROUND(SUMPRODUCT(Factors!$E$2:$E$21,Factors!$F$2:$F$21),2)</f>
        <v>1</v>
      </c>
      <c r="D15" s="9" t="n">
        <v>1</v>
      </c>
      <c r="E15" s="33" t="str">
        <f aca="false">IF($C15=$D15,"OK","CHECK")</f>
        <v>OK</v>
      </c>
    </row>
    <row r="16" customFormat="false" ht="15" hidden="false" customHeight="false" outlineLevel="0" collapsed="false">
      <c r="A16" s="9" t="n">
        <v>12</v>
      </c>
      <c r="B16" s="32" t="s">
        <v>296</v>
      </c>
      <c r="C16" s="9" t="n">
        <f aca="false">ROUND(SUMPRODUCT(Factors!$E$2:$E$21,Factors!$G$2:$G$21),2)</f>
        <v>5</v>
      </c>
      <c r="D16" s="9" t="n">
        <v>5</v>
      </c>
      <c r="E16" s="33" t="str">
        <f aca="false">IF($C16=$D16,"OK","CHECK")</f>
        <v>OK</v>
      </c>
    </row>
    <row r="17" customFormat="false" ht="15" hidden="false" customHeight="false" outlineLevel="0" collapsed="false">
      <c r="A17" s="9" t="n">
        <v>13</v>
      </c>
      <c r="B17" s="32" t="s">
        <v>297</v>
      </c>
      <c r="C17" s="28" t="n">
        <f aca="false">ROUND(SUM(Example!$E$5:$E$24),2)</f>
        <v>2.07</v>
      </c>
      <c r="D17" s="28" t="n">
        <v>2.07</v>
      </c>
      <c r="E17" s="33" t="str">
        <f aca="false">IF($C17=$D17,"OK","CHECK")</f>
        <v>OK</v>
      </c>
    </row>
    <row r="19" customFormat="false" ht="15" hidden="false" customHeight="false" outlineLevel="0" collapsed="false">
      <c r="B19" s="12" t="s">
        <v>298</v>
      </c>
      <c r="E19" s="31" t="str">
        <f aca="false">IF(COUNTIF($E$5:$E$17,"CHECK")=0,"ALL OK","FIX")</f>
        <v>ALL OK</v>
      </c>
    </row>
    <row r="21" customFormat="false" ht="15" hidden="false" customHeight="true" outlineLevel="0" collapsed="false">
      <c r="B21" s="22" t="s">
        <v>299</v>
      </c>
      <c r="C21" s="22"/>
      <c r="D21" s="22"/>
      <c r="E21" s="22"/>
    </row>
    <row r="22" customFormat="false" ht="15" hidden="false" customHeight="false" outlineLevel="0" collapsed="false">
      <c r="B22" s="22"/>
      <c r="C22" s="22"/>
      <c r="D22" s="22"/>
      <c r="E22" s="22"/>
    </row>
  </sheetData>
  <mergeCells count="1">
    <mergeCell ref="B21:E2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2026-09-08T12:07:04Z</dcterms:created>
  <dc:creator>openpyxl</dc:creator>
  <dc:description/>
  <dc:language>en-US</dc:language>
  <cp:lastModifiedBy/>
  <dcterms:modified xsi:type="dcterms:W3CDTF">2026-09-08T12:07:04Z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